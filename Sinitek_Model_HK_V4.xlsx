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E:\桌面\Sinitek_Model\"/>
    </mc:Choice>
  </mc:AlternateContent>
  <xr:revisionPtr revIDLastSave="0" documentId="13_ncr:1_{3BA05991-AC8F-4438-BB0A-DA67C8E8A0BB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目录" sheetId="33" r:id="rId1"/>
    <sheet name="销售预测" sheetId="55" r:id="rId2"/>
    <sheet name="资产预测" sheetId="56" r:id="rId3"/>
    <sheet name="主要财务摘要" sheetId="59" r:id="rId4"/>
    <sheet name="报表摘要" sheetId="69" r:id="rId5"/>
    <sheet name="资产负债表" sheetId="53" r:id="rId6"/>
    <sheet name="利润表" sheetId="57" r:id="rId7"/>
    <sheet name="现金流量表" sheetId="54" r:id="rId8"/>
    <sheet name="估值" sheetId="70" r:id="rId9"/>
    <sheet name="财务基础数据" sheetId="52" r:id="rId10"/>
    <sheet name="excel_is_refresh_sheet" sheetId="97" state="hidden" r:id="rId11"/>
  </sheets>
  <externalReferences>
    <externalReference r:id="rId12"/>
  </externalReferences>
  <definedNames>
    <definedName name="solver_eng" localSheetId="8" hidden="1">1</definedName>
    <definedName name="solver_neg" localSheetId="8" hidden="1">1</definedName>
    <definedName name="solver_num" localSheetId="8" hidden="1">0</definedName>
    <definedName name="solver_opt" localSheetId="8" hidden="1">估值!#REF!</definedName>
    <definedName name="solver_typ" localSheetId="8" hidden="1">1</definedName>
    <definedName name="solver_val" localSheetId="8" hidden="1">0</definedName>
    <definedName name="solver_ver" localSheetId="8" hidden="1">3</definedName>
    <definedName name="财务年度">IF('[1]图表输出-各种增长率对比图表'!$G$3=1,'[1]图表输出-各种增长率对比图表'!$B$2:$F$2,'[1]图表输出-各种增长率对比图表'!$D$2:$F$2)</definedName>
    <definedName name="指标2">IF('[1]图表输出-各种增长率对比图表'!$G$3=1,'[1]图表输出-各种增长率对比图表'!$M$7:$Q$7,'[1]图表输出-各种增长率对比图表'!$O$7:$Q$7)</definedName>
    <definedName name="指标3">IF('[1]图表输出-各种增长率对比图表'!$G$3=1,'[1]图表输出-各种增长率对比图表'!$M$8:$Q$8,'[1]图表输出-各种增长率对比图表'!$O$8:$Q$8)</definedName>
    <definedName name="指标4">IF('[1]图表输出-各种增长率对比图表'!$G$3=1,'[1]图表输出-各种增长率对比图表'!$M$44:$Q$44,'[1]图表输出-各种增长率对比图表'!$O$44:$Q$44)</definedName>
    <definedName name="指标5">IF('[1]图表输出-各种增长率对比图表'!$G$3=1,'[1]图表输出-各种增长率对比图表'!$M$45:$Q$45,'[1]图表输出-各种增长率对比图表'!$O$45:$Q$45)</definedName>
    <definedName name="指标6">IF('[1]图表输出-各种增长率对比图表'!$G$3=1,'[1]图表输出-各种增长率对比图表'!$M$46:$Q$46,'[1]图表输出-各种增长率对比图表'!$O$46:$Q$46)</definedName>
    <definedName name="指标7">IF('[1]图表输出-各种增长率对比图表'!$G$3=1,'[1]图表输出-各种增长率对比图表'!$M$82:$Q$82,'[1]图表输出-各种增长率对比图表'!$O$82:$Q$82)</definedName>
    <definedName name="指标8">IF('[1]图表输出-各种增长率对比图表'!$G$3=1,'[1]图表输出-各种增长率对比图表'!$M$83:$Q$83,'[1]图表输出-各种增长率对比图表'!$O$83:$Q$83)</definedName>
    <definedName name="指标9">IF('[1]图表输出-各种增长率对比图表'!$G$3=1,'[1]图表输出-各种增长率对比图表'!$M$84:$Q$84,'[1]图表输出-各种增长率对比图表'!$O$84:$Q$84)</definedName>
  </definedNames>
  <calcPr calcId="181029"/>
</workbook>
</file>

<file path=xl/calcChain.xml><?xml version="1.0" encoding="utf-8"?>
<calcChain xmlns="http://schemas.openxmlformats.org/spreadsheetml/2006/main">
  <c r="AB33" i="54" l="1"/>
  <c r="AC33" i="54"/>
  <c r="AD33" i="54"/>
  <c r="AE33" i="54"/>
  <c r="AF33" i="54"/>
  <c r="AG33" i="54"/>
  <c r="AH33" i="54"/>
  <c r="AI33" i="54"/>
  <c r="AJ33" i="54"/>
  <c r="AB32" i="54"/>
  <c r="AC32" i="54"/>
  <c r="AD32" i="54"/>
  <c r="AE32" i="54"/>
  <c r="AF32" i="54"/>
  <c r="AG32" i="54"/>
  <c r="AH32" i="54"/>
  <c r="AI32" i="54"/>
  <c r="AJ32" i="54"/>
  <c r="AA33" i="54"/>
  <c r="AA32" i="54"/>
  <c r="N15" i="55"/>
  <c r="O15" i="55"/>
  <c r="P15" i="55"/>
  <c r="Q15" i="55"/>
  <c r="R15" i="55"/>
  <c r="S15" i="55"/>
  <c r="M15" i="55"/>
  <c r="B16" i="70"/>
  <c r="E4" i="59" l="1"/>
  <c r="D4" i="59"/>
  <c r="C4" i="59"/>
  <c r="I123" i="56" l="1"/>
  <c r="H123" i="56"/>
  <c r="G123" i="56"/>
  <c r="I115" i="56"/>
  <c r="H115" i="56"/>
  <c r="G115" i="56"/>
  <c r="I67" i="56"/>
  <c r="H67" i="56"/>
  <c r="G67" i="56"/>
  <c r="I62" i="56"/>
  <c r="H62" i="56"/>
  <c r="G62" i="56"/>
  <c r="B60" i="70"/>
  <c r="H58" i="56" l="1"/>
  <c r="H78" i="56"/>
  <c r="G78" i="56"/>
  <c r="K100" i="56"/>
  <c r="K98" i="56"/>
  <c r="P33" i="69" l="1"/>
  <c r="E29" i="57" l="1"/>
  <c r="F29" i="57"/>
  <c r="G29" i="57"/>
  <c r="H29" i="57"/>
  <c r="I29" i="57"/>
  <c r="J29" i="57"/>
  <c r="K29" i="57"/>
  <c r="L29" i="57"/>
  <c r="M29" i="57"/>
  <c r="N29" i="57"/>
  <c r="O29" i="57"/>
  <c r="P29" i="57"/>
  <c r="Q29" i="57"/>
  <c r="R29" i="57"/>
  <c r="S29" i="57"/>
  <c r="T29" i="57"/>
  <c r="U29" i="57"/>
  <c r="V29" i="57"/>
  <c r="W29" i="57"/>
  <c r="X29" i="57"/>
  <c r="Y29" i="57"/>
  <c r="Z29" i="57"/>
  <c r="D29" i="57"/>
  <c r="L98" i="56"/>
  <c r="E127" i="52" l="1"/>
  <c r="F127" i="52"/>
  <c r="G127" i="52"/>
  <c r="H127" i="52"/>
  <c r="I127" i="52"/>
  <c r="J127" i="52"/>
  <c r="K127" i="52"/>
  <c r="L127" i="52"/>
  <c r="M127" i="52"/>
  <c r="N127" i="52"/>
  <c r="O127" i="52"/>
  <c r="P127" i="52"/>
  <c r="Q127" i="52"/>
  <c r="R127" i="52"/>
  <c r="S127" i="52"/>
  <c r="T127" i="52"/>
  <c r="U127" i="52"/>
  <c r="V127" i="52"/>
  <c r="W127" i="52"/>
  <c r="X127" i="52"/>
  <c r="Y127" i="52"/>
  <c r="Z127" i="52"/>
  <c r="AA127" i="52"/>
  <c r="AC127" i="52" s="1"/>
  <c r="D127" i="52"/>
  <c r="C126" i="52"/>
  <c r="A126" i="52"/>
  <c r="X28" i="57"/>
  <c r="Y28" i="57"/>
  <c r="Z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R28" i="57"/>
  <c r="S28" i="57"/>
  <c r="T28" i="57"/>
  <c r="U28" i="57"/>
  <c r="V28" i="57"/>
  <c r="W28" i="57"/>
  <c r="D28" i="57"/>
  <c r="L28" i="54"/>
  <c r="M28" i="54"/>
  <c r="N28" i="54"/>
  <c r="O28" i="54"/>
  <c r="P28" i="54"/>
  <c r="Q28" i="54"/>
  <c r="R28" i="54"/>
  <c r="S28" i="54"/>
  <c r="T28" i="54"/>
  <c r="U28" i="54"/>
  <c r="V28" i="54"/>
  <c r="W28" i="54"/>
  <c r="X28" i="54"/>
  <c r="Y28" i="54"/>
  <c r="Z28" i="54"/>
  <c r="D28" i="54"/>
  <c r="E28" i="54"/>
  <c r="F28" i="54"/>
  <c r="G28" i="54"/>
  <c r="H28" i="54"/>
  <c r="I28" i="54"/>
  <c r="J28" i="54"/>
  <c r="K28" i="54"/>
  <c r="AL28" i="55"/>
  <c r="AK28" i="55"/>
  <c r="AJ28" i="55"/>
  <c r="AA97" i="52"/>
  <c r="Z97" i="52"/>
  <c r="Y97" i="52"/>
  <c r="X97" i="52"/>
  <c r="W97" i="52"/>
  <c r="V97" i="52"/>
  <c r="U97" i="52"/>
  <c r="T97" i="52"/>
  <c r="S97" i="52"/>
  <c r="R97" i="52"/>
  <c r="Q97" i="52"/>
  <c r="P97" i="52"/>
  <c r="O97" i="52"/>
  <c r="N97" i="52"/>
  <c r="M97" i="52"/>
  <c r="L97" i="52"/>
  <c r="K97" i="52"/>
  <c r="J97" i="52"/>
  <c r="I97" i="52"/>
  <c r="H97" i="52"/>
  <c r="G97" i="52"/>
  <c r="F97" i="52"/>
  <c r="E97" i="52"/>
  <c r="D97" i="52"/>
  <c r="C96" i="52"/>
  <c r="A96" i="52"/>
  <c r="AA43" i="52"/>
  <c r="Z43" i="52"/>
  <c r="Y43" i="52"/>
  <c r="X43" i="52"/>
  <c r="W43" i="52"/>
  <c r="V43" i="52"/>
  <c r="U43" i="52"/>
  <c r="T43" i="52"/>
  <c r="S43" i="52"/>
  <c r="R43" i="52"/>
  <c r="Q43" i="52"/>
  <c r="P43" i="52"/>
  <c r="O43" i="52"/>
  <c r="N43" i="52"/>
  <c r="M43" i="52"/>
  <c r="L43" i="52"/>
  <c r="K43" i="52"/>
  <c r="J43" i="52"/>
  <c r="I43" i="52"/>
  <c r="H43" i="52"/>
  <c r="G43" i="52"/>
  <c r="F43" i="52"/>
  <c r="E43" i="52"/>
  <c r="D43" i="52"/>
  <c r="C42" i="52"/>
  <c r="A42" i="52"/>
  <c r="A2" i="52"/>
  <c r="A120" i="70"/>
  <c r="B119" i="70"/>
  <c r="E118" i="70"/>
  <c r="E119" i="70" s="1"/>
  <c r="E120" i="70" s="1"/>
  <c r="E116" i="70"/>
  <c r="E115" i="70" s="1"/>
  <c r="E114" i="70" s="1"/>
  <c r="B112" i="70"/>
  <c r="L109" i="70"/>
  <c r="K109" i="70"/>
  <c r="J109" i="70"/>
  <c r="I109" i="70"/>
  <c r="H109" i="70"/>
  <c r="G109" i="70"/>
  <c r="F109" i="70"/>
  <c r="E109" i="70"/>
  <c r="D109" i="70"/>
  <c r="C109" i="70"/>
  <c r="B109" i="70"/>
  <c r="A93" i="70"/>
  <c r="B92" i="70"/>
  <c r="E91" i="70"/>
  <c r="E90" i="70" s="1"/>
  <c r="E89" i="70" s="1"/>
  <c r="E88" i="70" s="1"/>
  <c r="B89" i="70"/>
  <c r="L83" i="70"/>
  <c r="K83" i="70"/>
  <c r="J83" i="70"/>
  <c r="I83" i="70"/>
  <c r="H83" i="70"/>
  <c r="G83" i="70"/>
  <c r="F83" i="70"/>
  <c r="E83" i="70"/>
  <c r="D83" i="70"/>
  <c r="C83" i="70"/>
  <c r="B83" i="70"/>
  <c r="A69" i="70"/>
  <c r="E68" i="70"/>
  <c r="B68" i="70"/>
  <c r="B65" i="70"/>
  <c r="L60" i="70"/>
  <c r="K60" i="70"/>
  <c r="J60" i="70"/>
  <c r="I60" i="70"/>
  <c r="H60" i="70"/>
  <c r="G60" i="70"/>
  <c r="F60" i="70"/>
  <c r="E60" i="70"/>
  <c r="D60" i="70"/>
  <c r="C60" i="70"/>
  <c r="L55" i="70"/>
  <c r="K55" i="70"/>
  <c r="J55" i="70"/>
  <c r="I55" i="70"/>
  <c r="H55" i="70"/>
  <c r="G55" i="70"/>
  <c r="F55" i="70"/>
  <c r="E55" i="70"/>
  <c r="D55" i="70"/>
  <c r="C55" i="70"/>
  <c r="A42" i="70"/>
  <c r="B41" i="70"/>
  <c r="E39" i="70"/>
  <c r="E38" i="70" s="1"/>
  <c r="E37" i="70" s="1"/>
  <c r="E36" i="70" s="1"/>
  <c r="B34" i="70"/>
  <c r="L31" i="70"/>
  <c r="K31" i="70"/>
  <c r="J31" i="70"/>
  <c r="I31" i="70"/>
  <c r="H31" i="70"/>
  <c r="G31" i="70"/>
  <c r="F31" i="70"/>
  <c r="E31" i="70"/>
  <c r="D31" i="70"/>
  <c r="C31" i="70"/>
  <c r="B31" i="70"/>
  <c r="D20" i="70"/>
  <c r="C20" i="70"/>
  <c r="C80" i="70" s="1"/>
  <c r="C96" i="70" s="1"/>
  <c r="B20" i="70"/>
  <c r="E15" i="70"/>
  <c r="D15" i="70"/>
  <c r="C15" i="70"/>
  <c r="B15" i="70" s="1"/>
  <c r="D12" i="70"/>
  <c r="E12" i="70" s="1"/>
  <c r="C12" i="70"/>
  <c r="B10" i="70"/>
  <c r="B9" i="70"/>
  <c r="B2" i="70"/>
  <c r="F28" i="70" s="1"/>
  <c r="Z38" i="54"/>
  <c r="Y38" i="54"/>
  <c r="X38" i="54"/>
  <c r="W38" i="54"/>
  <c r="V38" i="54"/>
  <c r="U38" i="54"/>
  <c r="T38" i="54"/>
  <c r="S38" i="54"/>
  <c r="R38" i="54"/>
  <c r="Q38" i="54"/>
  <c r="P38" i="54"/>
  <c r="O38" i="54"/>
  <c r="N38" i="54"/>
  <c r="M38" i="54"/>
  <c r="L38" i="54"/>
  <c r="K38" i="54"/>
  <c r="J38" i="54"/>
  <c r="I38" i="54"/>
  <c r="H38" i="54"/>
  <c r="G38" i="54"/>
  <c r="F38" i="54"/>
  <c r="E38" i="54"/>
  <c r="D38" i="54"/>
  <c r="Z37" i="54"/>
  <c r="Y37" i="54"/>
  <c r="H135" i="56" s="1"/>
  <c r="X37" i="54"/>
  <c r="W37" i="54"/>
  <c r="V37" i="54"/>
  <c r="U37" i="54"/>
  <c r="T37" i="54"/>
  <c r="S37" i="54"/>
  <c r="R37" i="54"/>
  <c r="Q37" i="54"/>
  <c r="P37" i="54"/>
  <c r="O37" i="54"/>
  <c r="N37" i="54"/>
  <c r="M37" i="54"/>
  <c r="L37" i="54"/>
  <c r="K37" i="54"/>
  <c r="J37" i="54"/>
  <c r="I37" i="54"/>
  <c r="H37" i="54"/>
  <c r="G37" i="54"/>
  <c r="F37" i="54"/>
  <c r="E37" i="54"/>
  <c r="D37" i="54"/>
  <c r="Z36" i="54"/>
  <c r="Y36" i="54"/>
  <c r="X36" i="54"/>
  <c r="W36" i="54"/>
  <c r="V36" i="54"/>
  <c r="U36" i="54"/>
  <c r="T36" i="54"/>
  <c r="S36" i="54"/>
  <c r="R36" i="54"/>
  <c r="Q36" i="54"/>
  <c r="P36" i="54"/>
  <c r="O36" i="54"/>
  <c r="C53" i="69" s="1"/>
  <c r="N36" i="54"/>
  <c r="M36" i="54"/>
  <c r="L36" i="54"/>
  <c r="K36" i="54"/>
  <c r="J36" i="54"/>
  <c r="I36" i="54"/>
  <c r="H36" i="54"/>
  <c r="G36" i="54"/>
  <c r="F36" i="54"/>
  <c r="E36" i="54"/>
  <c r="D36" i="54"/>
  <c r="Z35" i="54"/>
  <c r="Y35" i="54"/>
  <c r="X35" i="54"/>
  <c r="W35" i="54"/>
  <c r="V35" i="54"/>
  <c r="U35" i="54"/>
  <c r="T35" i="54"/>
  <c r="S35" i="54"/>
  <c r="E140" i="56" s="1"/>
  <c r="R35" i="54"/>
  <c r="Q35" i="54"/>
  <c r="P35" i="54"/>
  <c r="O35" i="54"/>
  <c r="D140" i="56" s="1"/>
  <c r="N35" i="54"/>
  <c r="M35" i="54"/>
  <c r="L35" i="54"/>
  <c r="K35" i="54"/>
  <c r="J35" i="54"/>
  <c r="I35" i="54"/>
  <c r="H35" i="54"/>
  <c r="G35" i="54"/>
  <c r="F35" i="54"/>
  <c r="E35" i="54"/>
  <c r="D35" i="54"/>
  <c r="Z34" i="54"/>
  <c r="Y34" i="54"/>
  <c r="H139" i="56" s="1"/>
  <c r="X34" i="54"/>
  <c r="W34" i="54"/>
  <c r="F139" i="56" s="1"/>
  <c r="V34" i="54"/>
  <c r="U34" i="54"/>
  <c r="T34" i="54"/>
  <c r="S34" i="54"/>
  <c r="R34" i="54"/>
  <c r="Q34" i="54"/>
  <c r="P34" i="54"/>
  <c r="O34" i="54"/>
  <c r="D139" i="56" s="1"/>
  <c r="N34" i="54"/>
  <c r="M34" i="54"/>
  <c r="L34" i="54"/>
  <c r="K34" i="54"/>
  <c r="J34" i="54"/>
  <c r="I34" i="54"/>
  <c r="H34" i="54"/>
  <c r="G34" i="54"/>
  <c r="F34" i="54"/>
  <c r="E34" i="54"/>
  <c r="D34" i="54"/>
  <c r="Z33" i="54"/>
  <c r="Y33" i="54"/>
  <c r="X33" i="54"/>
  <c r="W33" i="54"/>
  <c r="V33" i="54"/>
  <c r="U33" i="54"/>
  <c r="T33" i="54"/>
  <c r="S33" i="54"/>
  <c r="R33" i="54"/>
  <c r="Q33" i="54"/>
  <c r="P33" i="54"/>
  <c r="O33" i="54"/>
  <c r="N33" i="54"/>
  <c r="M33" i="54"/>
  <c r="L33" i="54"/>
  <c r="K33" i="54"/>
  <c r="J33" i="54"/>
  <c r="I33" i="54"/>
  <c r="H33" i="54"/>
  <c r="G33" i="54"/>
  <c r="F33" i="54"/>
  <c r="E33" i="54"/>
  <c r="D33" i="54"/>
  <c r="Z32" i="54"/>
  <c r="Y32" i="54"/>
  <c r="X32" i="54"/>
  <c r="W32" i="54"/>
  <c r="V32" i="54"/>
  <c r="U32" i="54"/>
  <c r="T32" i="54"/>
  <c r="S32" i="54"/>
  <c r="R32" i="54"/>
  <c r="Q32" i="54"/>
  <c r="P32" i="54"/>
  <c r="O32" i="54"/>
  <c r="N32" i="54"/>
  <c r="M32" i="54"/>
  <c r="L32" i="54"/>
  <c r="K32" i="54"/>
  <c r="J32" i="54"/>
  <c r="I32" i="54"/>
  <c r="H32" i="54"/>
  <c r="G32" i="54"/>
  <c r="F32" i="54"/>
  <c r="E32" i="54"/>
  <c r="D32" i="54"/>
  <c r="Z31" i="54"/>
  <c r="Y31" i="54"/>
  <c r="X31" i="54"/>
  <c r="W31" i="54"/>
  <c r="V31" i="54"/>
  <c r="U31" i="54"/>
  <c r="T31" i="54"/>
  <c r="S31" i="54"/>
  <c r="R31" i="54"/>
  <c r="Q31" i="54"/>
  <c r="P31" i="54"/>
  <c r="O31" i="54"/>
  <c r="N31" i="54"/>
  <c r="M31" i="54"/>
  <c r="L31" i="54"/>
  <c r="K31" i="54"/>
  <c r="J31" i="54"/>
  <c r="I31" i="54"/>
  <c r="H31" i="54"/>
  <c r="G31" i="54"/>
  <c r="F31" i="54"/>
  <c r="E31" i="54"/>
  <c r="D31" i="54"/>
  <c r="AJ30" i="54"/>
  <c r="AI30" i="54"/>
  <c r="AH30" i="54"/>
  <c r="AG30" i="54"/>
  <c r="AF30" i="54"/>
  <c r="AE30" i="54"/>
  <c r="AD30" i="54"/>
  <c r="AC30" i="54"/>
  <c r="AB30" i="54"/>
  <c r="AA30" i="54"/>
  <c r="F50" i="69" s="1"/>
  <c r="Z30" i="54"/>
  <c r="Y30" i="54"/>
  <c r="X30" i="54"/>
  <c r="W30" i="54"/>
  <c r="V30" i="54"/>
  <c r="U30" i="54"/>
  <c r="T30" i="54"/>
  <c r="S30" i="54"/>
  <c r="D50" i="69" s="1"/>
  <c r="R30" i="54"/>
  <c r="Q30" i="54"/>
  <c r="P30" i="54"/>
  <c r="O30" i="54"/>
  <c r="N30" i="54"/>
  <c r="M30" i="54"/>
  <c r="L30" i="54"/>
  <c r="K30" i="54"/>
  <c r="J30" i="54"/>
  <c r="I30" i="54"/>
  <c r="H30" i="54"/>
  <c r="G30" i="54"/>
  <c r="F30" i="54"/>
  <c r="E30" i="54"/>
  <c r="D30" i="54"/>
  <c r="Z29" i="54"/>
  <c r="Y29" i="54"/>
  <c r="H138" i="56" s="1"/>
  <c r="X29" i="54"/>
  <c r="W29" i="54"/>
  <c r="V29" i="54"/>
  <c r="U29" i="54"/>
  <c r="T29" i="54"/>
  <c r="S29" i="54"/>
  <c r="R29" i="54"/>
  <c r="Q29" i="54"/>
  <c r="P29" i="54"/>
  <c r="O29" i="54"/>
  <c r="N29" i="54"/>
  <c r="M29" i="54"/>
  <c r="L29" i="54"/>
  <c r="K29" i="54"/>
  <c r="J29" i="54"/>
  <c r="I29" i="54"/>
  <c r="H29" i="54"/>
  <c r="G29" i="54"/>
  <c r="F29" i="54"/>
  <c r="E29" i="54"/>
  <c r="D29" i="54"/>
  <c r="AJ27" i="54"/>
  <c r="AI27" i="54"/>
  <c r="AH27" i="54"/>
  <c r="AG27" i="54"/>
  <c r="AF27" i="54"/>
  <c r="AE27" i="54"/>
  <c r="AD27" i="54"/>
  <c r="AC27" i="54"/>
  <c r="AB27" i="54"/>
  <c r="AA27" i="54"/>
  <c r="AJ26" i="54"/>
  <c r="AI26" i="54"/>
  <c r="AH26" i="54"/>
  <c r="AG26" i="54"/>
  <c r="AF26" i="54"/>
  <c r="AE26" i="54"/>
  <c r="AD26" i="54"/>
  <c r="AC26" i="54"/>
  <c r="AB26" i="54"/>
  <c r="AA26" i="54"/>
  <c r="AJ25" i="54"/>
  <c r="AI25" i="54"/>
  <c r="AH25" i="54"/>
  <c r="AG25" i="54"/>
  <c r="AF25" i="54"/>
  <c r="AE25" i="54"/>
  <c r="AD25" i="54"/>
  <c r="AC25" i="54"/>
  <c r="AB25" i="54"/>
  <c r="AA25" i="54"/>
  <c r="AJ24" i="54"/>
  <c r="AI24" i="54"/>
  <c r="AH24" i="54"/>
  <c r="AG24" i="54"/>
  <c r="AF24" i="54"/>
  <c r="AE24" i="54"/>
  <c r="AD24" i="54"/>
  <c r="AC24" i="54"/>
  <c r="AB24" i="54"/>
  <c r="AA24" i="54"/>
  <c r="AJ23" i="54"/>
  <c r="AI23" i="54"/>
  <c r="AH23" i="54"/>
  <c r="AH21" i="54" s="1"/>
  <c r="AG23" i="54"/>
  <c r="AF23" i="54"/>
  <c r="AE23" i="54"/>
  <c r="AD23" i="54"/>
  <c r="AD21" i="54" s="1"/>
  <c r="AC23" i="54"/>
  <c r="AB23" i="54"/>
  <c r="AA23" i="54"/>
  <c r="AJ22" i="54"/>
  <c r="AJ21" i="54" s="1"/>
  <c r="AI22" i="54"/>
  <c r="AH22" i="54"/>
  <c r="AG22" i="54"/>
  <c r="AF22" i="54"/>
  <c r="AF21" i="54" s="1"/>
  <c r="AE22" i="54"/>
  <c r="AD22" i="54"/>
  <c r="AC22" i="54"/>
  <c r="AB22" i="54"/>
  <c r="AB21" i="54" s="1"/>
  <c r="AA22" i="54"/>
  <c r="Z21" i="54"/>
  <c r="Y21" i="54"/>
  <c r="X21" i="54"/>
  <c r="W21" i="54"/>
  <c r="V21" i="54"/>
  <c r="U21" i="54"/>
  <c r="T21" i="54"/>
  <c r="S21" i="54"/>
  <c r="R21" i="54"/>
  <c r="Q21" i="54"/>
  <c r="P21" i="54"/>
  <c r="O21" i="54"/>
  <c r="N21" i="54"/>
  <c r="M21" i="54"/>
  <c r="L21" i="54"/>
  <c r="K21" i="54"/>
  <c r="J21" i="54"/>
  <c r="I21" i="54"/>
  <c r="H21" i="54"/>
  <c r="G21" i="54"/>
  <c r="F21" i="54"/>
  <c r="E21" i="54"/>
  <c r="D21" i="54"/>
  <c r="AJ19" i="54"/>
  <c r="AI19" i="54"/>
  <c r="AH19" i="54"/>
  <c r="AG19" i="54"/>
  <c r="AF19" i="54"/>
  <c r="AE19" i="54"/>
  <c r="AD19" i="54"/>
  <c r="AC19" i="54"/>
  <c r="AB19" i="54"/>
  <c r="AA19" i="54"/>
  <c r="AJ18" i="54"/>
  <c r="AJ17" i="54" s="1"/>
  <c r="AI18" i="54"/>
  <c r="AH18" i="54"/>
  <c r="AG18" i="54"/>
  <c r="AF18" i="54"/>
  <c r="AE18" i="54"/>
  <c r="AD18" i="54"/>
  <c r="AC18" i="54"/>
  <c r="AB18" i="54"/>
  <c r="AA18" i="54"/>
  <c r="AB17" i="54"/>
  <c r="Z17" i="54"/>
  <c r="Y17" i="54"/>
  <c r="X17" i="54"/>
  <c r="W17" i="54"/>
  <c r="B54" i="70" s="1"/>
  <c r="V17" i="54"/>
  <c r="U17" i="54"/>
  <c r="T17" i="54"/>
  <c r="S17" i="54"/>
  <c r="D45" i="69" s="1"/>
  <c r="R17" i="54"/>
  <c r="Q17" i="54"/>
  <c r="P17" i="54"/>
  <c r="O17" i="54"/>
  <c r="N17" i="54"/>
  <c r="M17" i="54"/>
  <c r="L17" i="54"/>
  <c r="K17" i="54"/>
  <c r="J17" i="54"/>
  <c r="I17" i="54"/>
  <c r="H17" i="54"/>
  <c r="G17" i="54"/>
  <c r="F17" i="54"/>
  <c r="E17" i="54"/>
  <c r="D17" i="54"/>
  <c r="Z16" i="54"/>
  <c r="Y16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H16" i="54"/>
  <c r="G16" i="54"/>
  <c r="F16" i="54"/>
  <c r="E16" i="54"/>
  <c r="D16" i="54"/>
  <c r="Z15" i="54"/>
  <c r="Y15" i="54"/>
  <c r="X15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H15" i="54"/>
  <c r="G15" i="54"/>
  <c r="F15" i="54"/>
  <c r="E15" i="54"/>
  <c r="D15" i="54"/>
  <c r="Z7" i="54"/>
  <c r="Y7" i="54"/>
  <c r="X7" i="54"/>
  <c r="W7" i="54"/>
  <c r="V7" i="54"/>
  <c r="U7" i="54"/>
  <c r="T7" i="54"/>
  <c r="S7" i="54"/>
  <c r="R7" i="54"/>
  <c r="Q7" i="54"/>
  <c r="P7" i="54"/>
  <c r="O7" i="54"/>
  <c r="N7" i="54"/>
  <c r="M7" i="54"/>
  <c r="L7" i="54"/>
  <c r="K7" i="54"/>
  <c r="J7" i="54"/>
  <c r="I7" i="54"/>
  <c r="H7" i="54"/>
  <c r="G7" i="54"/>
  <c r="F7" i="54"/>
  <c r="E7" i="54"/>
  <c r="D7" i="54"/>
  <c r="Z6" i="54"/>
  <c r="Y6" i="54"/>
  <c r="X6" i="54"/>
  <c r="W6" i="54"/>
  <c r="V6" i="54"/>
  <c r="U6" i="54"/>
  <c r="T6" i="54"/>
  <c r="S6" i="54"/>
  <c r="R6" i="54"/>
  <c r="Q6" i="54"/>
  <c r="P6" i="54"/>
  <c r="O6" i="54"/>
  <c r="D71" i="56" s="1"/>
  <c r="N6" i="54"/>
  <c r="M6" i="54"/>
  <c r="L6" i="54"/>
  <c r="K6" i="54"/>
  <c r="J6" i="54"/>
  <c r="I6" i="54"/>
  <c r="H6" i="54"/>
  <c r="G6" i="54"/>
  <c r="F6" i="54"/>
  <c r="E6" i="54"/>
  <c r="D6" i="54"/>
  <c r="Z5" i="54"/>
  <c r="Y5" i="54"/>
  <c r="X5" i="54"/>
  <c r="W5" i="54"/>
  <c r="V5" i="54"/>
  <c r="U5" i="54"/>
  <c r="T5" i="54"/>
  <c r="S5" i="54"/>
  <c r="R5" i="54"/>
  <c r="Q5" i="54"/>
  <c r="P5" i="54"/>
  <c r="O5" i="54"/>
  <c r="N5" i="54"/>
  <c r="M5" i="54"/>
  <c r="L5" i="54"/>
  <c r="K5" i="54"/>
  <c r="J5" i="54"/>
  <c r="I5" i="54"/>
  <c r="H5" i="54"/>
  <c r="G5" i="54"/>
  <c r="F5" i="54"/>
  <c r="E5" i="54"/>
  <c r="D5" i="54"/>
  <c r="Z4" i="54"/>
  <c r="Y4" i="54"/>
  <c r="X4" i="54"/>
  <c r="W4" i="54"/>
  <c r="V4" i="54"/>
  <c r="U4" i="54"/>
  <c r="T4" i="54"/>
  <c r="S4" i="54"/>
  <c r="R4" i="54"/>
  <c r="Q4" i="54"/>
  <c r="P4" i="54"/>
  <c r="O4" i="54"/>
  <c r="N4" i="54"/>
  <c r="M4" i="54"/>
  <c r="L4" i="54"/>
  <c r="K4" i="54"/>
  <c r="J4" i="54"/>
  <c r="I4" i="54"/>
  <c r="H4" i="54"/>
  <c r="G4" i="54"/>
  <c r="F4" i="54"/>
  <c r="E4" i="54"/>
  <c r="D4" i="54"/>
  <c r="Z31" i="57"/>
  <c r="Y31" i="57"/>
  <c r="X31" i="57"/>
  <c r="W31" i="57"/>
  <c r="V31" i="57"/>
  <c r="U31" i="57"/>
  <c r="T31" i="57"/>
  <c r="S31" i="57"/>
  <c r="R31" i="57"/>
  <c r="Q31" i="57"/>
  <c r="P31" i="57"/>
  <c r="O31" i="57"/>
  <c r="N31" i="57"/>
  <c r="M31" i="57"/>
  <c r="L31" i="57"/>
  <c r="K31" i="57"/>
  <c r="J31" i="57"/>
  <c r="I31" i="57"/>
  <c r="H31" i="57"/>
  <c r="G31" i="57"/>
  <c r="F31" i="57"/>
  <c r="E31" i="57"/>
  <c r="D31" i="57"/>
  <c r="Z30" i="57"/>
  <c r="Y30" i="57"/>
  <c r="X30" i="57"/>
  <c r="W30" i="57"/>
  <c r="V30" i="57"/>
  <c r="U30" i="57"/>
  <c r="T30" i="57"/>
  <c r="S30" i="57"/>
  <c r="R30" i="57"/>
  <c r="Q30" i="57"/>
  <c r="P30" i="57"/>
  <c r="O30" i="57"/>
  <c r="N30" i="57"/>
  <c r="M30" i="57"/>
  <c r="L30" i="57"/>
  <c r="K30" i="57"/>
  <c r="J30" i="57"/>
  <c r="I30" i="57"/>
  <c r="H30" i="57"/>
  <c r="G30" i="57"/>
  <c r="F30" i="57"/>
  <c r="E30" i="57"/>
  <c r="D30" i="57"/>
  <c r="Z27" i="57"/>
  <c r="Y27" i="57"/>
  <c r="X27" i="57"/>
  <c r="W27" i="57"/>
  <c r="V27" i="57"/>
  <c r="U27" i="57"/>
  <c r="T27" i="57"/>
  <c r="AC36" i="55" s="1"/>
  <c r="S27" i="57"/>
  <c r="R27" i="57"/>
  <c r="Q27" i="57"/>
  <c r="P27" i="57"/>
  <c r="Y36" i="55" s="1"/>
  <c r="O27" i="57"/>
  <c r="N27" i="57"/>
  <c r="M27" i="57"/>
  <c r="L27" i="57"/>
  <c r="U36" i="55" s="1"/>
  <c r="K27" i="57"/>
  <c r="J27" i="57"/>
  <c r="I27" i="57"/>
  <c r="H27" i="57"/>
  <c r="G27" i="57"/>
  <c r="F27" i="57"/>
  <c r="E27" i="57"/>
  <c r="D27" i="57"/>
  <c r="Z25" i="57"/>
  <c r="Y25" i="57"/>
  <c r="X25" i="57"/>
  <c r="W25" i="57"/>
  <c r="V25" i="57"/>
  <c r="U25" i="57"/>
  <c r="T25" i="57"/>
  <c r="AC33" i="55" s="1"/>
  <c r="S25" i="57"/>
  <c r="R25" i="57"/>
  <c r="Q25" i="57"/>
  <c r="P25" i="57"/>
  <c r="Y33" i="55" s="1"/>
  <c r="O25" i="57"/>
  <c r="N25" i="57"/>
  <c r="M25" i="57"/>
  <c r="L25" i="57"/>
  <c r="K25" i="57"/>
  <c r="J25" i="57"/>
  <c r="I25" i="57"/>
  <c r="H25" i="57"/>
  <c r="G25" i="57"/>
  <c r="F25" i="57"/>
  <c r="E25" i="57"/>
  <c r="D25" i="57"/>
  <c r="Z24" i="57"/>
  <c r="Z26" i="57" s="1"/>
  <c r="Y24" i="57"/>
  <c r="X24" i="57"/>
  <c r="W24" i="57"/>
  <c r="V24" i="57"/>
  <c r="V26" i="57" s="1"/>
  <c r="U24" i="57"/>
  <c r="T24" i="57"/>
  <c r="S24" i="57"/>
  <c r="R24" i="57"/>
  <c r="R26" i="57" s="1"/>
  <c r="Q24" i="57"/>
  <c r="P24" i="57"/>
  <c r="O24" i="57"/>
  <c r="N24" i="57"/>
  <c r="N26" i="57" s="1"/>
  <c r="M24" i="57"/>
  <c r="L24" i="57"/>
  <c r="K24" i="57"/>
  <c r="J24" i="57"/>
  <c r="J26" i="57" s="1"/>
  <c r="I24" i="57"/>
  <c r="H24" i="57"/>
  <c r="G24" i="57"/>
  <c r="F24" i="57"/>
  <c r="F26" i="57" s="1"/>
  <c r="E24" i="57"/>
  <c r="D24" i="57"/>
  <c r="Z23" i="57"/>
  <c r="Y23" i="57"/>
  <c r="X23" i="57"/>
  <c r="W23" i="57"/>
  <c r="AA23" i="57" s="1"/>
  <c r="V23" i="57"/>
  <c r="U23" i="57"/>
  <c r="T23" i="57"/>
  <c r="S23" i="57"/>
  <c r="R23" i="57"/>
  <c r="Q23" i="57"/>
  <c r="P23" i="57"/>
  <c r="O23" i="57"/>
  <c r="N23" i="57"/>
  <c r="M23" i="57"/>
  <c r="L23" i="57"/>
  <c r="K23" i="57"/>
  <c r="J23" i="57"/>
  <c r="I23" i="57"/>
  <c r="H23" i="57"/>
  <c r="G23" i="57"/>
  <c r="F23" i="57"/>
  <c r="E23" i="57"/>
  <c r="D23" i="57"/>
  <c r="Z22" i="57"/>
  <c r="Y22" i="57"/>
  <c r="X22" i="57"/>
  <c r="W22" i="57"/>
  <c r="V22" i="57"/>
  <c r="U22" i="57"/>
  <c r="T22" i="57"/>
  <c r="S22" i="57"/>
  <c r="R22" i="57"/>
  <c r="Q22" i="57"/>
  <c r="P22" i="57"/>
  <c r="O22" i="57"/>
  <c r="N22" i="57"/>
  <c r="M22" i="57"/>
  <c r="L22" i="57"/>
  <c r="K22" i="57"/>
  <c r="J22" i="57"/>
  <c r="I22" i="57"/>
  <c r="H22" i="57"/>
  <c r="G22" i="57"/>
  <c r="F22" i="57"/>
  <c r="E22" i="57"/>
  <c r="D22" i="57"/>
  <c r="Z21" i="57"/>
  <c r="Y21" i="57"/>
  <c r="X21" i="57"/>
  <c r="W21" i="57"/>
  <c r="V21" i="57"/>
  <c r="U21" i="57"/>
  <c r="T21" i="57"/>
  <c r="AC30" i="55" s="1"/>
  <c r="S21" i="57"/>
  <c r="R21" i="57"/>
  <c r="Q21" i="57"/>
  <c r="P21" i="57"/>
  <c r="Y30" i="55" s="1"/>
  <c r="O21" i="57"/>
  <c r="N21" i="57"/>
  <c r="M21" i="57"/>
  <c r="L21" i="57"/>
  <c r="U30" i="55" s="1"/>
  <c r="K21" i="57"/>
  <c r="J21" i="57"/>
  <c r="I21" i="57"/>
  <c r="H21" i="57"/>
  <c r="G21" i="57"/>
  <c r="F21" i="57"/>
  <c r="E21" i="57"/>
  <c r="D21" i="57"/>
  <c r="Z20" i="57"/>
  <c r="Y20" i="57"/>
  <c r="X20" i="57"/>
  <c r="W20" i="57"/>
  <c r="V20" i="57"/>
  <c r="AE27" i="55" s="1"/>
  <c r="U20" i="57"/>
  <c r="T20" i="57"/>
  <c r="S20" i="57"/>
  <c r="R20" i="57"/>
  <c r="AA27" i="55" s="1"/>
  <c r="Q20" i="57"/>
  <c r="P20" i="57"/>
  <c r="Z27" i="55" s="1"/>
  <c r="O20" i="57"/>
  <c r="N20" i="57"/>
  <c r="W27" i="55" s="1"/>
  <c r="M20" i="57"/>
  <c r="L20" i="57"/>
  <c r="K20" i="57"/>
  <c r="J20" i="57"/>
  <c r="I20" i="57"/>
  <c r="H20" i="57"/>
  <c r="G20" i="57"/>
  <c r="F20" i="57"/>
  <c r="E20" i="57"/>
  <c r="D20" i="57"/>
  <c r="Z19" i="57"/>
  <c r="I128" i="56" s="1"/>
  <c r="Y19" i="57"/>
  <c r="H128" i="56" s="1"/>
  <c r="X19" i="57"/>
  <c r="W19" i="57"/>
  <c r="V19" i="57"/>
  <c r="U19" i="57"/>
  <c r="T19" i="57"/>
  <c r="S19" i="57"/>
  <c r="R19" i="57"/>
  <c r="Q19" i="57"/>
  <c r="P19" i="57"/>
  <c r="O19" i="57"/>
  <c r="N19" i="57"/>
  <c r="M19" i="57"/>
  <c r="L19" i="57"/>
  <c r="K19" i="57"/>
  <c r="J19" i="57"/>
  <c r="I19" i="57"/>
  <c r="H19" i="57"/>
  <c r="G19" i="57"/>
  <c r="F19" i="57"/>
  <c r="E19" i="57"/>
  <c r="D19" i="57"/>
  <c r="Z18" i="57"/>
  <c r="I132" i="56" s="1"/>
  <c r="Y18" i="57"/>
  <c r="H132" i="56" s="1"/>
  <c r="X18" i="57"/>
  <c r="G132" i="56" s="1"/>
  <c r="W18" i="57"/>
  <c r="V18" i="57"/>
  <c r="U18" i="57"/>
  <c r="T18" i="57"/>
  <c r="S18" i="57"/>
  <c r="R18" i="57"/>
  <c r="Q18" i="57"/>
  <c r="P18" i="57"/>
  <c r="O18" i="57"/>
  <c r="N18" i="57"/>
  <c r="M18" i="57"/>
  <c r="L18" i="57"/>
  <c r="K18" i="57"/>
  <c r="J18" i="57"/>
  <c r="I18" i="57"/>
  <c r="H18" i="57"/>
  <c r="G18" i="57"/>
  <c r="F18" i="57"/>
  <c r="E18" i="57"/>
  <c r="D18" i="57"/>
  <c r="Z17" i="57"/>
  <c r="Y17" i="57"/>
  <c r="X17" i="57"/>
  <c r="W17" i="57"/>
  <c r="V17" i="57"/>
  <c r="U17" i="57"/>
  <c r="T17" i="57"/>
  <c r="S17" i="57"/>
  <c r="R17" i="57"/>
  <c r="Q17" i="57"/>
  <c r="P17" i="57"/>
  <c r="O17" i="57"/>
  <c r="N17" i="57"/>
  <c r="M17" i="57"/>
  <c r="L17" i="57"/>
  <c r="K17" i="57"/>
  <c r="J17" i="57"/>
  <c r="I17" i="57"/>
  <c r="H17" i="57"/>
  <c r="G17" i="57"/>
  <c r="F17" i="57"/>
  <c r="E17" i="57"/>
  <c r="D17" i="57"/>
  <c r="Z16" i="57"/>
  <c r="Y16" i="57"/>
  <c r="X16" i="57"/>
  <c r="W16" i="57"/>
  <c r="V16" i="57"/>
  <c r="AF9" i="55" s="1"/>
  <c r="U16" i="57"/>
  <c r="T16" i="57"/>
  <c r="S16" i="57"/>
  <c r="R16" i="57"/>
  <c r="AB9" i="55" s="1"/>
  <c r="Q16" i="57"/>
  <c r="P16" i="57"/>
  <c r="O16" i="57"/>
  <c r="N16" i="57"/>
  <c r="X9" i="55" s="1"/>
  <c r="M16" i="57"/>
  <c r="L16" i="57"/>
  <c r="K16" i="57"/>
  <c r="J16" i="57"/>
  <c r="I16" i="57"/>
  <c r="H16" i="57"/>
  <c r="G16" i="57"/>
  <c r="F16" i="57"/>
  <c r="E16" i="57"/>
  <c r="D16" i="57"/>
  <c r="Z15" i="57"/>
  <c r="Y15" i="57"/>
  <c r="X15" i="57"/>
  <c r="W15" i="57"/>
  <c r="V15" i="57"/>
  <c r="U15" i="57"/>
  <c r="T15" i="57"/>
  <c r="S15" i="57"/>
  <c r="AB24" i="55" s="1"/>
  <c r="R15" i="57"/>
  <c r="Q15" i="57"/>
  <c r="Z24" i="55" s="1"/>
  <c r="P15" i="57"/>
  <c r="O15" i="57"/>
  <c r="N15" i="57"/>
  <c r="M15" i="57"/>
  <c r="L15" i="57"/>
  <c r="K15" i="57"/>
  <c r="J15" i="57"/>
  <c r="I15" i="57"/>
  <c r="H15" i="57"/>
  <c r="G15" i="57"/>
  <c r="F15" i="57"/>
  <c r="E15" i="57"/>
  <c r="D15" i="57"/>
  <c r="Z14" i="57"/>
  <c r="Y14" i="57"/>
  <c r="X14" i="57"/>
  <c r="W14" i="57"/>
  <c r="V14" i="57"/>
  <c r="U14" i="57"/>
  <c r="T14" i="57"/>
  <c r="AC21" i="55" s="1"/>
  <c r="S14" i="57"/>
  <c r="R14" i="57"/>
  <c r="AA21" i="55" s="1"/>
  <c r="Q14" i="57"/>
  <c r="P14" i="57"/>
  <c r="Y21" i="55" s="1"/>
  <c r="O14" i="57"/>
  <c r="N14" i="57"/>
  <c r="M14" i="57"/>
  <c r="L14" i="57"/>
  <c r="U21" i="55" s="1"/>
  <c r="K14" i="57"/>
  <c r="J14" i="57"/>
  <c r="I14" i="57"/>
  <c r="H14" i="57"/>
  <c r="G14" i="57"/>
  <c r="F14" i="57"/>
  <c r="E14" i="57"/>
  <c r="D14" i="57"/>
  <c r="Z13" i="57"/>
  <c r="Y13" i="57"/>
  <c r="X13" i="57"/>
  <c r="W13" i="57"/>
  <c r="V13" i="57"/>
  <c r="U13" i="57"/>
  <c r="T13" i="57"/>
  <c r="AC18" i="55" s="1"/>
  <c r="S13" i="57"/>
  <c r="R13" i="57"/>
  <c r="Q13" i="57"/>
  <c r="P13" i="57"/>
  <c r="Y18" i="55" s="1"/>
  <c r="O13" i="57"/>
  <c r="N13" i="57"/>
  <c r="M13" i="57"/>
  <c r="L13" i="57"/>
  <c r="U18" i="55" s="1"/>
  <c r="K13" i="57"/>
  <c r="J13" i="57"/>
  <c r="I13" i="57"/>
  <c r="H13" i="57"/>
  <c r="G13" i="57"/>
  <c r="F13" i="57"/>
  <c r="E13" i="57"/>
  <c r="D13" i="57"/>
  <c r="Z12" i="57"/>
  <c r="Y12" i="57"/>
  <c r="X12" i="57"/>
  <c r="W12" i="57"/>
  <c r="V12" i="57"/>
  <c r="AE15" i="55" s="1"/>
  <c r="U12" i="57"/>
  <c r="T12" i="57"/>
  <c r="S12" i="57"/>
  <c r="R12" i="57"/>
  <c r="AA15" i="55" s="1"/>
  <c r="Q12" i="57"/>
  <c r="P12" i="57"/>
  <c r="O12" i="57"/>
  <c r="N12" i="57"/>
  <c r="W15" i="55" s="1"/>
  <c r="M12" i="57"/>
  <c r="L12" i="57"/>
  <c r="U15" i="55" s="1"/>
  <c r="K12" i="57"/>
  <c r="J12" i="57"/>
  <c r="I12" i="57"/>
  <c r="H12" i="57"/>
  <c r="G12" i="57"/>
  <c r="F12" i="57"/>
  <c r="E12" i="57"/>
  <c r="D12" i="57"/>
  <c r="Z11" i="57"/>
  <c r="Y11" i="57"/>
  <c r="X11" i="57"/>
  <c r="W11" i="57"/>
  <c r="V11" i="57"/>
  <c r="U11" i="57"/>
  <c r="T11" i="57"/>
  <c r="S11" i="57"/>
  <c r="R11" i="57"/>
  <c r="Q11" i="57"/>
  <c r="P11" i="57"/>
  <c r="O11" i="57"/>
  <c r="N11" i="57"/>
  <c r="M11" i="57"/>
  <c r="L11" i="57"/>
  <c r="K11" i="57"/>
  <c r="J11" i="57"/>
  <c r="I11" i="57"/>
  <c r="H11" i="57"/>
  <c r="G11" i="57"/>
  <c r="F11" i="57"/>
  <c r="E11" i="57"/>
  <c r="D11" i="57"/>
  <c r="Z10" i="57"/>
  <c r="Y10" i="57"/>
  <c r="X10" i="57"/>
  <c r="W10" i="57"/>
  <c r="V10" i="57"/>
  <c r="U10" i="57"/>
  <c r="T10" i="57"/>
  <c r="S10" i="57"/>
  <c r="R10" i="57"/>
  <c r="Q10" i="57"/>
  <c r="P10" i="57"/>
  <c r="O10" i="57"/>
  <c r="N10" i="57"/>
  <c r="M10" i="57"/>
  <c r="L10" i="57"/>
  <c r="K10" i="57"/>
  <c r="J10" i="57"/>
  <c r="I10" i="57"/>
  <c r="H10" i="57"/>
  <c r="G10" i="57"/>
  <c r="F10" i="57"/>
  <c r="E10" i="57"/>
  <c r="D10" i="57"/>
  <c r="AJ9" i="57"/>
  <c r="AI9" i="57"/>
  <c r="AH9" i="57"/>
  <c r="Q6" i="56" s="1"/>
  <c r="AG9" i="57"/>
  <c r="P6" i="56" s="1"/>
  <c r="AF9" i="57"/>
  <c r="AE9" i="57"/>
  <c r="N6" i="56" s="1"/>
  <c r="N13" i="56" s="1"/>
  <c r="AD9" i="57"/>
  <c r="Z9" i="57"/>
  <c r="I6" i="56" s="1"/>
  <c r="Y9" i="57"/>
  <c r="X9" i="57"/>
  <c r="W9" i="57"/>
  <c r="V9" i="57"/>
  <c r="AE7" i="55" s="1"/>
  <c r="U9" i="57"/>
  <c r="T9" i="57"/>
  <c r="S9" i="57"/>
  <c r="R9" i="57"/>
  <c r="AA7" i="55" s="1"/>
  <c r="Q9" i="57"/>
  <c r="P9" i="57"/>
  <c r="O9" i="57"/>
  <c r="N9" i="57"/>
  <c r="W7" i="55" s="1"/>
  <c r="M9" i="57"/>
  <c r="L9" i="57"/>
  <c r="K9" i="57"/>
  <c r="J9" i="57"/>
  <c r="I9" i="57"/>
  <c r="H9" i="57"/>
  <c r="G9" i="57"/>
  <c r="F9" i="57"/>
  <c r="E9" i="57"/>
  <c r="D9" i="57"/>
  <c r="AJ7" i="57"/>
  <c r="AI7" i="57"/>
  <c r="AH7" i="57"/>
  <c r="AG7" i="57"/>
  <c r="AF7" i="57"/>
  <c r="AE7" i="57"/>
  <c r="AD7" i="57"/>
  <c r="Z7" i="57"/>
  <c r="Y7" i="57"/>
  <c r="X7" i="57"/>
  <c r="W7" i="57"/>
  <c r="E11" i="69" s="1"/>
  <c r="V7" i="57"/>
  <c r="U7" i="57"/>
  <c r="T7" i="57"/>
  <c r="S7" i="57"/>
  <c r="D11" i="69" s="1"/>
  <c r="R7" i="57"/>
  <c r="Q7" i="57"/>
  <c r="P7" i="57"/>
  <c r="O7" i="57"/>
  <c r="N7" i="57"/>
  <c r="M7" i="57"/>
  <c r="L7" i="57"/>
  <c r="K7" i="57"/>
  <c r="J7" i="57"/>
  <c r="I7" i="57"/>
  <c r="H7" i="57"/>
  <c r="G7" i="57"/>
  <c r="F7" i="57"/>
  <c r="E7" i="57"/>
  <c r="D7" i="57"/>
  <c r="AJ6" i="57"/>
  <c r="AI6" i="57"/>
  <c r="AH6" i="57"/>
  <c r="AG6" i="57"/>
  <c r="AF6" i="57"/>
  <c r="AE6" i="57"/>
  <c r="AD6" i="57"/>
  <c r="Z6" i="57"/>
  <c r="Y6" i="57"/>
  <c r="X6" i="57"/>
  <c r="W6" i="57"/>
  <c r="V6" i="57"/>
  <c r="U6" i="57"/>
  <c r="T6" i="57"/>
  <c r="S6" i="57"/>
  <c r="R6" i="57"/>
  <c r="Q6" i="57"/>
  <c r="P6" i="57"/>
  <c r="O6" i="57"/>
  <c r="N6" i="57"/>
  <c r="M6" i="57"/>
  <c r="L6" i="57"/>
  <c r="K6" i="57"/>
  <c r="J6" i="57"/>
  <c r="I6" i="57"/>
  <c r="H6" i="57"/>
  <c r="G6" i="57"/>
  <c r="F6" i="57"/>
  <c r="E6" i="57"/>
  <c r="D6" i="57"/>
  <c r="Z46" i="53"/>
  <c r="Y46" i="53"/>
  <c r="X46" i="53"/>
  <c r="W46" i="53"/>
  <c r="V46" i="53"/>
  <c r="U46" i="53"/>
  <c r="T46" i="53"/>
  <c r="S46" i="53"/>
  <c r="R46" i="53"/>
  <c r="Q46" i="53"/>
  <c r="P46" i="53"/>
  <c r="O46" i="53"/>
  <c r="N46" i="53"/>
  <c r="M46" i="53"/>
  <c r="L46" i="53"/>
  <c r="K46" i="53"/>
  <c r="J46" i="53"/>
  <c r="I46" i="53"/>
  <c r="H46" i="53"/>
  <c r="G46" i="53"/>
  <c r="F46" i="53"/>
  <c r="E46" i="53"/>
  <c r="D46" i="53"/>
  <c r="Z44" i="53"/>
  <c r="Y44" i="53"/>
  <c r="X44" i="53"/>
  <c r="W44" i="53"/>
  <c r="AA44" i="53" s="1"/>
  <c r="AB44" i="53" s="1"/>
  <c r="V44" i="53"/>
  <c r="U44" i="53"/>
  <c r="T44" i="53"/>
  <c r="S44" i="53"/>
  <c r="R44" i="53"/>
  <c r="Q44" i="53"/>
  <c r="P44" i="53"/>
  <c r="O44" i="53"/>
  <c r="N44" i="53"/>
  <c r="M44" i="53"/>
  <c r="L44" i="53"/>
  <c r="K44" i="53"/>
  <c r="J44" i="53"/>
  <c r="I44" i="53"/>
  <c r="H44" i="53"/>
  <c r="G44" i="53"/>
  <c r="F44" i="53"/>
  <c r="E44" i="53"/>
  <c r="D44" i="53"/>
  <c r="Z43" i="53"/>
  <c r="Y43" i="53"/>
  <c r="X43" i="53"/>
  <c r="W43" i="53"/>
  <c r="V43" i="53"/>
  <c r="U43" i="53"/>
  <c r="T43" i="53"/>
  <c r="S43" i="53"/>
  <c r="R43" i="53"/>
  <c r="Q43" i="53"/>
  <c r="P43" i="53"/>
  <c r="O43" i="53"/>
  <c r="N43" i="53"/>
  <c r="M43" i="53"/>
  <c r="L43" i="53"/>
  <c r="K43" i="53"/>
  <c r="J43" i="53"/>
  <c r="I43" i="53"/>
  <c r="H43" i="53"/>
  <c r="G43" i="53"/>
  <c r="F43" i="53"/>
  <c r="E43" i="53"/>
  <c r="D43" i="53"/>
  <c r="Z42" i="53"/>
  <c r="Y42" i="53"/>
  <c r="X42" i="53"/>
  <c r="W42" i="53"/>
  <c r="V42" i="53"/>
  <c r="U42" i="53"/>
  <c r="T42" i="53"/>
  <c r="S42" i="53"/>
  <c r="R42" i="53"/>
  <c r="Q42" i="53"/>
  <c r="P42" i="53"/>
  <c r="O42" i="53"/>
  <c r="N42" i="53"/>
  <c r="M42" i="53"/>
  <c r="L42" i="53"/>
  <c r="K42" i="53"/>
  <c r="J42" i="53"/>
  <c r="I42" i="53"/>
  <c r="H42" i="53"/>
  <c r="G42" i="53"/>
  <c r="F42" i="53"/>
  <c r="E42" i="53"/>
  <c r="D42" i="53"/>
  <c r="Z41" i="53"/>
  <c r="Y41" i="53"/>
  <c r="X41" i="53"/>
  <c r="W41" i="53"/>
  <c r="AA41" i="53" s="1"/>
  <c r="AB41" i="53" s="1"/>
  <c r="AC41" i="53" s="1"/>
  <c r="AD41" i="53" s="1"/>
  <c r="AE41" i="53" s="1"/>
  <c r="AF41" i="53" s="1"/>
  <c r="AG41" i="53" s="1"/>
  <c r="AH41" i="53" s="1"/>
  <c r="AI41" i="53" s="1"/>
  <c r="AJ41" i="53" s="1"/>
  <c r="V41" i="53"/>
  <c r="U41" i="53"/>
  <c r="T41" i="53"/>
  <c r="S41" i="53"/>
  <c r="R41" i="53"/>
  <c r="Q41" i="53"/>
  <c r="P41" i="53"/>
  <c r="O41" i="53"/>
  <c r="N41" i="53"/>
  <c r="M41" i="53"/>
  <c r="L41" i="53"/>
  <c r="K41" i="53"/>
  <c r="J41" i="53"/>
  <c r="I41" i="53"/>
  <c r="H41" i="53"/>
  <c r="G41" i="53"/>
  <c r="F41" i="53"/>
  <c r="E41" i="53"/>
  <c r="D41" i="53"/>
  <c r="Z40" i="53"/>
  <c r="Y40" i="53"/>
  <c r="X40" i="53"/>
  <c r="W40" i="53"/>
  <c r="V40" i="53"/>
  <c r="U40" i="53"/>
  <c r="T40" i="53"/>
  <c r="S40" i="53"/>
  <c r="R40" i="53"/>
  <c r="Q40" i="53"/>
  <c r="P40" i="53"/>
  <c r="O40" i="53"/>
  <c r="N40" i="53"/>
  <c r="M40" i="53"/>
  <c r="L40" i="53"/>
  <c r="K40" i="53"/>
  <c r="J40" i="53"/>
  <c r="I40" i="53"/>
  <c r="H40" i="53"/>
  <c r="G40" i="53"/>
  <c r="F40" i="53"/>
  <c r="E40" i="53"/>
  <c r="D40" i="53"/>
  <c r="Z36" i="53"/>
  <c r="Y36" i="53"/>
  <c r="X36" i="53"/>
  <c r="W36" i="53"/>
  <c r="V36" i="53"/>
  <c r="U36" i="53"/>
  <c r="T36" i="53"/>
  <c r="S36" i="53"/>
  <c r="R36" i="53"/>
  <c r="Q36" i="53"/>
  <c r="P36" i="53"/>
  <c r="O36" i="53"/>
  <c r="N36" i="53"/>
  <c r="M36" i="53"/>
  <c r="L36" i="53"/>
  <c r="K36" i="53"/>
  <c r="J36" i="53"/>
  <c r="I36" i="53"/>
  <c r="H36" i="53"/>
  <c r="G36" i="53"/>
  <c r="F36" i="53"/>
  <c r="E36" i="53"/>
  <c r="D36" i="53"/>
  <c r="Z35" i="53"/>
  <c r="Y35" i="53"/>
  <c r="X35" i="53"/>
  <c r="W35" i="53"/>
  <c r="M19" i="69" s="1"/>
  <c r="V35" i="53"/>
  <c r="U35" i="53"/>
  <c r="T35" i="53"/>
  <c r="S35" i="53"/>
  <c r="R35" i="53"/>
  <c r="Q35" i="53"/>
  <c r="P35" i="53"/>
  <c r="O35" i="53"/>
  <c r="K19" i="69" s="1"/>
  <c r="N35" i="53"/>
  <c r="M35" i="53"/>
  <c r="L35" i="53"/>
  <c r="L37" i="53" s="1"/>
  <c r="K35" i="53"/>
  <c r="J35" i="53"/>
  <c r="I35" i="53"/>
  <c r="H35" i="53"/>
  <c r="G35" i="53"/>
  <c r="F35" i="53"/>
  <c r="E35" i="53"/>
  <c r="D35" i="53"/>
  <c r="Z32" i="53"/>
  <c r="Y32" i="53"/>
  <c r="X32" i="53"/>
  <c r="W32" i="53"/>
  <c r="V32" i="53"/>
  <c r="U32" i="53"/>
  <c r="T32" i="53"/>
  <c r="S32" i="53"/>
  <c r="R32" i="53"/>
  <c r="Q32" i="53"/>
  <c r="P32" i="53"/>
  <c r="O32" i="53"/>
  <c r="N32" i="53"/>
  <c r="M32" i="53"/>
  <c r="L32" i="53"/>
  <c r="K32" i="53"/>
  <c r="J32" i="53"/>
  <c r="I32" i="53"/>
  <c r="H32" i="53"/>
  <c r="G32" i="53"/>
  <c r="F32" i="53"/>
  <c r="E32" i="53"/>
  <c r="D32" i="53"/>
  <c r="Z31" i="53"/>
  <c r="Y31" i="53"/>
  <c r="X31" i="53"/>
  <c r="W31" i="53"/>
  <c r="V31" i="53"/>
  <c r="V55" i="53" s="1"/>
  <c r="U31" i="53"/>
  <c r="T31" i="53"/>
  <c r="S31" i="53"/>
  <c r="R31" i="53"/>
  <c r="R55" i="53" s="1"/>
  <c r="Q31" i="53"/>
  <c r="P31" i="53"/>
  <c r="O31" i="53"/>
  <c r="N31" i="53"/>
  <c r="N55" i="53" s="1"/>
  <c r="M31" i="53"/>
  <c r="L31" i="53"/>
  <c r="K31" i="53"/>
  <c r="J31" i="53"/>
  <c r="J55" i="53" s="1"/>
  <c r="I31" i="53"/>
  <c r="H31" i="53"/>
  <c r="G31" i="53"/>
  <c r="F31" i="53"/>
  <c r="F55" i="53" s="1"/>
  <c r="E31" i="53"/>
  <c r="D31" i="53"/>
  <c r="Z30" i="53"/>
  <c r="Y30" i="53"/>
  <c r="X30" i="53"/>
  <c r="G46" i="56" s="1"/>
  <c r="W30" i="53"/>
  <c r="V30" i="53"/>
  <c r="U30" i="53"/>
  <c r="T30" i="53"/>
  <c r="S30" i="53"/>
  <c r="R30" i="53"/>
  <c r="Q30" i="53"/>
  <c r="P30" i="53"/>
  <c r="O30" i="53"/>
  <c r="N30" i="53"/>
  <c r="M30" i="53"/>
  <c r="L30" i="53"/>
  <c r="K30" i="53"/>
  <c r="J30" i="53"/>
  <c r="I30" i="53"/>
  <c r="H30" i="53"/>
  <c r="G30" i="53"/>
  <c r="F30" i="53"/>
  <c r="E30" i="53"/>
  <c r="D30" i="53"/>
  <c r="Z29" i="53"/>
  <c r="Y29" i="53"/>
  <c r="X29" i="53"/>
  <c r="W29" i="53"/>
  <c r="F31" i="56" s="1"/>
  <c r="V29" i="53"/>
  <c r="U29" i="53"/>
  <c r="T29" i="53"/>
  <c r="S29" i="53"/>
  <c r="E31" i="56" s="1"/>
  <c r="R29" i="53"/>
  <c r="Q29" i="53"/>
  <c r="P29" i="53"/>
  <c r="O29" i="53"/>
  <c r="N29" i="53"/>
  <c r="M29" i="53"/>
  <c r="L29" i="53"/>
  <c r="K29" i="53"/>
  <c r="J29" i="53"/>
  <c r="I29" i="53"/>
  <c r="H29" i="53"/>
  <c r="G29" i="53"/>
  <c r="F29" i="53"/>
  <c r="E29" i="53"/>
  <c r="D29" i="53"/>
  <c r="Z28" i="53"/>
  <c r="Y28" i="53"/>
  <c r="X28" i="53"/>
  <c r="W28" i="53"/>
  <c r="V28" i="53"/>
  <c r="U28" i="53"/>
  <c r="T28" i="53"/>
  <c r="S28" i="53"/>
  <c r="R28" i="53"/>
  <c r="Q28" i="53"/>
  <c r="P28" i="53"/>
  <c r="O28" i="53"/>
  <c r="N28" i="53"/>
  <c r="M28" i="53"/>
  <c r="L28" i="53"/>
  <c r="K28" i="53"/>
  <c r="J28" i="53"/>
  <c r="I28" i="53"/>
  <c r="H28" i="53"/>
  <c r="G28" i="53"/>
  <c r="F28" i="53"/>
  <c r="E28" i="53"/>
  <c r="D28" i="53"/>
  <c r="Z22" i="53"/>
  <c r="Y22" i="53"/>
  <c r="X22" i="53"/>
  <c r="W22" i="53"/>
  <c r="AA22" i="53" s="1"/>
  <c r="V22" i="53"/>
  <c r="U22" i="53"/>
  <c r="T22" i="53"/>
  <c r="S22" i="53"/>
  <c r="R22" i="53"/>
  <c r="Q22" i="53"/>
  <c r="P22" i="53"/>
  <c r="O22" i="53"/>
  <c r="N22" i="53"/>
  <c r="M22" i="53"/>
  <c r="L22" i="53"/>
  <c r="K22" i="53"/>
  <c r="J22" i="53"/>
  <c r="I22" i="53"/>
  <c r="H22" i="53"/>
  <c r="G22" i="53"/>
  <c r="F22" i="53"/>
  <c r="E22" i="53"/>
  <c r="D22" i="53"/>
  <c r="Z21" i="53"/>
  <c r="Y21" i="53"/>
  <c r="H77" i="56" s="1"/>
  <c r="X21" i="53"/>
  <c r="W21" i="53"/>
  <c r="V21" i="53"/>
  <c r="U21" i="53"/>
  <c r="T21" i="53"/>
  <c r="S21" i="53"/>
  <c r="R21" i="53"/>
  <c r="Q21" i="53"/>
  <c r="P21" i="53"/>
  <c r="O21" i="53"/>
  <c r="N21" i="53"/>
  <c r="M21" i="53"/>
  <c r="L21" i="53"/>
  <c r="K21" i="53"/>
  <c r="J21" i="53"/>
  <c r="I21" i="53"/>
  <c r="H21" i="53"/>
  <c r="G21" i="53"/>
  <c r="F21" i="53"/>
  <c r="E21" i="53"/>
  <c r="D21" i="53"/>
  <c r="Z20" i="53"/>
  <c r="I69" i="56" s="1"/>
  <c r="Y20" i="53"/>
  <c r="X20" i="53"/>
  <c r="G69" i="56" s="1"/>
  <c r="H66" i="56" s="1"/>
  <c r="W20" i="53"/>
  <c r="V20" i="53"/>
  <c r="U20" i="53"/>
  <c r="T20" i="53"/>
  <c r="S20" i="53"/>
  <c r="R20" i="53"/>
  <c r="Q20" i="53"/>
  <c r="P20" i="53"/>
  <c r="O20" i="53"/>
  <c r="K12" i="69" s="1"/>
  <c r="N20" i="53"/>
  <c r="M20" i="53"/>
  <c r="L20" i="53"/>
  <c r="K20" i="53"/>
  <c r="J20" i="53"/>
  <c r="I20" i="53"/>
  <c r="H20" i="53"/>
  <c r="G20" i="53"/>
  <c r="F20" i="53"/>
  <c r="E20" i="53"/>
  <c r="D20" i="53"/>
  <c r="Z19" i="53"/>
  <c r="Y19" i="53"/>
  <c r="X19" i="53"/>
  <c r="W19" i="53"/>
  <c r="F74" i="56" s="1"/>
  <c r="V19" i="53"/>
  <c r="U19" i="53"/>
  <c r="T19" i="53"/>
  <c r="S19" i="53"/>
  <c r="E74" i="56" s="1"/>
  <c r="R19" i="53"/>
  <c r="Q19" i="53"/>
  <c r="P19" i="53"/>
  <c r="O19" i="53"/>
  <c r="D74" i="56" s="1"/>
  <c r="N19" i="53"/>
  <c r="M19" i="53"/>
  <c r="L19" i="53"/>
  <c r="K19" i="53"/>
  <c r="J19" i="53"/>
  <c r="I19" i="53"/>
  <c r="H19" i="53"/>
  <c r="G19" i="53"/>
  <c r="F19" i="53"/>
  <c r="E19" i="53"/>
  <c r="D19" i="53"/>
  <c r="Z18" i="53"/>
  <c r="Y18" i="53"/>
  <c r="X18" i="53"/>
  <c r="W18" i="53"/>
  <c r="V18" i="53"/>
  <c r="U18" i="53"/>
  <c r="T18" i="53"/>
  <c r="S18" i="53"/>
  <c r="R18" i="53"/>
  <c r="Q18" i="53"/>
  <c r="P18" i="53"/>
  <c r="O18" i="53"/>
  <c r="N18" i="53"/>
  <c r="M18" i="53"/>
  <c r="L18" i="53"/>
  <c r="K18" i="53"/>
  <c r="J18" i="53"/>
  <c r="I18" i="53"/>
  <c r="H18" i="53"/>
  <c r="G18" i="53"/>
  <c r="F18" i="53"/>
  <c r="E18" i="53"/>
  <c r="D18" i="53"/>
  <c r="Z17" i="53"/>
  <c r="Y17" i="53"/>
  <c r="H54" i="56" s="1"/>
  <c r="X17" i="53"/>
  <c r="W17" i="53"/>
  <c r="V17" i="53"/>
  <c r="U17" i="53"/>
  <c r="T17" i="53"/>
  <c r="S17" i="53"/>
  <c r="R17" i="53"/>
  <c r="Q17" i="53"/>
  <c r="P17" i="53"/>
  <c r="O17" i="53"/>
  <c r="N17" i="53"/>
  <c r="M17" i="53"/>
  <c r="L17" i="53"/>
  <c r="K17" i="53"/>
  <c r="J17" i="53"/>
  <c r="I17" i="53"/>
  <c r="H17" i="53"/>
  <c r="G17" i="53"/>
  <c r="F17" i="53"/>
  <c r="E17" i="53"/>
  <c r="D17" i="53"/>
  <c r="Z16" i="53"/>
  <c r="Y16" i="53"/>
  <c r="X16" i="53"/>
  <c r="G51" i="56" s="1"/>
  <c r="W16" i="53"/>
  <c r="M10" i="69" s="1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H16" i="53"/>
  <c r="G16" i="53"/>
  <c r="F16" i="53"/>
  <c r="E16" i="53"/>
  <c r="D16" i="53"/>
  <c r="Z15" i="53"/>
  <c r="Y15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H15" i="53"/>
  <c r="G15" i="53"/>
  <c r="F15" i="53"/>
  <c r="E15" i="53"/>
  <c r="D15" i="53"/>
  <c r="Z12" i="53"/>
  <c r="Y12" i="53"/>
  <c r="X12" i="53"/>
  <c r="G20" i="56" s="1"/>
  <c r="W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H12" i="53"/>
  <c r="G12" i="53"/>
  <c r="F12" i="53"/>
  <c r="E12" i="53"/>
  <c r="D12" i="53"/>
  <c r="Z11" i="53"/>
  <c r="Y11" i="53"/>
  <c r="X11" i="53"/>
  <c r="W11" i="53"/>
  <c r="F13" i="56" s="1"/>
  <c r="V11" i="53"/>
  <c r="U11" i="53"/>
  <c r="T11" i="53"/>
  <c r="S11" i="53"/>
  <c r="R11" i="53"/>
  <c r="Q11" i="53"/>
  <c r="P11" i="53"/>
  <c r="O11" i="53"/>
  <c r="D13" i="56" s="1"/>
  <c r="N11" i="53"/>
  <c r="M11" i="53"/>
  <c r="L11" i="53"/>
  <c r="K11" i="53"/>
  <c r="J11" i="53"/>
  <c r="I11" i="53"/>
  <c r="H11" i="53"/>
  <c r="G11" i="53"/>
  <c r="F11" i="53"/>
  <c r="E11" i="53"/>
  <c r="D11" i="53"/>
  <c r="Z10" i="53"/>
  <c r="I17" i="56" s="1"/>
  <c r="Y10" i="53"/>
  <c r="X10" i="53"/>
  <c r="W10" i="53"/>
  <c r="V10" i="53"/>
  <c r="U10" i="53"/>
  <c r="T10" i="53"/>
  <c r="S10" i="53"/>
  <c r="R10" i="53"/>
  <c r="Q10" i="53"/>
  <c r="P10" i="53"/>
  <c r="O10" i="53"/>
  <c r="N10" i="53"/>
  <c r="M10" i="53"/>
  <c r="L10" i="53"/>
  <c r="K10" i="53"/>
  <c r="J10" i="53"/>
  <c r="I10" i="53"/>
  <c r="H10" i="53"/>
  <c r="G10" i="53"/>
  <c r="F10" i="53"/>
  <c r="E10" i="53"/>
  <c r="D10" i="53"/>
  <c r="Z9" i="53"/>
  <c r="Y9" i="53"/>
  <c r="H9" i="56" s="1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G9" i="53"/>
  <c r="F9" i="53"/>
  <c r="E9" i="53"/>
  <c r="D9" i="53"/>
  <c r="Z8" i="53"/>
  <c r="Y8" i="53"/>
  <c r="X8" i="53"/>
  <c r="G43" i="56" s="1"/>
  <c r="W8" i="53"/>
  <c r="V8" i="53"/>
  <c r="U8" i="53"/>
  <c r="T8" i="53"/>
  <c r="S8" i="53"/>
  <c r="R8" i="53"/>
  <c r="Q8" i="53"/>
  <c r="P8" i="53"/>
  <c r="O8" i="53"/>
  <c r="N8" i="53"/>
  <c r="M8" i="53"/>
  <c r="L8" i="53"/>
  <c r="K8" i="53"/>
  <c r="J8" i="53"/>
  <c r="I8" i="53"/>
  <c r="H8" i="53"/>
  <c r="G8" i="53"/>
  <c r="F8" i="53"/>
  <c r="E8" i="53"/>
  <c r="D8" i="53"/>
  <c r="Z7" i="53"/>
  <c r="Y7" i="53"/>
  <c r="X7" i="53"/>
  <c r="W7" i="53"/>
  <c r="V7" i="53"/>
  <c r="U7" i="53"/>
  <c r="T7" i="53"/>
  <c r="S7" i="53"/>
  <c r="R7" i="53"/>
  <c r="Q7" i="53"/>
  <c r="P7" i="53"/>
  <c r="O7" i="53"/>
  <c r="N7" i="53"/>
  <c r="M7" i="53"/>
  <c r="L7" i="53"/>
  <c r="K7" i="53"/>
  <c r="J7" i="53"/>
  <c r="I7" i="53"/>
  <c r="H7" i="53"/>
  <c r="G7" i="53"/>
  <c r="F7" i="53"/>
  <c r="E7" i="53"/>
  <c r="D7" i="53"/>
  <c r="Z6" i="53"/>
  <c r="Y6" i="53"/>
  <c r="X6" i="53"/>
  <c r="W6" i="53"/>
  <c r="V6" i="53"/>
  <c r="U6" i="53"/>
  <c r="T6" i="53"/>
  <c r="S6" i="53"/>
  <c r="L5" i="69" s="1"/>
  <c r="R6" i="53"/>
  <c r="Q6" i="53"/>
  <c r="P6" i="53"/>
  <c r="O6" i="53"/>
  <c r="K5" i="69" s="1"/>
  <c r="N6" i="53"/>
  <c r="M6" i="53"/>
  <c r="L6" i="53"/>
  <c r="K6" i="53"/>
  <c r="J6" i="53"/>
  <c r="I6" i="53"/>
  <c r="H6" i="53"/>
  <c r="G6" i="53"/>
  <c r="F6" i="53"/>
  <c r="E6" i="53"/>
  <c r="D6" i="53"/>
  <c r="AB4" i="53"/>
  <c r="AA4" i="53"/>
  <c r="Z4" i="53"/>
  <c r="Z4" i="57" s="1"/>
  <c r="AI3" i="55" s="1"/>
  <c r="AI13" i="55" s="1"/>
  <c r="Y4" i="53"/>
  <c r="Y4" i="57" s="1"/>
  <c r="X4" i="53"/>
  <c r="W4" i="53"/>
  <c r="W4" i="57" s="1"/>
  <c r="E4" i="69" s="1"/>
  <c r="V4" i="53"/>
  <c r="V4" i="57" s="1"/>
  <c r="AE3" i="55" s="1"/>
  <c r="AE13" i="55" s="1"/>
  <c r="U4" i="53"/>
  <c r="U4" i="57" s="1"/>
  <c r="T4" i="53"/>
  <c r="T4" i="57" s="1"/>
  <c r="AC3" i="55" s="1"/>
  <c r="AC13" i="55" s="1"/>
  <c r="S4" i="53"/>
  <c r="S4" i="57" s="1"/>
  <c r="D3" i="59" s="1"/>
  <c r="D14" i="59" s="1"/>
  <c r="R4" i="53"/>
  <c r="R4" i="57" s="1"/>
  <c r="AA3" i="55" s="1"/>
  <c r="AA13" i="55" s="1"/>
  <c r="Q4" i="53"/>
  <c r="Q4" i="57" s="1"/>
  <c r="P4" i="53"/>
  <c r="P4" i="57" s="1"/>
  <c r="Y3" i="55" s="1"/>
  <c r="Y13" i="55" s="1"/>
  <c r="O4" i="53"/>
  <c r="O4" i="57" s="1"/>
  <c r="N4" i="53"/>
  <c r="N4" i="57" s="1"/>
  <c r="M4" i="53"/>
  <c r="M4" i="57" s="1"/>
  <c r="L4" i="53"/>
  <c r="L4" i="57" s="1"/>
  <c r="U3" i="55" s="1"/>
  <c r="U13" i="55" s="1"/>
  <c r="K4" i="53"/>
  <c r="K4" i="57" s="1"/>
  <c r="J4" i="53"/>
  <c r="J4" i="57" s="1"/>
  <c r="I4" i="53"/>
  <c r="I4" i="57" s="1"/>
  <c r="H4" i="53"/>
  <c r="H4" i="57" s="1"/>
  <c r="G4" i="53"/>
  <c r="G4" i="57" s="1"/>
  <c r="F4" i="53"/>
  <c r="F4" i="57" s="1"/>
  <c r="E4" i="53"/>
  <c r="E4" i="57" s="1"/>
  <c r="D4" i="53"/>
  <c r="D4" i="57" s="1"/>
  <c r="E52" i="69"/>
  <c r="C52" i="69"/>
  <c r="G50" i="69"/>
  <c r="E50" i="69"/>
  <c r="C50" i="69"/>
  <c r="E49" i="69"/>
  <c r="D49" i="69"/>
  <c r="C49" i="69"/>
  <c r="E48" i="69"/>
  <c r="D48" i="69"/>
  <c r="C48" i="69"/>
  <c r="E46" i="69"/>
  <c r="D46" i="69"/>
  <c r="C46" i="69"/>
  <c r="C45" i="69"/>
  <c r="E44" i="69"/>
  <c r="D44" i="69"/>
  <c r="C44" i="69"/>
  <c r="E42" i="69"/>
  <c r="D42" i="69"/>
  <c r="C42" i="69"/>
  <c r="E41" i="69"/>
  <c r="D41" i="69"/>
  <c r="C41" i="69"/>
  <c r="E30" i="69"/>
  <c r="D30" i="69"/>
  <c r="C30" i="69"/>
  <c r="M24" i="69"/>
  <c r="L24" i="69"/>
  <c r="K24" i="69"/>
  <c r="E17" i="69"/>
  <c r="D17" i="69"/>
  <c r="C17" i="69"/>
  <c r="M16" i="69"/>
  <c r="K16" i="69"/>
  <c r="M15" i="69"/>
  <c r="L15" i="69"/>
  <c r="K15" i="69"/>
  <c r="M12" i="69"/>
  <c r="L12" i="69"/>
  <c r="L10" i="69"/>
  <c r="K10" i="69"/>
  <c r="K7" i="69"/>
  <c r="D7" i="69"/>
  <c r="L6" i="69"/>
  <c r="M5" i="69"/>
  <c r="D4" i="69"/>
  <c r="E129" i="59"/>
  <c r="E20" i="59"/>
  <c r="D20" i="59"/>
  <c r="L30" i="69" s="1"/>
  <c r="C20" i="59"/>
  <c r="K30" i="69" s="1"/>
  <c r="H5" i="59"/>
  <c r="G5" i="59"/>
  <c r="F5" i="59"/>
  <c r="F6" i="59" s="1"/>
  <c r="G6" i="59" s="1"/>
  <c r="H6" i="59" s="1"/>
  <c r="E5" i="59"/>
  <c r="E6" i="59" s="1"/>
  <c r="D5" i="59"/>
  <c r="D6" i="59" s="1"/>
  <c r="C5" i="59"/>
  <c r="C6" i="59" s="1"/>
  <c r="C22" i="59" s="1"/>
  <c r="F4" i="59"/>
  <c r="G4" i="59" s="1"/>
  <c r="D25" i="59"/>
  <c r="L32" i="69" s="1"/>
  <c r="C25" i="59"/>
  <c r="K32" i="69" s="1"/>
  <c r="E3" i="59"/>
  <c r="E14" i="59" s="1"/>
  <c r="H140" i="56"/>
  <c r="F138" i="56"/>
  <c r="E138" i="56"/>
  <c r="D138" i="56"/>
  <c r="H137" i="56"/>
  <c r="F137" i="56"/>
  <c r="E137" i="56"/>
  <c r="D137" i="56"/>
  <c r="J135" i="56"/>
  <c r="F135" i="56"/>
  <c r="E135" i="56"/>
  <c r="D135" i="56"/>
  <c r="D143" i="56" s="1"/>
  <c r="F132" i="56"/>
  <c r="E132" i="56"/>
  <c r="D132" i="56"/>
  <c r="S131" i="56"/>
  <c r="R131" i="56"/>
  <c r="Q131" i="56"/>
  <c r="P131" i="56"/>
  <c r="O131" i="56"/>
  <c r="N131" i="56"/>
  <c r="M131" i="56"/>
  <c r="L131" i="56"/>
  <c r="K131" i="56"/>
  <c r="J131" i="56"/>
  <c r="G128" i="56"/>
  <c r="S125" i="56"/>
  <c r="R125" i="56"/>
  <c r="Q125" i="56"/>
  <c r="P125" i="56"/>
  <c r="O125" i="56"/>
  <c r="N125" i="56"/>
  <c r="M125" i="56"/>
  <c r="L125" i="56"/>
  <c r="K125" i="56"/>
  <c r="J125" i="56"/>
  <c r="G124" i="56"/>
  <c r="F124" i="56"/>
  <c r="D124" i="56"/>
  <c r="E122" i="56" s="1"/>
  <c r="D122" i="56"/>
  <c r="D123" i="56" s="1"/>
  <c r="S118" i="56"/>
  <c r="R118" i="56"/>
  <c r="Q118" i="56"/>
  <c r="P118" i="56"/>
  <c r="O118" i="56"/>
  <c r="N118" i="56"/>
  <c r="M118" i="56"/>
  <c r="L118" i="56"/>
  <c r="E13" i="70" s="1"/>
  <c r="K118" i="56"/>
  <c r="D13" i="70" s="1"/>
  <c r="J118" i="56"/>
  <c r="C13" i="70" s="1"/>
  <c r="I117" i="56"/>
  <c r="H117" i="56"/>
  <c r="I114" i="56" s="1"/>
  <c r="G117" i="56"/>
  <c r="H114" i="56" s="1"/>
  <c r="D117" i="56"/>
  <c r="E114" i="56" s="1"/>
  <c r="S102" i="56"/>
  <c r="R102" i="56"/>
  <c r="Q102" i="56"/>
  <c r="P102" i="56"/>
  <c r="O102" i="56"/>
  <c r="N102" i="56"/>
  <c r="M102" i="56"/>
  <c r="L102" i="56"/>
  <c r="K102" i="56"/>
  <c r="J102" i="56"/>
  <c r="O33" i="69"/>
  <c r="I100" i="56"/>
  <c r="H100" i="56"/>
  <c r="G100" i="56"/>
  <c r="F100" i="56"/>
  <c r="M33" i="69" s="1"/>
  <c r="E100" i="56"/>
  <c r="L33" i="69" s="1"/>
  <c r="D100" i="56"/>
  <c r="K33" i="69" s="1"/>
  <c r="S98" i="56"/>
  <c r="R98" i="56"/>
  <c r="Q98" i="56"/>
  <c r="P98" i="56"/>
  <c r="O98" i="56"/>
  <c r="N98" i="56"/>
  <c r="M98" i="56"/>
  <c r="E81" i="70"/>
  <c r="K103" i="56"/>
  <c r="I98" i="56"/>
  <c r="H98" i="56"/>
  <c r="G98" i="56"/>
  <c r="F98" i="56"/>
  <c r="B81" i="70" s="1"/>
  <c r="E98" i="56"/>
  <c r="D98" i="56"/>
  <c r="S93" i="56"/>
  <c r="R93" i="56"/>
  <c r="Q93" i="56"/>
  <c r="P93" i="56"/>
  <c r="O93" i="56"/>
  <c r="N93" i="56"/>
  <c r="M93" i="56"/>
  <c r="L93" i="56"/>
  <c r="K93" i="56"/>
  <c r="J93" i="56"/>
  <c r="S91" i="56"/>
  <c r="R91" i="56"/>
  <c r="Q91" i="56"/>
  <c r="P91" i="56"/>
  <c r="P94" i="56" s="1"/>
  <c r="O91" i="56"/>
  <c r="N91" i="56"/>
  <c r="M91" i="56"/>
  <c r="L91" i="56"/>
  <c r="L94" i="56" s="1"/>
  <c r="K91" i="56"/>
  <c r="J91" i="56"/>
  <c r="S80" i="56"/>
  <c r="R80" i="56"/>
  <c r="Q80" i="56"/>
  <c r="P80" i="56"/>
  <c r="O80" i="56"/>
  <c r="N80" i="56"/>
  <c r="M80" i="56"/>
  <c r="L80" i="56"/>
  <c r="K80" i="56"/>
  <c r="J80" i="56"/>
  <c r="I78" i="56"/>
  <c r="I77" i="56"/>
  <c r="G77" i="56"/>
  <c r="F77" i="56"/>
  <c r="E77" i="56"/>
  <c r="E78" i="56" s="1"/>
  <c r="D77" i="56"/>
  <c r="D78" i="56" s="1"/>
  <c r="I75" i="56"/>
  <c r="H75" i="56"/>
  <c r="G75" i="56"/>
  <c r="I74" i="56"/>
  <c r="H74" i="56"/>
  <c r="G74" i="56"/>
  <c r="I71" i="56"/>
  <c r="H71" i="56"/>
  <c r="G71" i="56"/>
  <c r="E71" i="56"/>
  <c r="H69" i="56"/>
  <c r="I66" i="56" s="1"/>
  <c r="F69" i="56"/>
  <c r="J66" i="56" s="1"/>
  <c r="E69" i="56"/>
  <c r="F66" i="56" s="1"/>
  <c r="D69" i="56"/>
  <c r="E66" i="56" s="1"/>
  <c r="E67" i="56" s="1"/>
  <c r="G66" i="56"/>
  <c r="D66" i="56"/>
  <c r="I64" i="56"/>
  <c r="H64" i="56"/>
  <c r="I61" i="56" s="1"/>
  <c r="G64" i="56"/>
  <c r="H61" i="56" s="1"/>
  <c r="F64" i="56"/>
  <c r="G61" i="56" s="1"/>
  <c r="I58" i="56"/>
  <c r="G58" i="56"/>
  <c r="I57" i="56"/>
  <c r="H57" i="56"/>
  <c r="G57" i="56"/>
  <c r="F57" i="56"/>
  <c r="J57" i="56" s="1"/>
  <c r="E57" i="56"/>
  <c r="E58" i="56" s="1"/>
  <c r="D57" i="56"/>
  <c r="D58" i="56" s="1"/>
  <c r="I55" i="56"/>
  <c r="H55" i="56"/>
  <c r="G55" i="56"/>
  <c r="I54" i="56"/>
  <c r="G54" i="56"/>
  <c r="F54" i="56"/>
  <c r="E54" i="56"/>
  <c r="D54" i="56"/>
  <c r="D55" i="56" s="1"/>
  <c r="I52" i="56"/>
  <c r="H52" i="56"/>
  <c r="G52" i="56"/>
  <c r="I51" i="56"/>
  <c r="H51" i="56"/>
  <c r="F51" i="56"/>
  <c r="J51" i="56" s="1"/>
  <c r="E51" i="56"/>
  <c r="D51" i="56"/>
  <c r="D52" i="56" s="1"/>
  <c r="I47" i="56"/>
  <c r="H47" i="56"/>
  <c r="G47" i="56"/>
  <c r="I46" i="56"/>
  <c r="H46" i="56"/>
  <c r="F46" i="56"/>
  <c r="E46" i="56"/>
  <c r="D46" i="56"/>
  <c r="D47" i="56" s="1"/>
  <c r="I44" i="56"/>
  <c r="H44" i="56"/>
  <c r="G44" i="56"/>
  <c r="I43" i="56"/>
  <c r="H43" i="56"/>
  <c r="F43" i="56"/>
  <c r="J43" i="56" s="1"/>
  <c r="E43" i="56"/>
  <c r="D43" i="56"/>
  <c r="D44" i="56" s="1"/>
  <c r="I41" i="56"/>
  <c r="H41" i="56"/>
  <c r="G41" i="56"/>
  <c r="I40" i="56"/>
  <c r="H40" i="56"/>
  <c r="G40" i="56"/>
  <c r="I31" i="56"/>
  <c r="H31" i="56"/>
  <c r="G31" i="56"/>
  <c r="D31" i="56"/>
  <c r="I28" i="56"/>
  <c r="H28" i="56"/>
  <c r="G28" i="56"/>
  <c r="F28" i="56"/>
  <c r="E28" i="56"/>
  <c r="D28" i="56"/>
  <c r="I24" i="56"/>
  <c r="H24" i="56"/>
  <c r="G24" i="56"/>
  <c r="F24" i="56"/>
  <c r="E24" i="56"/>
  <c r="D24" i="56"/>
  <c r="I20" i="56"/>
  <c r="H20" i="56"/>
  <c r="F20" i="56"/>
  <c r="E20" i="56"/>
  <c r="D20" i="56"/>
  <c r="H17" i="56"/>
  <c r="G17" i="56"/>
  <c r="F17" i="56"/>
  <c r="E17" i="56"/>
  <c r="D17" i="56"/>
  <c r="I13" i="56"/>
  <c r="H13" i="56"/>
  <c r="G13" i="56"/>
  <c r="I9" i="56"/>
  <c r="G9" i="56"/>
  <c r="F9" i="56"/>
  <c r="E9" i="56"/>
  <c r="D9" i="56"/>
  <c r="S6" i="56"/>
  <c r="S13" i="56" s="1"/>
  <c r="AJ11" i="53" s="1"/>
  <c r="R6" i="56"/>
  <c r="R13" i="56" s="1"/>
  <c r="O6" i="56"/>
  <c r="O13" i="56" s="1"/>
  <c r="M6" i="56"/>
  <c r="H6" i="56"/>
  <c r="S5" i="56"/>
  <c r="P5" i="56"/>
  <c r="O5" i="56"/>
  <c r="I5" i="56"/>
  <c r="H5" i="56"/>
  <c r="G5" i="56"/>
  <c r="J4" i="56"/>
  <c r="J37" i="56" s="1"/>
  <c r="I4" i="56"/>
  <c r="H4" i="56"/>
  <c r="H84" i="56" s="1"/>
  <c r="F4" i="56"/>
  <c r="F37" i="56" s="1"/>
  <c r="E4" i="56"/>
  <c r="E84" i="56" s="1"/>
  <c r="D4" i="56"/>
  <c r="AL36" i="55"/>
  <c r="AK36" i="55"/>
  <c r="AJ36" i="55"/>
  <c r="AI36" i="55"/>
  <c r="AH36" i="55"/>
  <c r="AG36" i="55"/>
  <c r="AB36" i="55"/>
  <c r="X36" i="55"/>
  <c r="I36" i="55"/>
  <c r="H36" i="55"/>
  <c r="G36" i="55"/>
  <c r="AL33" i="55"/>
  <c r="AK33" i="55"/>
  <c r="AJ33" i="55"/>
  <c r="AI33" i="55"/>
  <c r="AH33" i="55"/>
  <c r="AG33" i="55"/>
  <c r="AE33" i="55"/>
  <c r="AA33" i="55"/>
  <c r="Z33" i="55"/>
  <c r="AL31" i="55"/>
  <c r="AK31" i="55"/>
  <c r="AJ31" i="55"/>
  <c r="AU30" i="55"/>
  <c r="AT30" i="55"/>
  <c r="AS30" i="55"/>
  <c r="AR30" i="55"/>
  <c r="AQ30" i="55"/>
  <c r="AP30" i="55"/>
  <c r="AO30" i="55"/>
  <c r="AN30" i="55"/>
  <c r="AM30" i="55"/>
  <c r="AI30" i="55"/>
  <c r="AH30" i="55"/>
  <c r="AG30" i="55"/>
  <c r="AE30" i="55"/>
  <c r="AB30" i="55"/>
  <c r="S30" i="55"/>
  <c r="AJ21" i="57" s="1"/>
  <c r="R30" i="55"/>
  <c r="AI21" i="57" s="1"/>
  <c r="Q30" i="55"/>
  <c r="AH21" i="57" s="1"/>
  <c r="P30" i="55"/>
  <c r="AG21" i="57" s="1"/>
  <c r="O30" i="55"/>
  <c r="AF21" i="57" s="1"/>
  <c r="N30" i="55"/>
  <c r="AE21" i="57" s="1"/>
  <c r="M30" i="55"/>
  <c r="AD21" i="57" s="1"/>
  <c r="H30" i="55"/>
  <c r="AI27" i="55"/>
  <c r="AH27" i="55"/>
  <c r="AG27" i="55"/>
  <c r="AD27" i="55"/>
  <c r="AD28" i="55" s="1"/>
  <c r="AC27" i="55"/>
  <c r="AC28" i="55" s="1"/>
  <c r="Y27" i="55"/>
  <c r="Y28" i="55" s="1"/>
  <c r="X27" i="55"/>
  <c r="X28" i="55" s="1"/>
  <c r="AL25" i="55"/>
  <c r="AK25" i="55"/>
  <c r="AJ25" i="55"/>
  <c r="AU24" i="55"/>
  <c r="AT24" i="55"/>
  <c r="AS24" i="55"/>
  <c r="AR24" i="55"/>
  <c r="AQ24" i="55"/>
  <c r="AP24" i="55"/>
  <c r="AO24" i="55"/>
  <c r="AN24" i="55"/>
  <c r="AM24" i="55"/>
  <c r="AI24" i="55"/>
  <c r="AH24" i="55"/>
  <c r="AG24" i="55"/>
  <c r="AD24" i="55"/>
  <c r="AC24" i="55"/>
  <c r="Y24" i="55"/>
  <c r="V24" i="55"/>
  <c r="U24" i="55"/>
  <c r="S24" i="55"/>
  <c r="AJ15" i="57" s="1"/>
  <c r="R24" i="55"/>
  <c r="AI15" i="57" s="1"/>
  <c r="Q24" i="55"/>
  <c r="AH15" i="57" s="1"/>
  <c r="P24" i="55"/>
  <c r="AG15" i="57" s="1"/>
  <c r="O24" i="55"/>
  <c r="AF15" i="57" s="1"/>
  <c r="N24" i="55"/>
  <c r="AE15" i="57" s="1"/>
  <c r="M24" i="55"/>
  <c r="AD15" i="57" s="1"/>
  <c r="H24" i="55"/>
  <c r="AL22" i="55"/>
  <c r="AK22" i="55"/>
  <c r="AJ22" i="55"/>
  <c r="AU21" i="55"/>
  <c r="AT21" i="55"/>
  <c r="AS21" i="55"/>
  <c r="AR21" i="55"/>
  <c r="AQ21" i="55"/>
  <c r="AP21" i="55"/>
  <c r="AO21" i="55"/>
  <c r="AN21" i="55"/>
  <c r="AM21" i="55"/>
  <c r="AI21" i="55"/>
  <c r="AH21" i="55"/>
  <c r="AG21" i="55"/>
  <c r="X21" i="55"/>
  <c r="S21" i="55"/>
  <c r="AJ14" i="57" s="1"/>
  <c r="R21" i="55"/>
  <c r="AI14" i="57" s="1"/>
  <c r="Q21" i="55"/>
  <c r="AH14" i="57" s="1"/>
  <c r="P21" i="55"/>
  <c r="AG14" i="57" s="1"/>
  <c r="O21" i="55"/>
  <c r="AF14" i="57" s="1"/>
  <c r="N21" i="55"/>
  <c r="AE14" i="57" s="1"/>
  <c r="M21" i="55"/>
  <c r="AD14" i="57" s="1"/>
  <c r="I21" i="55"/>
  <c r="H21" i="55"/>
  <c r="G21" i="55"/>
  <c r="AL19" i="55"/>
  <c r="AK19" i="55"/>
  <c r="AJ19" i="55"/>
  <c r="AU18" i="55"/>
  <c r="AT18" i="55"/>
  <c r="AS18" i="55"/>
  <c r="AR18" i="55"/>
  <c r="AQ18" i="55"/>
  <c r="AP18" i="55"/>
  <c r="AO18" i="55"/>
  <c r="AN18" i="55"/>
  <c r="AM18" i="55"/>
  <c r="AI18" i="55"/>
  <c r="AH18" i="55"/>
  <c r="AG18" i="55"/>
  <c r="AF18" i="55"/>
  <c r="S18" i="55"/>
  <c r="AJ13" i="57" s="1"/>
  <c r="R18" i="55"/>
  <c r="AI13" i="57" s="1"/>
  <c r="Q18" i="55"/>
  <c r="AH13" i="57" s="1"/>
  <c r="P18" i="55"/>
  <c r="AG13" i="57" s="1"/>
  <c r="O18" i="55"/>
  <c r="AF13" i="57" s="1"/>
  <c r="N18" i="55"/>
  <c r="AE13" i="57" s="1"/>
  <c r="M18" i="55"/>
  <c r="AD13" i="57" s="1"/>
  <c r="AL16" i="55"/>
  <c r="AK16" i="55"/>
  <c r="AJ16" i="55"/>
  <c r="AU15" i="55"/>
  <c r="AT15" i="55"/>
  <c r="AS15" i="55"/>
  <c r="AR15" i="55"/>
  <c r="AQ15" i="55"/>
  <c r="AP15" i="55"/>
  <c r="AO15" i="55"/>
  <c r="AN15" i="55"/>
  <c r="AM15" i="55"/>
  <c r="AI15" i="55"/>
  <c r="AH15" i="55"/>
  <c r="AG15" i="55"/>
  <c r="AB15" i="55"/>
  <c r="V15" i="55"/>
  <c r="AJ12" i="57"/>
  <c r="AI12" i="57"/>
  <c r="AI11" i="57" s="1"/>
  <c r="AH12" i="57"/>
  <c r="AG12" i="57"/>
  <c r="AF12" i="57"/>
  <c r="AE12" i="57"/>
  <c r="AE11" i="57" s="1"/>
  <c r="AD12" i="57"/>
  <c r="AQ10" i="55"/>
  <c r="AU9" i="55"/>
  <c r="AU10" i="55" s="1"/>
  <c r="AT9" i="55"/>
  <c r="AT10" i="55" s="1"/>
  <c r="AS9" i="55"/>
  <c r="AS10" i="55" s="1"/>
  <c r="AR9" i="55"/>
  <c r="AR10" i="55" s="1"/>
  <c r="AQ9" i="55"/>
  <c r="AP9" i="55"/>
  <c r="AP10" i="55" s="1"/>
  <c r="AO9" i="55"/>
  <c r="AO10" i="55" s="1"/>
  <c r="AN9" i="55"/>
  <c r="AN10" i="55" s="1"/>
  <c r="AM9" i="55"/>
  <c r="AM10" i="55" s="1"/>
  <c r="AI9" i="55"/>
  <c r="AH9" i="55"/>
  <c r="AG9" i="55"/>
  <c r="AE9" i="55"/>
  <c r="AD9" i="55"/>
  <c r="AC9" i="55"/>
  <c r="AA9" i="55"/>
  <c r="Z9" i="55"/>
  <c r="Y9" i="55"/>
  <c r="V9" i="55"/>
  <c r="U9" i="55"/>
  <c r="S9" i="55"/>
  <c r="AJ16" i="57" s="1"/>
  <c r="R9" i="55"/>
  <c r="AI16" i="57" s="1"/>
  <c r="Q9" i="55"/>
  <c r="AH16" i="57" s="1"/>
  <c r="P9" i="55"/>
  <c r="AG16" i="57" s="1"/>
  <c r="O9" i="55"/>
  <c r="AF16" i="57" s="1"/>
  <c r="N9" i="55"/>
  <c r="AE16" i="57" s="1"/>
  <c r="M9" i="55"/>
  <c r="AU8" i="55"/>
  <c r="AT8" i="55"/>
  <c r="AS8" i="55"/>
  <c r="AR8" i="55"/>
  <c r="AQ8" i="55"/>
  <c r="AP8" i="55"/>
  <c r="AO8" i="55"/>
  <c r="AN8" i="55"/>
  <c r="S8" i="55"/>
  <c r="R8" i="55"/>
  <c r="Q8" i="55"/>
  <c r="P8" i="55"/>
  <c r="O8" i="55"/>
  <c r="N8" i="55"/>
  <c r="AL7" i="55"/>
  <c r="AM8" i="55" s="1"/>
  <c r="AK7" i="55"/>
  <c r="AJ7" i="55"/>
  <c r="AI7" i="55"/>
  <c r="AH7" i="55"/>
  <c r="AG7" i="55"/>
  <c r="AD7" i="55"/>
  <c r="Z7" i="55"/>
  <c r="V7" i="55"/>
  <c r="L7" i="55"/>
  <c r="AC9" i="57" s="1"/>
  <c r="K7" i="55"/>
  <c r="G7" i="55"/>
  <c r="G8" i="55" s="1"/>
  <c r="AL6" i="55"/>
  <c r="AK6" i="55"/>
  <c r="AJ6" i="55"/>
  <c r="AI6" i="55"/>
  <c r="AH6" i="55"/>
  <c r="AG6" i="55"/>
  <c r="AC6" i="55"/>
  <c r="Y6" i="55"/>
  <c r="U6" i="55"/>
  <c r="L6" i="55"/>
  <c r="AC7" i="57" s="1"/>
  <c r="K6" i="55"/>
  <c r="AB7" i="57" s="1"/>
  <c r="G11" i="69" s="1"/>
  <c r="I6" i="55"/>
  <c r="H6" i="55"/>
  <c r="G6" i="55"/>
  <c r="AU5" i="55"/>
  <c r="AT5" i="55"/>
  <c r="AS5" i="55"/>
  <c r="AR5" i="55"/>
  <c r="AQ5" i="55"/>
  <c r="AP5" i="55"/>
  <c r="AO5" i="55"/>
  <c r="AN5" i="55"/>
  <c r="S5" i="55"/>
  <c r="R5" i="55"/>
  <c r="Q5" i="55"/>
  <c r="P5" i="55"/>
  <c r="O5" i="55"/>
  <c r="N5" i="55"/>
  <c r="AL4" i="55"/>
  <c r="AK4" i="55"/>
  <c r="AK5" i="55" s="1"/>
  <c r="AJ4" i="55"/>
  <c r="AI4" i="55"/>
  <c r="AH4" i="55"/>
  <c r="AG4" i="55"/>
  <c r="AE4" i="55"/>
  <c r="AA4" i="55"/>
  <c r="Y4" i="55"/>
  <c r="Y25" i="55" s="1"/>
  <c r="W4" i="55"/>
  <c r="L4" i="55"/>
  <c r="K4" i="55"/>
  <c r="G4" i="55"/>
  <c r="G5" i="55" s="1"/>
  <c r="AH3" i="55"/>
  <c r="AH13" i="55" s="1"/>
  <c r="AF3" i="55"/>
  <c r="AF13" i="55" s="1"/>
  <c r="AD3" i="55"/>
  <c r="AD13" i="55" s="1"/>
  <c r="AB3" i="55"/>
  <c r="AB13" i="55" s="1"/>
  <c r="Z3" i="55"/>
  <c r="Z13" i="55" s="1"/>
  <c r="X3" i="55"/>
  <c r="X13" i="55" s="1"/>
  <c r="W3" i="55"/>
  <c r="W13" i="55" s="1"/>
  <c r="V3" i="55"/>
  <c r="V13" i="55" s="1"/>
  <c r="I3" i="55"/>
  <c r="I13" i="55" s="1"/>
  <c r="H3" i="55"/>
  <c r="H13" i="55" s="1"/>
  <c r="G3" i="55"/>
  <c r="G13" i="55" s="1"/>
  <c r="D7" i="33"/>
  <c r="K24" i="55" l="1"/>
  <c r="AB15" i="57" s="1"/>
  <c r="K30" i="55"/>
  <c r="K15" i="55"/>
  <c r="I11" i="56"/>
  <c r="Q94" i="56"/>
  <c r="J33" i="53"/>
  <c r="O33" i="53"/>
  <c r="T33" i="53"/>
  <c r="G37" i="53"/>
  <c r="D37" i="53"/>
  <c r="H37" i="53"/>
  <c r="P37" i="53"/>
  <c r="T37" i="53"/>
  <c r="L30" i="55"/>
  <c r="L15" i="55"/>
  <c r="N10" i="55"/>
  <c r="AC31" i="54"/>
  <c r="AG31" i="54"/>
  <c r="AH31" i="54"/>
  <c r="E37" i="53"/>
  <c r="I37" i="53"/>
  <c r="M37" i="53"/>
  <c r="Q37" i="53"/>
  <c r="U37" i="53"/>
  <c r="Y37" i="53"/>
  <c r="AD17" i="54"/>
  <c r="AH17" i="54"/>
  <c r="AF17" i="54"/>
  <c r="AD127" i="52"/>
  <c r="E22" i="59"/>
  <c r="AA17" i="54"/>
  <c r="F45" i="69" s="1"/>
  <c r="AE17" i="54"/>
  <c r="AI17" i="54"/>
  <c r="K27" i="70" s="1"/>
  <c r="AC17" i="54"/>
  <c r="AG17" i="54"/>
  <c r="I54" i="70" s="1"/>
  <c r="AA21" i="54"/>
  <c r="AE21" i="54"/>
  <c r="AI21" i="54"/>
  <c r="AE127" i="52"/>
  <c r="AJ9" i="55"/>
  <c r="AJ10" i="55" s="1"/>
  <c r="J6" i="55"/>
  <c r="F67" i="56"/>
  <c r="C51" i="69"/>
  <c r="G55" i="53"/>
  <c r="B39" i="70"/>
  <c r="B117" i="70"/>
  <c r="D5" i="57"/>
  <c r="H5" i="57"/>
  <c r="Z28" i="55"/>
  <c r="AA30" i="57"/>
  <c r="AB30" i="57" s="1"/>
  <c r="AC30" i="57" s="1"/>
  <c r="AD30" i="57" s="1"/>
  <c r="AE30" i="57" s="1"/>
  <c r="AF30" i="57" s="1"/>
  <c r="AG30" i="57" s="1"/>
  <c r="AH30" i="57" s="1"/>
  <c r="AI30" i="57" s="1"/>
  <c r="AJ30" i="57" s="1"/>
  <c r="D52" i="69"/>
  <c r="E139" i="56"/>
  <c r="D67" i="56"/>
  <c r="J57" i="53"/>
  <c r="R57" i="53"/>
  <c r="Z57" i="53"/>
  <c r="G13" i="53"/>
  <c r="O13" i="53"/>
  <c r="D55" i="53"/>
  <c r="H55" i="53"/>
  <c r="L55" i="53"/>
  <c r="P55" i="53"/>
  <c r="T55" i="53"/>
  <c r="X55" i="53"/>
  <c r="AA36" i="53"/>
  <c r="AB36" i="53" s="1"/>
  <c r="AC36" i="53" s="1"/>
  <c r="AD36" i="53" s="1"/>
  <c r="AE36" i="53" s="1"/>
  <c r="AF36" i="53" s="1"/>
  <c r="AG36" i="53" s="1"/>
  <c r="AH36" i="53" s="1"/>
  <c r="AI36" i="53" s="1"/>
  <c r="AJ36" i="53" s="1"/>
  <c r="AB21" i="55"/>
  <c r="E35" i="57"/>
  <c r="I35" i="57"/>
  <c r="M35" i="57"/>
  <c r="Q35" i="57"/>
  <c r="U35" i="57"/>
  <c r="Y35" i="57"/>
  <c r="I25" i="56"/>
  <c r="W28" i="55"/>
  <c r="AA28" i="55"/>
  <c r="AE28" i="55"/>
  <c r="AA28" i="57"/>
  <c r="AB28" i="57" s="1"/>
  <c r="AC28" i="57" s="1"/>
  <c r="AD28" i="57" s="1"/>
  <c r="AE28" i="57" s="1"/>
  <c r="AF28" i="57" s="1"/>
  <c r="AG28" i="57" s="1"/>
  <c r="AH28" i="57" s="1"/>
  <c r="F55" i="56"/>
  <c r="F78" i="56"/>
  <c r="K6" i="69"/>
  <c r="G23" i="53"/>
  <c r="K23" i="53"/>
  <c r="N23" i="53"/>
  <c r="D75" i="56"/>
  <c r="F75" i="56"/>
  <c r="I45" i="53"/>
  <c r="I47" i="53" s="1"/>
  <c r="I50" i="53" s="1"/>
  <c r="Q45" i="53"/>
  <c r="Q47" i="53" s="1"/>
  <c r="Q50" i="53" s="1"/>
  <c r="Y45" i="53"/>
  <c r="Y47" i="53" s="1"/>
  <c r="Y50" i="53" s="1"/>
  <c r="Z6" i="55"/>
  <c r="Z21" i="55"/>
  <c r="AA24" i="55"/>
  <c r="G35" i="57"/>
  <c r="K35" i="57"/>
  <c r="O35" i="57"/>
  <c r="S35" i="57"/>
  <c r="W35" i="57"/>
  <c r="AA35" i="54"/>
  <c r="F140" i="56"/>
  <c r="K9" i="69"/>
  <c r="AC4" i="53"/>
  <c r="K4" i="56"/>
  <c r="K37" i="56" s="1"/>
  <c r="F57" i="53"/>
  <c r="F13" i="53"/>
  <c r="V57" i="53"/>
  <c r="V13" i="53"/>
  <c r="F40" i="56"/>
  <c r="O23" i="53"/>
  <c r="K11" i="69"/>
  <c r="D64" i="56"/>
  <c r="AD16" i="57"/>
  <c r="M10" i="55"/>
  <c r="D40" i="56"/>
  <c r="D41" i="56" s="1"/>
  <c r="D61" i="56"/>
  <c r="L11" i="69"/>
  <c r="D15" i="69"/>
  <c r="H18" i="55"/>
  <c r="G30" i="55"/>
  <c r="X30" i="55"/>
  <c r="AF33" i="55"/>
  <c r="E27" i="69"/>
  <c r="B56" i="70"/>
  <c r="F46" i="69"/>
  <c r="H50" i="69"/>
  <c r="D53" i="69"/>
  <c r="E53" i="69"/>
  <c r="E69" i="70"/>
  <c r="E70" i="70" s="1"/>
  <c r="E71" i="70" s="1"/>
  <c r="E67" i="70"/>
  <c r="E66" i="70" s="1"/>
  <c r="E65" i="70" s="1"/>
  <c r="H11" i="69"/>
  <c r="X4" i="57"/>
  <c r="AG3" i="55" s="1"/>
  <c r="AG13" i="55" s="1"/>
  <c r="G4" i="56"/>
  <c r="N57" i="53"/>
  <c r="N13" i="53"/>
  <c r="W23" i="53"/>
  <c r="M11" i="69"/>
  <c r="I84" i="56"/>
  <c r="I37" i="56"/>
  <c r="M7" i="69"/>
  <c r="AF30" i="55"/>
  <c r="I30" i="55"/>
  <c r="X33" i="55"/>
  <c r="G33" i="55"/>
  <c r="E37" i="56"/>
  <c r="F44" i="56"/>
  <c r="J61" i="56"/>
  <c r="G122" i="56"/>
  <c r="J124" i="56"/>
  <c r="J122" i="56"/>
  <c r="J126" i="56" s="1"/>
  <c r="C27" i="69"/>
  <c r="G5" i="57"/>
  <c r="C5" i="69"/>
  <c r="O26" i="57"/>
  <c r="E40" i="56"/>
  <c r="E41" i="56" s="1"/>
  <c r="L7" i="69"/>
  <c r="E13" i="56"/>
  <c r="W13" i="53"/>
  <c r="S23" i="53"/>
  <c r="E64" i="56"/>
  <c r="F61" i="56" s="1"/>
  <c r="F62" i="56" s="1"/>
  <c r="D84" i="56"/>
  <c r="D37" i="56"/>
  <c r="F58" i="56"/>
  <c r="G80" i="56"/>
  <c r="S57" i="53"/>
  <c r="P24" i="56"/>
  <c r="P13" i="56"/>
  <c r="AG11" i="53" s="1"/>
  <c r="C15" i="69"/>
  <c r="X18" i="55"/>
  <c r="G18" i="55"/>
  <c r="AB33" i="55"/>
  <c r="H33" i="55"/>
  <c r="H34" i="55" s="1"/>
  <c r="W9" i="55"/>
  <c r="AB18" i="55"/>
  <c r="AC21" i="57"/>
  <c r="H25" i="56"/>
  <c r="I26" i="56"/>
  <c r="H37" i="56"/>
  <c r="M94" i="56"/>
  <c r="AD31" i="54" s="1"/>
  <c r="F23" i="53"/>
  <c r="V23" i="53"/>
  <c r="E55" i="53"/>
  <c r="I55" i="53"/>
  <c r="M55" i="53"/>
  <c r="Q55" i="53"/>
  <c r="U55" i="53"/>
  <c r="Y55" i="53"/>
  <c r="H124" i="56"/>
  <c r="I122" i="56" s="1"/>
  <c r="AI8" i="55"/>
  <c r="F47" i="56"/>
  <c r="E52" i="56"/>
  <c r="I80" i="56"/>
  <c r="D13" i="53"/>
  <c r="H13" i="53"/>
  <c r="L13" i="53"/>
  <c r="P13" i="53"/>
  <c r="T13" i="53"/>
  <c r="T53" i="53" s="1"/>
  <c r="X13" i="53"/>
  <c r="K13" i="53"/>
  <c r="S13" i="53"/>
  <c r="K37" i="53"/>
  <c r="D114" i="56"/>
  <c r="S37" i="53"/>
  <c r="L21" i="69" s="1"/>
  <c r="E117" i="56"/>
  <c r="F114" i="56" s="1"/>
  <c r="L19" i="69"/>
  <c r="D8" i="57"/>
  <c r="H8" i="57"/>
  <c r="AC7" i="55"/>
  <c r="T8" i="57"/>
  <c r="D128" i="56"/>
  <c r="C19" i="69"/>
  <c r="D47" i="69"/>
  <c r="AC21" i="54"/>
  <c r="AG21" i="54"/>
  <c r="F57" i="70"/>
  <c r="K28" i="70"/>
  <c r="G28" i="70"/>
  <c r="J28" i="70"/>
  <c r="K57" i="70"/>
  <c r="AE10" i="55"/>
  <c r="AB21" i="57"/>
  <c r="E44" i="56"/>
  <c r="E55" i="56"/>
  <c r="J94" i="56"/>
  <c r="AA31" i="54" s="1"/>
  <c r="N94" i="56"/>
  <c r="AE31" i="54" s="1"/>
  <c r="R94" i="56"/>
  <c r="AI31" i="54" s="1"/>
  <c r="F117" i="56"/>
  <c r="C47" i="69"/>
  <c r="E23" i="53"/>
  <c r="I23" i="53"/>
  <c r="M23" i="53"/>
  <c r="Q23" i="53"/>
  <c r="U23" i="53"/>
  <c r="Y23" i="53"/>
  <c r="D33" i="53"/>
  <c r="D38" i="53" s="1"/>
  <c r="H33" i="53"/>
  <c r="H38" i="53" s="1"/>
  <c r="L33" i="53"/>
  <c r="L38" i="53" s="1"/>
  <c r="P33" i="53"/>
  <c r="P38" i="53" s="1"/>
  <c r="X33" i="53"/>
  <c r="N33" i="53"/>
  <c r="Z33" i="53"/>
  <c r="L16" i="69"/>
  <c r="E124" i="56"/>
  <c r="F122" i="56" s="1"/>
  <c r="F123" i="56" s="1"/>
  <c r="X37" i="53"/>
  <c r="E34" i="57"/>
  <c r="L28" i="70"/>
  <c r="C44" i="70"/>
  <c r="O103" i="56"/>
  <c r="S103" i="56"/>
  <c r="E13" i="53"/>
  <c r="U13" i="53"/>
  <c r="J23" i="53"/>
  <c r="R23" i="53"/>
  <c r="Z23" i="53"/>
  <c r="F37" i="53"/>
  <c r="J37" i="53"/>
  <c r="J38" i="53" s="1"/>
  <c r="N37" i="53"/>
  <c r="R37" i="53"/>
  <c r="V37" i="53"/>
  <c r="Z37" i="53"/>
  <c r="D45" i="53"/>
  <c r="D47" i="53" s="1"/>
  <c r="D50" i="53" s="1"/>
  <c r="H45" i="53"/>
  <c r="H47" i="53" s="1"/>
  <c r="H50" i="53" s="1"/>
  <c r="L45" i="53"/>
  <c r="L47" i="53" s="1"/>
  <c r="L50" i="53" s="1"/>
  <c r="P45" i="53"/>
  <c r="P47" i="53" s="1"/>
  <c r="P50" i="53" s="1"/>
  <c r="T45" i="53"/>
  <c r="T47" i="53" s="1"/>
  <c r="T50" i="53" s="1"/>
  <c r="X45" i="53"/>
  <c r="X47" i="53" s="1"/>
  <c r="X50" i="53" s="1"/>
  <c r="F45" i="53"/>
  <c r="F47" i="53" s="1"/>
  <c r="F50" i="53" s="1"/>
  <c r="N45" i="53"/>
  <c r="N47" i="53" s="1"/>
  <c r="N50" i="53" s="1"/>
  <c r="V45" i="53"/>
  <c r="V47" i="53" s="1"/>
  <c r="V50" i="53" s="1"/>
  <c r="X5" i="57"/>
  <c r="N5" i="56"/>
  <c r="N28" i="56" s="1"/>
  <c r="AE32" i="53" s="1"/>
  <c r="R5" i="56"/>
  <c r="R28" i="56" s="1"/>
  <c r="AI32" i="53" s="1"/>
  <c r="X6" i="55"/>
  <c r="AB6" i="55"/>
  <c r="AF6" i="55"/>
  <c r="AG5" i="57"/>
  <c r="V21" i="55"/>
  <c r="AD21" i="55"/>
  <c r="W24" i="55"/>
  <c r="AE24" i="55"/>
  <c r="G26" i="57"/>
  <c r="K26" i="57"/>
  <c r="D26" i="57"/>
  <c r="Z36" i="55"/>
  <c r="AD36" i="55"/>
  <c r="AB127" i="52"/>
  <c r="D99" i="56"/>
  <c r="Q103" i="56"/>
  <c r="J132" i="56"/>
  <c r="AA18" i="57" s="1"/>
  <c r="E51" i="69"/>
  <c r="K57" i="53"/>
  <c r="D23" i="53"/>
  <c r="H23" i="53"/>
  <c r="L23" i="53"/>
  <c r="P23" i="53"/>
  <c r="T23" i="53"/>
  <c r="X23" i="53"/>
  <c r="E33" i="53"/>
  <c r="E38" i="53" s="1"/>
  <c r="I33" i="53"/>
  <c r="I38" i="53" s="1"/>
  <c r="M33" i="53"/>
  <c r="M38" i="53" s="1"/>
  <c r="Q33" i="53"/>
  <c r="Q38" i="53" s="1"/>
  <c r="U33" i="53"/>
  <c r="U38" i="53" s="1"/>
  <c r="Y33" i="53"/>
  <c r="Y38" i="53" s="1"/>
  <c r="S33" i="53"/>
  <c r="L58" i="53"/>
  <c r="E26" i="57"/>
  <c r="I26" i="57"/>
  <c r="M26" i="57"/>
  <c r="Q26" i="57"/>
  <c r="U26" i="57"/>
  <c r="Y26" i="57"/>
  <c r="J100" i="56"/>
  <c r="E25" i="59"/>
  <c r="M32" i="69" s="1"/>
  <c r="J98" i="56"/>
  <c r="G32" i="56"/>
  <c r="G10" i="56"/>
  <c r="L5" i="57"/>
  <c r="V4" i="55"/>
  <c r="U4" i="55"/>
  <c r="U25" i="55" s="1"/>
  <c r="P5" i="57"/>
  <c r="Z4" i="55"/>
  <c r="Z25" i="55" s="1"/>
  <c r="T5" i="57"/>
  <c r="AC4" i="55"/>
  <c r="AC10" i="55" s="1"/>
  <c r="C7" i="69"/>
  <c r="C8" i="69" s="1"/>
  <c r="X7" i="55"/>
  <c r="X8" i="55" s="1"/>
  <c r="AB7" i="55"/>
  <c r="E6" i="56"/>
  <c r="E15" i="56" s="1"/>
  <c r="H7" i="55"/>
  <c r="H8" i="55" s="1"/>
  <c r="F6" i="56"/>
  <c r="M45" i="69" s="1"/>
  <c r="I7" i="55"/>
  <c r="E7" i="69"/>
  <c r="AF7" i="55"/>
  <c r="AG8" i="55" s="1"/>
  <c r="C13" i="69"/>
  <c r="C14" i="69" s="1"/>
  <c r="X15" i="55"/>
  <c r="G15" i="55"/>
  <c r="G16" i="55" s="1"/>
  <c r="D13" i="69"/>
  <c r="H15" i="55"/>
  <c r="AF15" i="55"/>
  <c r="G9" i="55"/>
  <c r="G10" i="55" s="1"/>
  <c r="C9" i="69"/>
  <c r="C10" i="69" s="1"/>
  <c r="D9" i="69"/>
  <c r="E9" i="69"/>
  <c r="I9" i="55"/>
  <c r="C23" i="69"/>
  <c r="G27" i="55"/>
  <c r="G28" i="55" s="1"/>
  <c r="D23" i="69"/>
  <c r="AB27" i="55"/>
  <c r="AB28" i="55" s="1"/>
  <c r="H27" i="55"/>
  <c r="H28" i="55" s="1"/>
  <c r="E23" i="69"/>
  <c r="I27" i="55"/>
  <c r="I28" i="55" s="1"/>
  <c r="AF27" i="55"/>
  <c r="AF28" i="55" s="1"/>
  <c r="C25" i="69"/>
  <c r="C29" i="69" s="1"/>
  <c r="E25" i="69"/>
  <c r="E28" i="69" s="1"/>
  <c r="V33" i="55"/>
  <c r="U33" i="55"/>
  <c r="W36" i="55"/>
  <c r="V36" i="55"/>
  <c r="H9" i="55"/>
  <c r="I15" i="55"/>
  <c r="AC44" i="53"/>
  <c r="H26" i="57"/>
  <c r="L26" i="57"/>
  <c r="P26" i="57"/>
  <c r="T26" i="57"/>
  <c r="X26" i="57"/>
  <c r="W26" i="57"/>
  <c r="F99" i="56" s="1"/>
  <c r="AD4" i="55"/>
  <c r="D6" i="56"/>
  <c r="D14" i="56" s="1"/>
  <c r="E13" i="69"/>
  <c r="D25" i="69"/>
  <c r="D24" i="69" s="1"/>
  <c r="S26" i="57"/>
  <c r="AA8" i="55"/>
  <c r="Y10" i="55"/>
  <c r="AG10" i="55"/>
  <c r="AD11" i="57"/>
  <c r="AH11" i="57"/>
  <c r="AH10" i="57" s="1"/>
  <c r="AH8" i="57" s="1"/>
  <c r="I18" i="56"/>
  <c r="F8" i="57"/>
  <c r="N8" i="57"/>
  <c r="R8" i="57"/>
  <c r="V8" i="57"/>
  <c r="Z8" i="57"/>
  <c r="W21" i="55"/>
  <c r="W22" i="55" s="1"/>
  <c r="AD30" i="55"/>
  <c r="AA36" i="55"/>
  <c r="AH10" i="55"/>
  <c r="AE10" i="57"/>
  <c r="AE8" i="57" s="1"/>
  <c r="AI10" i="57"/>
  <c r="H21" i="56"/>
  <c r="I32" i="56"/>
  <c r="C28" i="69"/>
  <c r="E8" i="57"/>
  <c r="I8" i="57"/>
  <c r="M8" i="57"/>
  <c r="Q8" i="57"/>
  <c r="U8" i="57"/>
  <c r="Y8" i="57"/>
  <c r="AL24" i="55"/>
  <c r="G34" i="55"/>
  <c r="W6" i="55"/>
  <c r="AE6" i="55"/>
  <c r="E54" i="70"/>
  <c r="H45" i="69"/>
  <c r="H143" i="56"/>
  <c r="F71" i="56"/>
  <c r="E143" i="56"/>
  <c r="G46" i="69"/>
  <c r="B27" i="70"/>
  <c r="F143" i="56"/>
  <c r="E45" i="69"/>
  <c r="E47" i="69" s="1"/>
  <c r="D51" i="69"/>
  <c r="G19" i="55"/>
  <c r="Q24" i="56"/>
  <c r="AH28" i="53" s="1"/>
  <c r="Q13" i="56"/>
  <c r="Q15" i="56" s="1"/>
  <c r="C18" i="69"/>
  <c r="C20" i="69"/>
  <c r="O5" i="57"/>
  <c r="C16" i="59"/>
  <c r="C9" i="59" s="1"/>
  <c r="K47" i="69"/>
  <c r="C6" i="69"/>
  <c r="D5" i="56"/>
  <c r="D5" i="69"/>
  <c r="D16" i="69" s="1"/>
  <c r="L47" i="69"/>
  <c r="E5" i="56"/>
  <c r="H4" i="55"/>
  <c r="H31" i="55" s="1"/>
  <c r="F5" i="56"/>
  <c r="F29" i="56" s="1"/>
  <c r="I4" i="55"/>
  <c r="E5" i="69"/>
  <c r="E12" i="69" s="1"/>
  <c r="E15" i="59"/>
  <c r="AD5" i="57"/>
  <c r="M5" i="56"/>
  <c r="M17" i="56" s="1"/>
  <c r="AD10" i="53" s="1"/>
  <c r="AH5" i="57"/>
  <c r="Q5" i="56"/>
  <c r="Q17" i="56" s="1"/>
  <c r="AH10" i="53" s="1"/>
  <c r="Q5" i="57"/>
  <c r="AA6" i="55"/>
  <c r="C15" i="59"/>
  <c r="AD6" i="55"/>
  <c r="AE8" i="55"/>
  <c r="AD10" i="57"/>
  <c r="AD8" i="57" s="1"/>
  <c r="W16" i="55"/>
  <c r="H10" i="56"/>
  <c r="H11" i="56"/>
  <c r="P31" i="56"/>
  <c r="AG29" i="53" s="1"/>
  <c r="P20" i="56"/>
  <c r="AG12" i="53" s="1"/>
  <c r="H15" i="56"/>
  <c r="P28" i="56"/>
  <c r="AG32" i="53" s="1"/>
  <c r="W5" i="57"/>
  <c r="AI31" i="55"/>
  <c r="V6" i="55"/>
  <c r="W8" i="55"/>
  <c r="AA16" i="55"/>
  <c r="F11" i="56"/>
  <c r="M47" i="69"/>
  <c r="X4" i="55"/>
  <c r="Y5" i="55" s="1"/>
  <c r="AB4" i="55"/>
  <c r="AB16" i="55" s="1"/>
  <c r="AF4" i="55"/>
  <c r="AF31" i="55" s="1"/>
  <c r="M24" i="56"/>
  <c r="AD28" i="53" s="1"/>
  <c r="M13" i="56"/>
  <c r="AD11" i="53" s="1"/>
  <c r="H26" i="56"/>
  <c r="D15" i="59"/>
  <c r="M5" i="57"/>
  <c r="L8" i="57"/>
  <c r="U7" i="55"/>
  <c r="V8" i="55" s="1"/>
  <c r="P8" i="57"/>
  <c r="Y7" i="55"/>
  <c r="Y8" i="55" s="1"/>
  <c r="X8" i="57"/>
  <c r="G6" i="56"/>
  <c r="G14" i="56" s="1"/>
  <c r="Z15" i="55"/>
  <c r="Y15" i="55"/>
  <c r="Y16" i="55" s="1"/>
  <c r="AD15" i="55"/>
  <c r="AC15" i="55"/>
  <c r="AC16" i="55" s="1"/>
  <c r="W18" i="55"/>
  <c r="W19" i="55" s="1"/>
  <c r="V18" i="55"/>
  <c r="AA18" i="55"/>
  <c r="AA19" i="55" s="1"/>
  <c r="Z18" i="55"/>
  <c r="AE18" i="55"/>
  <c r="AE19" i="55" s="1"/>
  <c r="AD18" i="55"/>
  <c r="AD19" i="55" s="1"/>
  <c r="AA22" i="55"/>
  <c r="AE21" i="55"/>
  <c r="AE22" i="55" s="1"/>
  <c r="AF21" i="55"/>
  <c r="X24" i="55"/>
  <c r="G24" i="55"/>
  <c r="G25" i="55" s="1"/>
  <c r="I24" i="55"/>
  <c r="AF24" i="55"/>
  <c r="E128" i="56"/>
  <c r="D19" i="69"/>
  <c r="F128" i="56"/>
  <c r="E19" i="69"/>
  <c r="V27" i="55"/>
  <c r="V28" i="55" s="1"/>
  <c r="U27" i="55"/>
  <c r="U28" i="55" s="1"/>
  <c r="V30" i="55"/>
  <c r="W30" i="55"/>
  <c r="W31" i="55" s="1"/>
  <c r="Z30" i="55"/>
  <c r="Z31" i="55" s="1"/>
  <c r="AA30" i="55"/>
  <c r="AA31" i="55" s="1"/>
  <c r="AB23" i="57"/>
  <c r="W33" i="55"/>
  <c r="AD33" i="55"/>
  <c r="AF36" i="55"/>
  <c r="AE36" i="55"/>
  <c r="AC22" i="55"/>
  <c r="AG16" i="55"/>
  <c r="AK9" i="55"/>
  <c r="AK10" i="55" s="1"/>
  <c r="AF8" i="55"/>
  <c r="W10" i="55"/>
  <c r="AI10" i="55"/>
  <c r="U22" i="55"/>
  <c r="I10" i="56"/>
  <c r="I21" i="56"/>
  <c r="H18" i="56"/>
  <c r="H29" i="56"/>
  <c r="AH22" i="55"/>
  <c r="AA7" i="57"/>
  <c r="AH8" i="55"/>
  <c r="AL8" i="55"/>
  <c r="AL9" i="55"/>
  <c r="AL10" i="55" s="1"/>
  <c r="AE16" i="55"/>
  <c r="AI16" i="55"/>
  <c r="AL18" i="55"/>
  <c r="AF11" i="53"/>
  <c r="AG10" i="54" s="1"/>
  <c r="O15" i="56"/>
  <c r="E5" i="57"/>
  <c r="I5" i="57"/>
  <c r="U5" i="57"/>
  <c r="Y5" i="57"/>
  <c r="AF5" i="57"/>
  <c r="AJ5" i="57"/>
  <c r="K5" i="57"/>
  <c r="C11" i="69"/>
  <c r="C12" i="69" s="1"/>
  <c r="S5" i="57"/>
  <c r="J8" i="57"/>
  <c r="C16" i="69"/>
  <c r="I18" i="55"/>
  <c r="I19" i="55" s="1"/>
  <c r="E15" i="69"/>
  <c r="G31" i="55"/>
  <c r="D18" i="69"/>
  <c r="D27" i="69"/>
  <c r="M34" i="57"/>
  <c r="U34" i="57"/>
  <c r="AH16" i="55"/>
  <c r="AK15" i="55"/>
  <c r="G22" i="55"/>
  <c r="AK21" i="55"/>
  <c r="I33" i="55"/>
  <c r="I34" i="55" s="1"/>
  <c r="I15" i="56"/>
  <c r="I29" i="56"/>
  <c r="H32" i="56"/>
  <c r="C24" i="69"/>
  <c r="E29" i="69"/>
  <c r="F5" i="57"/>
  <c r="J5" i="57"/>
  <c r="N5" i="57"/>
  <c r="R5" i="57"/>
  <c r="V5" i="57"/>
  <c r="Z5" i="57"/>
  <c r="AE5" i="57"/>
  <c r="AI5" i="57"/>
  <c r="G8" i="57"/>
  <c r="K8" i="57"/>
  <c r="O8" i="57"/>
  <c r="S8" i="57"/>
  <c r="W8" i="57"/>
  <c r="H2" i="59"/>
  <c r="B4" i="59"/>
  <c r="H10" i="55"/>
  <c r="AA8" i="53"/>
  <c r="K43" i="56"/>
  <c r="AB19" i="55"/>
  <c r="AA18" i="53"/>
  <c r="K57" i="56"/>
  <c r="AC6" i="57"/>
  <c r="L24" i="55"/>
  <c r="AC15" i="57" s="1"/>
  <c r="L5" i="55"/>
  <c r="AC12" i="57"/>
  <c r="L21" i="55"/>
  <c r="AC14" i="57" s="1"/>
  <c r="L18" i="55"/>
  <c r="AC13" i="57" s="1"/>
  <c r="L9" i="55"/>
  <c r="M5" i="55"/>
  <c r="X25" i="55"/>
  <c r="AC5" i="55"/>
  <c r="AB5" i="55"/>
  <c r="AB25" i="55"/>
  <c r="AA16" i="53"/>
  <c r="AJ27" i="55" s="1"/>
  <c r="K51" i="56"/>
  <c r="V5" i="55"/>
  <c r="AH5" i="55"/>
  <c r="AL5" i="55"/>
  <c r="AD8" i="55"/>
  <c r="P10" i="55"/>
  <c r="AA10" i="55"/>
  <c r="U19" i="55"/>
  <c r="Y19" i="55"/>
  <c r="AC19" i="55"/>
  <c r="AG19" i="55"/>
  <c r="AK18" i="55"/>
  <c r="AI19" i="55"/>
  <c r="K21" i="55"/>
  <c r="AB14" i="57" s="1"/>
  <c r="AB22" i="55"/>
  <c r="AJ21" i="55"/>
  <c r="Y22" i="55"/>
  <c r="AI22" i="55"/>
  <c r="AG25" i="55"/>
  <c r="AH28" i="55"/>
  <c r="U31" i="55"/>
  <c r="Y31" i="55"/>
  <c r="AC31" i="55"/>
  <c r="AG31" i="55"/>
  <c r="AK30" i="55"/>
  <c r="O28" i="56"/>
  <c r="AF32" i="53" s="1"/>
  <c r="AF14" i="54" s="1"/>
  <c r="O20" i="56"/>
  <c r="AF12" i="53" s="1"/>
  <c r="AG11" i="54" s="1"/>
  <c r="S28" i="56"/>
  <c r="AJ32" i="53" s="1"/>
  <c r="AJ14" i="54" s="1"/>
  <c r="S20" i="56"/>
  <c r="AJ12" i="53" s="1"/>
  <c r="J77" i="56"/>
  <c r="J4" i="55"/>
  <c r="J18" i="55" s="1"/>
  <c r="AA13" i="57" s="1"/>
  <c r="W5" i="55"/>
  <c r="AI5" i="55"/>
  <c r="AM5" i="55"/>
  <c r="J7" i="55"/>
  <c r="L8" i="55"/>
  <c r="AK8" i="55"/>
  <c r="Q10" i="55"/>
  <c r="AJ15" i="55"/>
  <c r="Z22" i="55"/>
  <c r="H25" i="55"/>
  <c r="AD25" i="55"/>
  <c r="AH25" i="55"/>
  <c r="AJ24" i="55"/>
  <c r="AE31" i="55"/>
  <c r="AE11" i="53"/>
  <c r="N15" i="56"/>
  <c r="AI11" i="53"/>
  <c r="AJ10" i="54" s="1"/>
  <c r="R15" i="56"/>
  <c r="M15" i="56"/>
  <c r="I14" i="56"/>
  <c r="S15" i="56"/>
  <c r="O17" i="56"/>
  <c r="AF10" i="53" s="1"/>
  <c r="M26" i="56"/>
  <c r="O31" i="56"/>
  <c r="AF29" i="53" s="1"/>
  <c r="E47" i="56"/>
  <c r="F52" i="56"/>
  <c r="F80" i="56"/>
  <c r="K84" i="56"/>
  <c r="K94" i="56"/>
  <c r="AB31" i="54" s="1"/>
  <c r="O94" i="56"/>
  <c r="AF31" i="54" s="1"/>
  <c r="S94" i="56"/>
  <c r="AJ31" i="54" s="1"/>
  <c r="AB6" i="57"/>
  <c r="AB12" i="57"/>
  <c r="K9" i="55"/>
  <c r="AB9" i="57"/>
  <c r="K8" i="55"/>
  <c r="M8" i="55"/>
  <c r="R10" i="55"/>
  <c r="AG11" i="57"/>
  <c r="AG10" i="57" s="1"/>
  <c r="AL15" i="55"/>
  <c r="I22" i="55"/>
  <c r="AG22" i="55"/>
  <c r="W25" i="55"/>
  <c r="AA25" i="55"/>
  <c r="AE25" i="55"/>
  <c r="AI25" i="55"/>
  <c r="AC25" i="55"/>
  <c r="AK24" i="55"/>
  <c r="I31" i="55"/>
  <c r="AH31" i="55"/>
  <c r="AL30" i="55"/>
  <c r="G11" i="56"/>
  <c r="O9" i="56"/>
  <c r="S17" i="56"/>
  <c r="AJ10" i="53" s="1"/>
  <c r="O24" i="56"/>
  <c r="Q26" i="56"/>
  <c r="G29" i="56"/>
  <c r="S31" i="56"/>
  <c r="AJ29" i="53" s="1"/>
  <c r="M103" i="56"/>
  <c r="H7" i="69"/>
  <c r="L6" i="56"/>
  <c r="AB10" i="55"/>
  <c r="K18" i="55"/>
  <c r="AB13" i="57" s="1"/>
  <c r="AJ18" i="55"/>
  <c r="AH19" i="55"/>
  <c r="AL21" i="55"/>
  <c r="AB31" i="55"/>
  <c r="AJ30" i="55"/>
  <c r="AG28" i="53"/>
  <c r="P26" i="56"/>
  <c r="S9" i="56"/>
  <c r="AH11" i="53"/>
  <c r="AI10" i="54" s="1"/>
  <c r="G18" i="56"/>
  <c r="G21" i="56"/>
  <c r="S24" i="56"/>
  <c r="E75" i="56"/>
  <c r="M46" i="69"/>
  <c r="N9" i="56"/>
  <c r="R9" i="56"/>
  <c r="F10" i="56"/>
  <c r="H14" i="56"/>
  <c r="N17" i="56"/>
  <c r="AE10" i="53" s="1"/>
  <c r="R17" i="56"/>
  <c r="AI10" i="53" s="1"/>
  <c r="N24" i="56"/>
  <c r="R24" i="56"/>
  <c r="F25" i="56"/>
  <c r="AG14" i="54"/>
  <c r="N31" i="56"/>
  <c r="AE29" i="53" s="1"/>
  <c r="R31" i="56"/>
  <c r="AI29" i="53" s="1"/>
  <c r="F84" i="56"/>
  <c r="J84" i="56"/>
  <c r="P103" i="56"/>
  <c r="F115" i="56"/>
  <c r="K24" i="53"/>
  <c r="S53" i="53"/>
  <c r="S24" i="53"/>
  <c r="L50" i="69"/>
  <c r="L49" i="69"/>
  <c r="K18" i="69"/>
  <c r="K17" i="69" s="1"/>
  <c r="E56" i="53"/>
  <c r="L103" i="56"/>
  <c r="R103" i="56"/>
  <c r="G114" i="56"/>
  <c r="H122" i="56"/>
  <c r="H4" i="59"/>
  <c r="E14" i="69"/>
  <c r="E6" i="69"/>
  <c r="K8" i="69"/>
  <c r="E18" i="69"/>
  <c r="E26" i="69"/>
  <c r="K46" i="69"/>
  <c r="P9" i="56"/>
  <c r="P15" i="56"/>
  <c r="P17" i="56"/>
  <c r="AG10" i="53" s="1"/>
  <c r="N20" i="56"/>
  <c r="AE12" i="53" s="1"/>
  <c r="R20" i="56"/>
  <c r="AI12" i="53" s="1"/>
  <c r="D25" i="56"/>
  <c r="N103" i="56"/>
  <c r="D22" i="59"/>
  <c r="L28" i="69"/>
  <c r="L4" i="69"/>
  <c r="D39" i="69"/>
  <c r="L9" i="69"/>
  <c r="L8" i="69" s="1"/>
  <c r="L20" i="69"/>
  <c r="D49" i="53"/>
  <c r="D48" i="53"/>
  <c r="D56" i="53"/>
  <c r="H49" i="53"/>
  <c r="H48" i="53"/>
  <c r="L49" i="53"/>
  <c r="L48" i="53"/>
  <c r="O10" i="55"/>
  <c r="S10" i="55"/>
  <c r="AF11" i="57"/>
  <c r="AF10" i="57" s="1"/>
  <c r="AF8" i="57" s="1"/>
  <c r="AJ11" i="57"/>
  <c r="AJ10" i="57" s="1"/>
  <c r="AJ8" i="57" s="1"/>
  <c r="M9" i="56"/>
  <c r="Q9" i="56"/>
  <c r="J40" i="56"/>
  <c r="J46" i="56"/>
  <c r="J54" i="56"/>
  <c r="J63" i="56"/>
  <c r="J64" i="56" s="1"/>
  <c r="J68" i="56"/>
  <c r="J69" i="56" s="1"/>
  <c r="J74" i="56"/>
  <c r="J114" i="56"/>
  <c r="D115" i="56"/>
  <c r="AA31" i="53"/>
  <c r="K122" i="56"/>
  <c r="K126" i="56" s="1"/>
  <c r="K124" i="56"/>
  <c r="M30" i="69"/>
  <c r="M28" i="69"/>
  <c r="M4" i="69"/>
  <c r="E39" i="69"/>
  <c r="C4" i="69"/>
  <c r="C3" i="59"/>
  <c r="C14" i="59" s="1"/>
  <c r="AA4" i="54"/>
  <c r="AA4" i="57"/>
  <c r="I57" i="53"/>
  <c r="I13" i="53"/>
  <c r="M57" i="53"/>
  <c r="M13" i="53"/>
  <c r="Q57" i="53"/>
  <c r="Q13" i="53"/>
  <c r="Y57" i="53"/>
  <c r="Y13" i="53"/>
  <c r="O24" i="53"/>
  <c r="K50" i="69"/>
  <c r="K49" i="69"/>
  <c r="W24" i="53"/>
  <c r="M9" i="69"/>
  <c r="E24" i="53"/>
  <c r="E54" i="53" s="1"/>
  <c r="U24" i="53"/>
  <c r="I48" i="53"/>
  <c r="I49" i="53"/>
  <c r="Q48" i="53"/>
  <c r="Q49" i="53"/>
  <c r="Y48" i="53"/>
  <c r="Y49" i="53"/>
  <c r="P49" i="53"/>
  <c r="P48" i="53"/>
  <c r="AA42" i="53"/>
  <c r="E49" i="53"/>
  <c r="U49" i="53"/>
  <c r="U56" i="53"/>
  <c r="D27" i="70"/>
  <c r="D54" i="70"/>
  <c r="G45" i="69"/>
  <c r="E115" i="56"/>
  <c r="B13" i="70"/>
  <c r="J13" i="53"/>
  <c r="R13" i="53"/>
  <c r="Z13" i="53"/>
  <c r="P24" i="53"/>
  <c r="P54" i="53" s="1"/>
  <c r="F33" i="53"/>
  <c r="F38" i="53" s="1"/>
  <c r="V33" i="53"/>
  <c r="V38" i="53" s="1"/>
  <c r="V56" i="53" s="1"/>
  <c r="R33" i="53"/>
  <c r="R38" i="53" s="1"/>
  <c r="I56" i="53"/>
  <c r="I58" i="53"/>
  <c r="M56" i="53"/>
  <c r="Q56" i="53"/>
  <c r="Q58" i="53"/>
  <c r="Y56" i="53"/>
  <c r="Y58" i="53"/>
  <c r="E45" i="53"/>
  <c r="E47" i="53" s="1"/>
  <c r="E50" i="53" s="1"/>
  <c r="M45" i="53"/>
  <c r="M47" i="53" s="1"/>
  <c r="M50" i="53" s="1"/>
  <c r="U45" i="53"/>
  <c r="U47" i="53" s="1"/>
  <c r="U50" i="53" s="1"/>
  <c r="W55" i="53"/>
  <c r="U57" i="53"/>
  <c r="T58" i="53"/>
  <c r="M6" i="69"/>
  <c r="G33" i="53"/>
  <c r="G38" i="53" s="1"/>
  <c r="K33" i="53"/>
  <c r="K38" i="53" s="1"/>
  <c r="W33" i="53"/>
  <c r="M49" i="69" s="1"/>
  <c r="F58" i="53"/>
  <c r="N58" i="53"/>
  <c r="R56" i="53"/>
  <c r="V58" i="53"/>
  <c r="Z55" i="53"/>
  <c r="I124" i="56"/>
  <c r="O55" i="53"/>
  <c r="O37" i="53"/>
  <c r="K21" i="69" s="1"/>
  <c r="K20" i="69" s="1"/>
  <c r="W37" i="53"/>
  <c r="J45" i="53"/>
  <c r="J47" i="53" s="1"/>
  <c r="J50" i="53" s="1"/>
  <c r="R45" i="53"/>
  <c r="R47" i="53" s="1"/>
  <c r="Z45" i="53"/>
  <c r="Z47" i="53" s="1"/>
  <c r="Z50" i="53" s="1"/>
  <c r="M49" i="53"/>
  <c r="AI8" i="57"/>
  <c r="AI17" i="57" s="1"/>
  <c r="D53" i="53"/>
  <c r="H53" i="53"/>
  <c r="X53" i="53"/>
  <c r="F24" i="53"/>
  <c r="N24" i="53"/>
  <c r="V24" i="53"/>
  <c r="D24" i="53"/>
  <c r="L24" i="53"/>
  <c r="T24" i="53"/>
  <c r="O53" i="53"/>
  <c r="G56" i="53"/>
  <c r="E57" i="53"/>
  <c r="C26" i="69"/>
  <c r="AB4" i="54"/>
  <c r="AB4" i="57"/>
  <c r="G57" i="53"/>
  <c r="O57" i="53"/>
  <c r="AA37" i="54"/>
  <c r="W57" i="53"/>
  <c r="B37" i="70" s="1"/>
  <c r="K55" i="53"/>
  <c r="S55" i="53"/>
  <c r="L56" i="53"/>
  <c r="D26" i="69"/>
  <c r="AC4" i="57"/>
  <c r="AC4" i="54"/>
  <c r="D57" i="53"/>
  <c r="H57" i="53"/>
  <c r="L57" i="53"/>
  <c r="P57" i="53"/>
  <c r="T57" i="53"/>
  <c r="X57" i="53"/>
  <c r="H58" i="53"/>
  <c r="H56" i="53"/>
  <c r="P58" i="53"/>
  <c r="P56" i="53"/>
  <c r="X58" i="53"/>
  <c r="G45" i="53"/>
  <c r="G47" i="53" s="1"/>
  <c r="G50" i="53" s="1"/>
  <c r="K45" i="53"/>
  <c r="K47" i="53" s="1"/>
  <c r="K50" i="53" s="1"/>
  <c r="O45" i="53"/>
  <c r="S45" i="53"/>
  <c r="W45" i="53"/>
  <c r="AA40" i="53"/>
  <c r="L27" i="70"/>
  <c r="L54" i="70"/>
  <c r="F54" i="70"/>
  <c r="F27" i="70"/>
  <c r="J54" i="70"/>
  <c r="J27" i="70"/>
  <c r="H54" i="70"/>
  <c r="H27" i="70"/>
  <c r="AG8" i="57"/>
  <c r="G34" i="57"/>
  <c r="D50" i="70"/>
  <c r="D73" i="70" s="1"/>
  <c r="D80" i="70"/>
  <c r="D96" i="70" s="1"/>
  <c r="D44" i="70"/>
  <c r="D102" i="70"/>
  <c r="D122" i="70" s="1"/>
  <c r="E20" i="70"/>
  <c r="B104" i="70"/>
  <c r="C54" i="70"/>
  <c r="C27" i="70"/>
  <c r="G54" i="70"/>
  <c r="G27" i="70"/>
  <c r="B22" i="70"/>
  <c r="I64" i="70"/>
  <c r="K54" i="70"/>
  <c r="I87" i="70"/>
  <c r="I34" i="57"/>
  <c r="Q34" i="57"/>
  <c r="Y34" i="57"/>
  <c r="B52" i="70"/>
  <c r="B25" i="70"/>
  <c r="G57" i="70"/>
  <c r="K81" i="70"/>
  <c r="B102" i="70"/>
  <c r="B80" i="70"/>
  <c r="B50" i="70"/>
  <c r="L107" i="70"/>
  <c r="H107" i="70"/>
  <c r="J107" i="70"/>
  <c r="F107" i="70"/>
  <c r="J81" i="70"/>
  <c r="F81" i="70"/>
  <c r="I107" i="70"/>
  <c r="G107" i="70"/>
  <c r="B90" i="70"/>
  <c r="L81" i="70"/>
  <c r="G81" i="70"/>
  <c r="L57" i="70"/>
  <c r="H57" i="70"/>
  <c r="K107" i="70"/>
  <c r="I81" i="70"/>
  <c r="J57" i="70"/>
  <c r="B30" i="70"/>
  <c r="C30" i="70" s="1"/>
  <c r="D30" i="70" s="1"/>
  <c r="E30" i="70" s="1"/>
  <c r="F30" i="70" s="1"/>
  <c r="G30" i="70" s="1"/>
  <c r="H30" i="70" s="1"/>
  <c r="I30" i="70" s="1"/>
  <c r="J30" i="70" s="1"/>
  <c r="K30" i="70" s="1"/>
  <c r="L30" i="70" s="1"/>
  <c r="I28" i="70"/>
  <c r="H81" i="70"/>
  <c r="I57" i="70"/>
  <c r="C102" i="70"/>
  <c r="C122" i="70" s="1"/>
  <c r="C50" i="70"/>
  <c r="C73" i="70" s="1"/>
  <c r="E27" i="70"/>
  <c r="I27" i="70"/>
  <c r="H28" i="70"/>
  <c r="E40" i="70"/>
  <c r="E41" i="70" s="1"/>
  <c r="E42" i="70" s="1"/>
  <c r="D81" i="70"/>
  <c r="E92" i="70"/>
  <c r="E93" i="70" s="1"/>
  <c r="E94" i="70" s="1"/>
  <c r="T38" i="53" l="1"/>
  <c r="J27" i="55"/>
  <c r="D20" i="69"/>
  <c r="AD16" i="55"/>
  <c r="F18" i="56"/>
  <c r="I8" i="55"/>
  <c r="V22" i="55"/>
  <c r="N38" i="53"/>
  <c r="P53" i="53"/>
  <c r="E123" i="56"/>
  <c r="AG28" i="55"/>
  <c r="D12" i="69"/>
  <c r="AD31" i="55"/>
  <c r="F41" i="56"/>
  <c r="J15" i="55"/>
  <c r="AA12" i="57" s="1"/>
  <c r="AJ8" i="55"/>
  <c r="D32" i="56"/>
  <c r="K44" i="69"/>
  <c r="B55" i="70"/>
  <c r="E32" i="56"/>
  <c r="L44" i="69"/>
  <c r="I16" i="55"/>
  <c r="AB35" i="54"/>
  <c r="J140" i="56"/>
  <c r="G24" i="53"/>
  <c r="G25" i="53" s="1"/>
  <c r="J30" i="55"/>
  <c r="AA21" i="57" s="1"/>
  <c r="AJ5" i="55"/>
  <c r="B116" i="70"/>
  <c r="B38" i="70"/>
  <c r="E10" i="69"/>
  <c r="U10" i="55"/>
  <c r="J56" i="53"/>
  <c r="J49" i="53"/>
  <c r="J24" i="55"/>
  <c r="AA15" i="57" s="1"/>
  <c r="AF5" i="55"/>
  <c r="AF25" i="55"/>
  <c r="AF22" i="55"/>
  <c r="AE10" i="54"/>
  <c r="AI9" i="54"/>
  <c r="C81" i="70"/>
  <c r="E53" i="53"/>
  <c r="D58" i="53"/>
  <c r="N53" i="53"/>
  <c r="K13" i="69"/>
  <c r="AF17" i="57"/>
  <c r="AE17" i="57"/>
  <c r="D40" i="69"/>
  <c r="D43" i="69" s="1"/>
  <c r="D18" i="59"/>
  <c r="D31" i="69"/>
  <c r="L41" i="69"/>
  <c r="D19" i="59" s="1"/>
  <c r="S38" i="53"/>
  <c r="L18" i="69"/>
  <c r="L17" i="69" s="1"/>
  <c r="Z38" i="53"/>
  <c r="Z49" i="53" s="1"/>
  <c r="K41" i="69"/>
  <c r="C19" i="59" s="1"/>
  <c r="C40" i="69"/>
  <c r="C43" i="69" s="1"/>
  <c r="C32" i="69"/>
  <c r="C18" i="59"/>
  <c r="C31" i="69"/>
  <c r="AH17" i="57"/>
  <c r="H46" i="69"/>
  <c r="L53" i="53"/>
  <c r="L13" i="69"/>
  <c r="G37" i="56"/>
  <c r="G84" i="56"/>
  <c r="E61" i="56"/>
  <c r="E62" i="56" s="1"/>
  <c r="E80" i="56" s="1"/>
  <c r="D62" i="56"/>
  <c r="D80" i="56" s="1"/>
  <c r="AF11" i="54"/>
  <c r="AF9" i="54"/>
  <c r="E8" i="69"/>
  <c r="D18" i="56"/>
  <c r="U16" i="55"/>
  <c r="AD5" i="55"/>
  <c r="B51" i="70"/>
  <c r="E31" i="69"/>
  <c r="M41" i="69"/>
  <c r="E18" i="59"/>
  <c r="E40" i="69"/>
  <c r="E43" i="69" s="1"/>
  <c r="G37" i="55"/>
  <c r="AC8" i="55"/>
  <c r="U53" i="53"/>
  <c r="X38" i="53"/>
  <c r="X24" i="53"/>
  <c r="X25" i="53" s="1"/>
  <c r="H24" i="53"/>
  <c r="E99" i="56"/>
  <c r="M13" i="69"/>
  <c r="L4" i="56"/>
  <c r="AD4" i="53"/>
  <c r="J103" i="56"/>
  <c r="N33" i="69"/>
  <c r="AI28" i="57"/>
  <c r="F26" i="56"/>
  <c r="H37" i="55"/>
  <c r="AD22" i="55"/>
  <c r="I37" i="55"/>
  <c r="H19" i="55"/>
  <c r="AB8" i="55"/>
  <c r="C10" i="59"/>
  <c r="C24" i="59" s="1"/>
  <c r="Z10" i="55"/>
  <c r="AD10" i="55"/>
  <c r="D29" i="69"/>
  <c r="E10" i="56"/>
  <c r="L46" i="69"/>
  <c r="K45" i="69"/>
  <c r="X31" i="55"/>
  <c r="K5" i="55"/>
  <c r="V25" i="55"/>
  <c r="AA5" i="55"/>
  <c r="E14" i="56"/>
  <c r="X22" i="55"/>
  <c r="Z5" i="55"/>
  <c r="X5" i="55"/>
  <c r="F11" i="69"/>
  <c r="H22" i="55"/>
  <c r="D28" i="69"/>
  <c r="E16" i="69"/>
  <c r="AJ17" i="57"/>
  <c r="F21" i="56"/>
  <c r="Z19" i="55"/>
  <c r="D21" i="56"/>
  <c r="AD17" i="57"/>
  <c r="I10" i="55"/>
  <c r="V10" i="55"/>
  <c r="D10" i="59"/>
  <c r="E24" i="69"/>
  <c r="D26" i="56"/>
  <c r="AD44" i="53"/>
  <c r="AE44" i="53" s="1"/>
  <c r="AF44" i="53" s="1"/>
  <c r="AG44" i="53" s="1"/>
  <c r="AH44" i="53" s="1"/>
  <c r="AI44" i="53" s="1"/>
  <c r="AJ44" i="53" s="1"/>
  <c r="E26" i="56"/>
  <c r="E25" i="56"/>
  <c r="AJ11" i="54"/>
  <c r="F14" i="56"/>
  <c r="F15" i="56"/>
  <c r="I5" i="55"/>
  <c r="X16" i="55"/>
  <c r="H16" i="55"/>
  <c r="H5" i="55"/>
  <c r="AA28" i="54"/>
  <c r="V31" i="55"/>
  <c r="V19" i="55"/>
  <c r="F32" i="56"/>
  <c r="D15" i="56"/>
  <c r="E19" i="59"/>
  <c r="L45" i="69"/>
  <c r="AE5" i="55"/>
  <c r="X19" i="55"/>
  <c r="Z16" i="55"/>
  <c r="AE9" i="54"/>
  <c r="V16" i="55"/>
  <c r="AG5" i="55"/>
  <c r="E21" i="56"/>
  <c r="O34" i="57"/>
  <c r="C7" i="59" s="1"/>
  <c r="C21" i="69"/>
  <c r="C22" i="69" s="1"/>
  <c r="K52" i="69"/>
  <c r="E18" i="56"/>
  <c r="Z8" i="55"/>
  <c r="D16" i="59"/>
  <c r="D9" i="59" s="1"/>
  <c r="D6" i="69"/>
  <c r="D33" i="69"/>
  <c r="E20" i="69"/>
  <c r="X10" i="55"/>
  <c r="G15" i="56"/>
  <c r="D14" i="69"/>
  <c r="D8" i="69"/>
  <c r="I25" i="55"/>
  <c r="AF19" i="55"/>
  <c r="Q31" i="56"/>
  <c r="AH29" i="53" s="1"/>
  <c r="AH13" i="54" s="1"/>
  <c r="Q28" i="56"/>
  <c r="AH32" i="53" s="1"/>
  <c r="Q20" i="56"/>
  <c r="AH12" i="53" s="1"/>
  <c r="AH11" i="54" s="1"/>
  <c r="M44" i="69"/>
  <c r="E16" i="59"/>
  <c r="E11" i="56"/>
  <c r="D11" i="56"/>
  <c r="D10" i="56"/>
  <c r="AJ9" i="54"/>
  <c r="AF10" i="55"/>
  <c r="G26" i="56"/>
  <c r="AF10" i="54"/>
  <c r="G25" i="56"/>
  <c r="AF16" i="55"/>
  <c r="E29" i="56"/>
  <c r="D29" i="56"/>
  <c r="D10" i="69"/>
  <c r="M31" i="56"/>
  <c r="AD29" i="53" s="1"/>
  <c r="AE13" i="54" s="1"/>
  <c r="M20" i="56"/>
  <c r="AD12" i="53" s="1"/>
  <c r="M28" i="56"/>
  <c r="AD32" i="53" s="1"/>
  <c r="AE14" i="54" s="1"/>
  <c r="K39" i="69"/>
  <c r="AA20" i="53"/>
  <c r="K66" i="56"/>
  <c r="AA15" i="53"/>
  <c r="K61" i="56"/>
  <c r="J64" i="70"/>
  <c r="H64" i="70"/>
  <c r="K34" i="57"/>
  <c r="K40" i="69"/>
  <c r="O47" i="53"/>
  <c r="K51" i="69" s="1"/>
  <c r="K23" i="69"/>
  <c r="C21" i="59"/>
  <c r="K58" i="53"/>
  <c r="K56" i="53"/>
  <c r="T25" i="53"/>
  <c r="N25" i="53"/>
  <c r="M21" i="69"/>
  <c r="M20" i="69" s="1"/>
  <c r="AB22" i="53"/>
  <c r="AB28" i="54" s="1"/>
  <c r="F56" i="53"/>
  <c r="F54" i="53"/>
  <c r="F49" i="53"/>
  <c r="F48" i="53"/>
  <c r="J53" i="53"/>
  <c r="J24" i="53"/>
  <c r="J48" i="53"/>
  <c r="U25" i="53"/>
  <c r="E8" i="59"/>
  <c r="AA17" i="53"/>
  <c r="K54" i="56"/>
  <c r="AD9" i="53"/>
  <c r="M11" i="56"/>
  <c r="Z48" i="53"/>
  <c r="K53" i="53"/>
  <c r="AE28" i="53"/>
  <c r="N26" i="56"/>
  <c r="G15" i="69"/>
  <c r="AE11" i="54"/>
  <c r="AB5" i="57"/>
  <c r="G5" i="69"/>
  <c r="G15" i="59"/>
  <c r="K5" i="56"/>
  <c r="AA9" i="57"/>
  <c r="J8" i="55"/>
  <c r="AH12" i="54"/>
  <c r="H17" i="69"/>
  <c r="AC5" i="57"/>
  <c r="H15" i="59"/>
  <c r="H5" i="69"/>
  <c r="L5" i="56"/>
  <c r="E102" i="70"/>
  <c r="E80" i="70"/>
  <c r="E44" i="70"/>
  <c r="E50" i="70"/>
  <c r="F20" i="70"/>
  <c r="AB40" i="53"/>
  <c r="H3" i="59"/>
  <c r="H14" i="59" s="1"/>
  <c r="H4" i="69"/>
  <c r="AR3" i="55"/>
  <c r="AR13" i="55" s="1"/>
  <c r="AU3" i="55"/>
  <c r="AU13" i="55" s="1"/>
  <c r="AT3" i="55"/>
  <c r="AT13" i="55" s="1"/>
  <c r="L3" i="55"/>
  <c r="L13" i="55" s="1"/>
  <c r="AS3" i="55"/>
  <c r="AS13" i="55" s="1"/>
  <c r="L51" i="53"/>
  <c r="L25" i="53"/>
  <c r="F51" i="53"/>
  <c r="F25" i="53"/>
  <c r="Z56" i="53"/>
  <c r="Z58" i="53"/>
  <c r="M18" i="69"/>
  <c r="M17" i="69" s="1"/>
  <c r="W38" i="53"/>
  <c r="M50" i="69"/>
  <c r="W53" i="53"/>
  <c r="P51" i="53"/>
  <c r="P25" i="53"/>
  <c r="AB42" i="53"/>
  <c r="E25" i="53"/>
  <c r="Q53" i="53"/>
  <c r="Q24" i="53"/>
  <c r="I53" i="53"/>
  <c r="I24" i="53"/>
  <c r="C39" i="69"/>
  <c r="K28" i="69"/>
  <c r="K4" i="69"/>
  <c r="AB31" i="53"/>
  <c r="L122" i="56"/>
  <c r="L126" i="56" s="1"/>
  <c r="L124" i="56"/>
  <c r="AA19" i="53"/>
  <c r="K74" i="56"/>
  <c r="AA30" i="53"/>
  <c r="K46" i="56"/>
  <c r="N54" i="53"/>
  <c r="V53" i="53"/>
  <c r="S25" i="53"/>
  <c r="L42" i="69"/>
  <c r="L14" i="69"/>
  <c r="AI9" i="53"/>
  <c r="R11" i="56"/>
  <c r="G49" i="69"/>
  <c r="AJ28" i="53"/>
  <c r="S26" i="56"/>
  <c r="AA11" i="57"/>
  <c r="F13" i="69"/>
  <c r="AI11" i="54"/>
  <c r="G17" i="69"/>
  <c r="AC11" i="57"/>
  <c r="H13" i="69"/>
  <c r="I94" i="70"/>
  <c r="I93" i="70"/>
  <c r="I90" i="70"/>
  <c r="I92" i="70"/>
  <c r="I89" i="70"/>
  <c r="B88" i="70"/>
  <c r="B91" i="70" s="1"/>
  <c r="B93" i="70" s="1"/>
  <c r="I88" i="70"/>
  <c r="I91" i="70"/>
  <c r="J92" i="70"/>
  <c r="H87" i="70"/>
  <c r="G87" i="70" s="1"/>
  <c r="F87" i="70" s="1"/>
  <c r="F92" i="70" s="1"/>
  <c r="J87" i="70"/>
  <c r="K87" i="70" s="1"/>
  <c r="L87" i="70" s="1"/>
  <c r="L91" i="70" s="1"/>
  <c r="B103" i="70"/>
  <c r="B105" i="70" s="1"/>
  <c r="B21" i="70"/>
  <c r="B23" i="70" s="1"/>
  <c r="W34" i="57"/>
  <c r="M52" i="69"/>
  <c r="M40" i="69"/>
  <c r="E21" i="69"/>
  <c r="AG17" i="57"/>
  <c r="M23" i="69"/>
  <c r="M35" i="69" s="1"/>
  <c r="W47" i="53"/>
  <c r="M51" i="69" s="1"/>
  <c r="E21" i="59"/>
  <c r="G4" i="69"/>
  <c r="G3" i="59"/>
  <c r="G14" i="59" s="1"/>
  <c r="AN3" i="55"/>
  <c r="AN13" i="55" s="1"/>
  <c r="K3" i="55"/>
  <c r="K13" i="55" s="1"/>
  <c r="AQ3" i="55"/>
  <c r="AQ13" i="55" s="1"/>
  <c r="AP3" i="55"/>
  <c r="AP13" i="55" s="1"/>
  <c r="AO3" i="55"/>
  <c r="AO13" i="55" s="1"/>
  <c r="G58" i="53"/>
  <c r="D51" i="53"/>
  <c r="D25" i="53"/>
  <c r="R50" i="53"/>
  <c r="R58" i="53"/>
  <c r="J58" i="53"/>
  <c r="K54" i="53"/>
  <c r="K49" i="53"/>
  <c r="K48" i="53"/>
  <c r="K51" i="53" s="1"/>
  <c r="G53" i="53"/>
  <c r="M58" i="53"/>
  <c r="R49" i="53"/>
  <c r="R48" i="53"/>
  <c r="Z53" i="53"/>
  <c r="Z24" i="53"/>
  <c r="U48" i="53"/>
  <c r="U51" i="53" s="1"/>
  <c r="M8" i="69"/>
  <c r="K42" i="69"/>
  <c r="O25" i="53"/>
  <c r="K14" i="69"/>
  <c r="F4" i="69"/>
  <c r="F3" i="59"/>
  <c r="F14" i="59" s="1"/>
  <c r="AJ3" i="55"/>
  <c r="AJ13" i="55" s="1"/>
  <c r="AM3" i="55"/>
  <c r="AM13" i="55" s="1"/>
  <c r="J3" i="55"/>
  <c r="J13" i="55" s="1"/>
  <c r="AL3" i="55"/>
  <c r="AL13" i="55" s="1"/>
  <c r="AK3" i="55"/>
  <c r="AK13" i="55" s="1"/>
  <c r="J119" i="56"/>
  <c r="J128" i="56" s="1"/>
  <c r="AA19" i="57" s="1"/>
  <c r="J117" i="56"/>
  <c r="AA7" i="53"/>
  <c r="K40" i="56"/>
  <c r="D54" i="53"/>
  <c r="F53" i="53"/>
  <c r="O38" i="53"/>
  <c r="AE9" i="53"/>
  <c r="N11" i="56"/>
  <c r="AJ9" i="53"/>
  <c r="S11" i="56"/>
  <c r="L24" i="56"/>
  <c r="L13" i="56"/>
  <c r="AF28" i="53"/>
  <c r="AG12" i="54" s="1"/>
  <c r="O26" i="56"/>
  <c r="G7" i="69"/>
  <c r="K6" i="56"/>
  <c r="AB16" i="57"/>
  <c r="K10" i="55"/>
  <c r="AG9" i="54"/>
  <c r="F15" i="69"/>
  <c r="AA6" i="57"/>
  <c r="J21" i="55"/>
  <c r="AA14" i="57" s="1"/>
  <c r="J9" i="55"/>
  <c r="J5" i="55"/>
  <c r="AB16" i="53"/>
  <c r="K27" i="55" s="1"/>
  <c r="L51" i="56"/>
  <c r="AC16" i="57"/>
  <c r="L10" i="55"/>
  <c r="AB8" i="53"/>
  <c r="L43" i="56"/>
  <c r="B3" i="57"/>
  <c r="B3" i="54"/>
  <c r="H3" i="69"/>
  <c r="B3" i="53"/>
  <c r="H38" i="69"/>
  <c r="P3" i="69"/>
  <c r="A3" i="56"/>
  <c r="A2" i="55"/>
  <c r="S34" i="57"/>
  <c r="D7" i="59" s="1"/>
  <c r="D21" i="69"/>
  <c r="L52" i="69"/>
  <c r="L40" i="69"/>
  <c r="S47" i="53"/>
  <c r="L51" i="69" s="1"/>
  <c r="D21" i="59"/>
  <c r="L23" i="69"/>
  <c r="L35" i="69" s="1"/>
  <c r="D11" i="59" s="1"/>
  <c r="S56" i="53"/>
  <c r="D8" i="59"/>
  <c r="V25" i="53"/>
  <c r="O58" i="53"/>
  <c r="C8" i="59"/>
  <c r="G54" i="53"/>
  <c r="G49" i="53"/>
  <c r="G48" i="53"/>
  <c r="G51" i="53" s="1"/>
  <c r="V49" i="53"/>
  <c r="V54" i="53"/>
  <c r="V48" i="53"/>
  <c r="V51" i="53" s="1"/>
  <c r="R53" i="53"/>
  <c r="R24" i="53"/>
  <c r="U58" i="53"/>
  <c r="T54" i="53"/>
  <c r="U54" i="53"/>
  <c r="M48" i="53"/>
  <c r="E48" i="53"/>
  <c r="E51" i="53" s="1"/>
  <c r="M14" i="69"/>
  <c r="M42" i="69"/>
  <c r="W25" i="53"/>
  <c r="Y53" i="53"/>
  <c r="Y24" i="53"/>
  <c r="M53" i="53"/>
  <c r="M24" i="53"/>
  <c r="N16" i="69"/>
  <c r="AA6" i="54"/>
  <c r="J71" i="56"/>
  <c r="AH9" i="53"/>
  <c r="Q11" i="56"/>
  <c r="L54" i="53"/>
  <c r="D24" i="59"/>
  <c r="H49" i="69"/>
  <c r="AH9" i="54"/>
  <c r="AG9" i="53"/>
  <c r="P11" i="56"/>
  <c r="M39" i="69"/>
  <c r="E58" i="53"/>
  <c r="K25" i="53"/>
  <c r="F49" i="69"/>
  <c r="AI28" i="53"/>
  <c r="R26" i="56"/>
  <c r="AH10" i="54"/>
  <c r="H8" i="69"/>
  <c r="AJ13" i="54"/>
  <c r="AF9" i="53"/>
  <c r="AG8" i="54" s="1"/>
  <c r="O11" i="56"/>
  <c r="AB11" i="57"/>
  <c r="G13" i="69"/>
  <c r="H80" i="56"/>
  <c r="AF13" i="54"/>
  <c r="AG13" i="54"/>
  <c r="AA21" i="53"/>
  <c r="K77" i="56"/>
  <c r="AM27" i="55"/>
  <c r="N10" i="69"/>
  <c r="AL27" i="55"/>
  <c r="AK27" i="55"/>
  <c r="AA20" i="57" s="1"/>
  <c r="AI28" i="55"/>
  <c r="H15" i="69"/>
  <c r="AB18" i="53"/>
  <c r="L57" i="56"/>
  <c r="AF8" i="54" l="1"/>
  <c r="N49" i="53"/>
  <c r="N48" i="53"/>
  <c r="N51" i="53" s="1"/>
  <c r="N56" i="53"/>
  <c r="D32" i="69"/>
  <c r="T49" i="53"/>
  <c r="T48" i="53"/>
  <c r="T51" i="53" s="1"/>
  <c r="T56" i="53"/>
  <c r="E33" i="69"/>
  <c r="E32" i="69"/>
  <c r="AC35" i="54"/>
  <c r="K140" i="56"/>
  <c r="J91" i="70"/>
  <c r="G93" i="70"/>
  <c r="H90" i="70"/>
  <c r="F94" i="70"/>
  <c r="H25" i="53"/>
  <c r="H54" i="53"/>
  <c r="H88" i="70"/>
  <c r="G91" i="70"/>
  <c r="G92" i="70"/>
  <c r="L84" i="56"/>
  <c r="L37" i="56"/>
  <c r="K35" i="69"/>
  <c r="C33" i="69"/>
  <c r="F93" i="70"/>
  <c r="F88" i="70"/>
  <c r="G94" i="70"/>
  <c r="X49" i="53"/>
  <c r="X56" i="53"/>
  <c r="X48" i="53"/>
  <c r="X51" i="53" s="1"/>
  <c r="X54" i="53"/>
  <c r="L22" i="69"/>
  <c r="L53" i="69" s="1"/>
  <c r="S54" i="53"/>
  <c r="S49" i="53"/>
  <c r="H51" i="53"/>
  <c r="G90" i="70"/>
  <c r="F91" i="70"/>
  <c r="F89" i="70"/>
  <c r="C11" i="59"/>
  <c r="AE4" i="53"/>
  <c r="M4" i="56"/>
  <c r="AD4" i="57"/>
  <c r="M3" i="55" s="1"/>
  <c r="M13" i="55" s="1"/>
  <c r="AD4" i="54"/>
  <c r="AJ28" i="57"/>
  <c r="E10" i="59"/>
  <c r="E24" i="59" s="1"/>
  <c r="AC23" i="57"/>
  <c r="C17" i="59"/>
  <c r="E9" i="59"/>
  <c r="AH14" i="54"/>
  <c r="AI14" i="54"/>
  <c r="AI8" i="54"/>
  <c r="L39" i="69"/>
  <c r="AI13" i="54"/>
  <c r="AA20" i="54"/>
  <c r="AA29" i="54" s="1"/>
  <c r="F23" i="69"/>
  <c r="F17" i="69"/>
  <c r="AB7" i="53"/>
  <c r="L40" i="56"/>
  <c r="N28" i="69"/>
  <c r="F39" i="69"/>
  <c r="N4" i="69"/>
  <c r="Y51" i="53"/>
  <c r="Y25" i="53"/>
  <c r="Y54" i="53"/>
  <c r="AA5" i="57"/>
  <c r="N47" i="69"/>
  <c r="F15" i="59"/>
  <c r="F5" i="69"/>
  <c r="G6" i="69" s="1"/>
  <c r="J5" i="56"/>
  <c r="AC11" i="53"/>
  <c r="L15" i="56"/>
  <c r="O54" i="53"/>
  <c r="O49" i="53"/>
  <c r="O48" i="53"/>
  <c r="K22" i="69"/>
  <c r="K53" i="69" s="1"/>
  <c r="G39" i="69"/>
  <c r="O28" i="69"/>
  <c r="O4" i="69"/>
  <c r="W50" i="53"/>
  <c r="I99" i="70"/>
  <c r="E99" i="70"/>
  <c r="J99" i="70"/>
  <c r="D99" i="70"/>
  <c r="H99" i="70"/>
  <c r="C99" i="70"/>
  <c r="L99" i="70"/>
  <c r="G99" i="70"/>
  <c r="F99" i="70"/>
  <c r="K99" i="70"/>
  <c r="L92" i="70"/>
  <c r="L88" i="70"/>
  <c r="K91" i="70"/>
  <c r="K94" i="70"/>
  <c r="L94" i="70"/>
  <c r="J89" i="70"/>
  <c r="H14" i="69"/>
  <c r="AA10" i="57"/>
  <c r="AA8" i="57" s="1"/>
  <c r="J142" i="56" s="1"/>
  <c r="E73" i="70"/>
  <c r="B59" i="70"/>
  <c r="C59" i="70" s="1"/>
  <c r="D59" i="70" s="1"/>
  <c r="E59" i="70" s="1"/>
  <c r="F59" i="70" s="1"/>
  <c r="G59" i="70" s="1"/>
  <c r="H59" i="70" s="1"/>
  <c r="I59" i="70" s="1"/>
  <c r="J59" i="70" s="1"/>
  <c r="K59" i="70" s="1"/>
  <c r="L59" i="70" s="1"/>
  <c r="H18" i="69"/>
  <c r="K28" i="56"/>
  <c r="AB32" i="53" s="1"/>
  <c r="K20" i="56"/>
  <c r="AB12" i="53" s="1"/>
  <c r="K9" i="56"/>
  <c r="K31" i="56"/>
  <c r="AB29" i="53" s="1"/>
  <c r="K17" i="56"/>
  <c r="AB10" i="53" s="1"/>
  <c r="G16" i="59"/>
  <c r="G16" i="69"/>
  <c r="AE8" i="54"/>
  <c r="J51" i="53"/>
  <c r="J25" i="53"/>
  <c r="J54" i="53"/>
  <c r="O50" i="53"/>
  <c r="K64" i="70"/>
  <c r="AA23" i="53"/>
  <c r="N11" i="69"/>
  <c r="AC8" i="53"/>
  <c r="M43" i="56"/>
  <c r="L31" i="69"/>
  <c r="D23" i="59"/>
  <c r="A36" i="56"/>
  <c r="A83" i="56"/>
  <c r="AN27" i="55"/>
  <c r="O10" i="69"/>
  <c r="AQ27" i="55"/>
  <c r="AP27" i="55"/>
  <c r="AO27" i="55"/>
  <c r="G9" i="69"/>
  <c r="G10" i="69" s="1"/>
  <c r="AB21" i="53"/>
  <c r="L77" i="56"/>
  <c r="G14" i="69"/>
  <c r="AI12" i="54"/>
  <c r="R51" i="53"/>
  <c r="R25" i="53"/>
  <c r="S50" i="53"/>
  <c r="S48" i="53"/>
  <c r="D22" i="69"/>
  <c r="AF12" i="54"/>
  <c r="AC28" i="53"/>
  <c r="L26" i="56"/>
  <c r="AA35" i="53"/>
  <c r="K114" i="56"/>
  <c r="Z51" i="53"/>
  <c r="Z25" i="53"/>
  <c r="Z54" i="53"/>
  <c r="R54" i="53"/>
  <c r="E11" i="59"/>
  <c r="E17" i="59"/>
  <c r="H94" i="70"/>
  <c r="G89" i="70"/>
  <c r="L89" i="70"/>
  <c r="J88" i="70"/>
  <c r="K93" i="70"/>
  <c r="L93" i="70"/>
  <c r="H89" i="70"/>
  <c r="H92" i="70"/>
  <c r="G88" i="70"/>
  <c r="K92" i="70"/>
  <c r="AC10" i="57"/>
  <c r="AC8" i="57" s="1"/>
  <c r="AC17" i="57" s="1"/>
  <c r="G18" i="69"/>
  <c r="AB30" i="53"/>
  <c r="L46" i="56"/>
  <c r="M124" i="56"/>
  <c r="AC31" i="53"/>
  <c r="M122" i="56"/>
  <c r="M126" i="56" s="1"/>
  <c r="I51" i="53"/>
  <c r="I25" i="53"/>
  <c r="I54" i="53"/>
  <c r="AC42" i="53"/>
  <c r="AC40" i="53"/>
  <c r="L31" i="56"/>
  <c r="AC29" i="53" s="1"/>
  <c r="L17" i="56"/>
  <c r="AC10" i="53" s="1"/>
  <c r="AD9" i="54" s="1"/>
  <c r="L9" i="56"/>
  <c r="L28" i="56"/>
  <c r="AC32" i="53" s="1"/>
  <c r="L20" i="56"/>
  <c r="AC12" i="53" s="1"/>
  <c r="AB17" i="53"/>
  <c r="L54" i="56"/>
  <c r="AC22" i="53"/>
  <c r="K68" i="56"/>
  <c r="K69" i="56" s="1"/>
  <c r="K37" i="69"/>
  <c r="G8" i="69"/>
  <c r="H16" i="69"/>
  <c r="AG7" i="54"/>
  <c r="AC18" i="53"/>
  <c r="M57" i="56"/>
  <c r="AH8" i="54"/>
  <c r="AH7" i="54" s="1"/>
  <c r="AB10" i="57"/>
  <c r="AB8" i="57" s="1"/>
  <c r="AB17" i="57" s="1"/>
  <c r="C52" i="70"/>
  <c r="C25" i="70"/>
  <c r="M51" i="53"/>
  <c r="M25" i="53"/>
  <c r="M54" i="53"/>
  <c r="O56" i="53"/>
  <c r="S58" i="53"/>
  <c r="D17" i="59"/>
  <c r="H9" i="69"/>
  <c r="H10" i="69" s="1"/>
  <c r="AA16" i="57"/>
  <c r="J10" i="55"/>
  <c r="K13" i="56"/>
  <c r="P45" i="69" s="1"/>
  <c r="K24" i="56"/>
  <c r="F19" i="69"/>
  <c r="E22" i="69"/>
  <c r="F90" i="70"/>
  <c r="K90" i="70"/>
  <c r="L90" i="70"/>
  <c r="K89" i="70"/>
  <c r="J94" i="70"/>
  <c r="J90" i="70"/>
  <c r="H93" i="70"/>
  <c r="J93" i="70"/>
  <c r="K88" i="70"/>
  <c r="H91" i="70"/>
  <c r="AJ12" i="54"/>
  <c r="AJ8" i="54"/>
  <c r="B53" i="70"/>
  <c r="B57" i="70" s="1"/>
  <c r="B26" i="70"/>
  <c r="B28" i="70" s="1"/>
  <c r="W54" i="53"/>
  <c r="W49" i="53"/>
  <c r="M22" i="69"/>
  <c r="M53" i="69" s="1"/>
  <c r="W48" i="53"/>
  <c r="H39" i="69"/>
  <c r="P28" i="69"/>
  <c r="P4" i="69"/>
  <c r="E96" i="70"/>
  <c r="B82" i="70"/>
  <c r="C82" i="70" s="1"/>
  <c r="D82" i="70" s="1"/>
  <c r="E82" i="70" s="1"/>
  <c r="F82" i="70" s="1"/>
  <c r="G82" i="70" s="1"/>
  <c r="H82" i="70" s="1"/>
  <c r="I82" i="70" s="1"/>
  <c r="J82" i="70" s="1"/>
  <c r="K82" i="70" s="1"/>
  <c r="L82" i="70" s="1"/>
  <c r="H6" i="69"/>
  <c r="H12" i="69"/>
  <c r="G12" i="69"/>
  <c r="AE12" i="54"/>
  <c r="W56" i="53"/>
  <c r="K31" i="69"/>
  <c r="C23" i="59"/>
  <c r="G64" i="70"/>
  <c r="N12" i="69"/>
  <c r="AC16" i="53"/>
  <c r="M51" i="56"/>
  <c r="AF7" i="54"/>
  <c r="M31" i="69"/>
  <c r="E23" i="59"/>
  <c r="AB19" i="53"/>
  <c r="L74" i="56"/>
  <c r="O16" i="69"/>
  <c r="Q51" i="53"/>
  <c r="Q25" i="53"/>
  <c r="Q54" i="53"/>
  <c r="F102" i="70"/>
  <c r="F122" i="70" s="1"/>
  <c r="F80" i="70"/>
  <c r="F96" i="70" s="1"/>
  <c r="F44" i="70"/>
  <c r="G20" i="70"/>
  <c r="F50" i="70"/>
  <c r="F73" i="70" s="1"/>
  <c r="E122" i="70"/>
  <c r="B108" i="70"/>
  <c r="C108" i="70" s="1"/>
  <c r="D108" i="70" s="1"/>
  <c r="E108" i="70" s="1"/>
  <c r="F108" i="70" s="1"/>
  <c r="G108" i="70" s="1"/>
  <c r="H108" i="70" s="1"/>
  <c r="I108" i="70" s="1"/>
  <c r="J108" i="70" s="1"/>
  <c r="K108" i="70" s="1"/>
  <c r="L108" i="70" s="1"/>
  <c r="H16" i="59"/>
  <c r="F7" i="69"/>
  <c r="J6" i="56"/>
  <c r="E7" i="59"/>
  <c r="W58" i="53"/>
  <c r="B115" i="70" s="1"/>
  <c r="K63" i="56"/>
  <c r="K64" i="56" s="1"/>
  <c r="AD35" i="54" l="1"/>
  <c r="L140" i="56"/>
  <c r="L27" i="55"/>
  <c r="AU27" i="55"/>
  <c r="P44" i="69"/>
  <c r="M84" i="56"/>
  <c r="M37" i="56"/>
  <c r="M37" i="69"/>
  <c r="AC28" i="54"/>
  <c r="N4" i="56"/>
  <c r="AE4" i="54"/>
  <c r="AE4" i="57"/>
  <c r="N3" i="55" s="1"/>
  <c r="N13" i="55" s="1"/>
  <c r="AF4" i="53"/>
  <c r="AA17" i="57"/>
  <c r="AJ7" i="54"/>
  <c r="AI7" i="54"/>
  <c r="F14" i="69"/>
  <c r="F16" i="69"/>
  <c r="AD23" i="57"/>
  <c r="AB20" i="53"/>
  <c r="L66" i="56"/>
  <c r="AB15" i="53"/>
  <c r="L61" i="56"/>
  <c r="AC17" i="53"/>
  <c r="M54" i="56"/>
  <c r="AD31" i="53"/>
  <c r="N122" i="56"/>
  <c r="N126" i="56" s="1"/>
  <c r="N124" i="56"/>
  <c r="L25" i="69"/>
  <c r="L36" i="69" s="1"/>
  <c r="D12" i="59" s="1"/>
  <c r="S51" i="53"/>
  <c r="AD8" i="53"/>
  <c r="N43" i="56"/>
  <c r="F6" i="69"/>
  <c r="F12" i="69"/>
  <c r="AC7" i="53"/>
  <c r="M40" i="56"/>
  <c r="F18" i="69"/>
  <c r="F64" i="70"/>
  <c r="AB28" i="53"/>
  <c r="K26" i="56"/>
  <c r="P46" i="69"/>
  <c r="F8" i="69"/>
  <c r="P10" i="69"/>
  <c r="AR27" i="55"/>
  <c r="AT27" i="55"/>
  <c r="AS27" i="55"/>
  <c r="P39" i="69"/>
  <c r="F20" i="69"/>
  <c r="AB11" i="53"/>
  <c r="K15" i="56"/>
  <c r="AD22" i="53"/>
  <c r="AD11" i="54"/>
  <c r="AC13" i="54"/>
  <c r="AD13" i="54"/>
  <c r="AD40" i="53"/>
  <c r="AC30" i="53"/>
  <c r="AC33" i="53" s="1"/>
  <c r="M46" i="56"/>
  <c r="AC21" i="53"/>
  <c r="M77" i="56"/>
  <c r="AE7" i="54"/>
  <c r="G9" i="59"/>
  <c r="AB9" i="53"/>
  <c r="K11" i="56"/>
  <c r="B79" i="70"/>
  <c r="E87" i="70"/>
  <c r="F16" i="59"/>
  <c r="O39" i="69"/>
  <c r="M25" i="69"/>
  <c r="M36" i="69" s="1"/>
  <c r="W51" i="53"/>
  <c r="F9" i="69"/>
  <c r="F10" i="69" s="1"/>
  <c r="AC14" i="54"/>
  <c r="AD14" i="54"/>
  <c r="AD42" i="53"/>
  <c r="AE42" i="53" s="1"/>
  <c r="AF42" i="53" s="1"/>
  <c r="AG42" i="53" s="1"/>
  <c r="AH42" i="53" s="1"/>
  <c r="AI42" i="53" s="1"/>
  <c r="AJ42" i="53" s="1"/>
  <c r="K119" i="56"/>
  <c r="K128" i="56" s="1"/>
  <c r="AB19" i="57" s="1"/>
  <c r="K117" i="56"/>
  <c r="AC12" i="54"/>
  <c r="P15" i="69"/>
  <c r="AD12" i="54"/>
  <c r="L37" i="69"/>
  <c r="AB20" i="57"/>
  <c r="N13" i="69"/>
  <c r="L64" i="70"/>
  <c r="AC11" i="54"/>
  <c r="K25" i="69"/>
  <c r="K36" i="69" s="1"/>
  <c r="C12" i="59" s="1"/>
  <c r="O51" i="53"/>
  <c r="AD10" i="54"/>
  <c r="P7" i="69"/>
  <c r="N46" i="69"/>
  <c r="N45" i="69"/>
  <c r="J13" i="56"/>
  <c r="J24" i="56"/>
  <c r="AC19" i="53"/>
  <c r="M74" i="56"/>
  <c r="AD16" i="53"/>
  <c r="M27" i="55" s="1"/>
  <c r="AD20" i="57" s="1"/>
  <c r="AD20" i="54" s="1"/>
  <c r="N51" i="56"/>
  <c r="AB6" i="54"/>
  <c r="K142" i="56" s="1"/>
  <c r="K71" i="56"/>
  <c r="B106" i="70"/>
  <c r="H9" i="59"/>
  <c r="G102" i="70"/>
  <c r="G122" i="70" s="1"/>
  <c r="G80" i="70"/>
  <c r="G96" i="70" s="1"/>
  <c r="G50" i="70"/>
  <c r="G73" i="70" s="1"/>
  <c r="G44" i="70"/>
  <c r="H20" i="70"/>
  <c r="AA34" i="54"/>
  <c r="O46" i="69"/>
  <c r="AD18" i="53"/>
  <c r="N57" i="56"/>
  <c r="AC9" i="53"/>
  <c r="L11" i="56"/>
  <c r="P16" i="69"/>
  <c r="AA37" i="53"/>
  <c r="N19" i="69"/>
  <c r="AA55" i="53"/>
  <c r="AC9" i="54"/>
  <c r="J28" i="56"/>
  <c r="AA32" i="53" s="1"/>
  <c r="J20" i="56"/>
  <c r="AA12" i="53" s="1"/>
  <c r="J31" i="56"/>
  <c r="AA29" i="53" s="1"/>
  <c r="AA13" i="54" s="1"/>
  <c r="J17" i="56"/>
  <c r="AA10" i="53" s="1"/>
  <c r="J9" i="56"/>
  <c r="F48" i="69"/>
  <c r="F47" i="69" s="1"/>
  <c r="J138" i="56"/>
  <c r="AE35" i="54" l="1"/>
  <c r="M140" i="56"/>
  <c r="N37" i="56"/>
  <c r="N84" i="56"/>
  <c r="AF4" i="54"/>
  <c r="AG4" i="53"/>
  <c r="AF4" i="57"/>
  <c r="O3" i="55" s="1"/>
  <c r="O13" i="55" s="1"/>
  <c r="O4" i="56"/>
  <c r="AE23" i="57"/>
  <c r="AD28" i="54"/>
  <c r="AD29" i="54" s="1"/>
  <c r="M138" i="56" s="1"/>
  <c r="P18" i="69"/>
  <c r="P17" i="69" s="1"/>
  <c r="AA22" i="57"/>
  <c r="AA24" i="57" s="1"/>
  <c r="AA35" i="57" s="1"/>
  <c r="AA34" i="57" s="1"/>
  <c r="N21" i="69"/>
  <c r="N20" i="69" s="1"/>
  <c r="AB20" i="54"/>
  <c r="AB29" i="54" s="1"/>
  <c r="G23" i="69"/>
  <c r="F9" i="59"/>
  <c r="AD21" i="53"/>
  <c r="N77" i="56"/>
  <c r="AB13" i="54"/>
  <c r="E12" i="59"/>
  <c r="AC10" i="54"/>
  <c r="O7" i="69"/>
  <c r="AE8" i="53"/>
  <c r="O43" i="56"/>
  <c r="AD17" i="53"/>
  <c r="N54" i="56"/>
  <c r="AB23" i="53"/>
  <c r="O11" i="69"/>
  <c r="O47" i="69"/>
  <c r="H102" i="70"/>
  <c r="H122" i="70" s="1"/>
  <c r="H50" i="70"/>
  <c r="H73" i="70" s="1"/>
  <c r="H80" i="70"/>
  <c r="H96" i="70" s="1"/>
  <c r="I20" i="70"/>
  <c r="H44" i="70"/>
  <c r="D52" i="70"/>
  <c r="D25" i="70"/>
  <c r="AE16" i="53"/>
  <c r="N27" i="55" s="1"/>
  <c r="AE20" i="57" s="1"/>
  <c r="AE20" i="54" s="1"/>
  <c r="O51" i="56"/>
  <c r="AB35" i="53"/>
  <c r="L114" i="56"/>
  <c r="AA9" i="53"/>
  <c r="J11" i="56"/>
  <c r="O44" i="69"/>
  <c r="AD8" i="54"/>
  <c r="AD7" i="54" s="1"/>
  <c r="P6" i="69"/>
  <c r="AD19" i="53"/>
  <c r="N74" i="56"/>
  <c r="AA28" i="53"/>
  <c r="J26" i="56"/>
  <c r="AC8" i="54"/>
  <c r="AC7" i="54" s="1"/>
  <c r="O6" i="69"/>
  <c r="AE40" i="53"/>
  <c r="AE22" i="53"/>
  <c r="AC20" i="57"/>
  <c r="AB33" i="53"/>
  <c r="O15" i="69"/>
  <c r="AD7" i="53"/>
  <c r="N40" i="56"/>
  <c r="N39" i="69"/>
  <c r="AE31" i="53"/>
  <c r="O122" i="56"/>
  <c r="O126" i="56" s="1"/>
  <c r="O124" i="56"/>
  <c r="L68" i="56"/>
  <c r="L69" i="56" s="1"/>
  <c r="L63" i="56"/>
  <c r="AB11" i="54"/>
  <c r="AA11" i="54"/>
  <c r="AA14" i="54"/>
  <c r="AB9" i="54"/>
  <c r="AA9" i="54"/>
  <c r="N44" i="69"/>
  <c r="AB14" i="54"/>
  <c r="AE18" i="53"/>
  <c r="O57" i="56"/>
  <c r="F52" i="69"/>
  <c r="F51" i="69" s="1"/>
  <c r="J139" i="56"/>
  <c r="AA11" i="53"/>
  <c r="J15" i="56"/>
  <c r="O45" i="69"/>
  <c r="AD30" i="53"/>
  <c r="AD33" i="53" s="1"/>
  <c r="N46" i="56"/>
  <c r="O12" i="69"/>
  <c r="C103" i="70" l="1"/>
  <c r="AF35" i="54"/>
  <c r="N140" i="56"/>
  <c r="F21" i="69"/>
  <c r="N40" i="69"/>
  <c r="N52" i="69"/>
  <c r="C21" i="70"/>
  <c r="AG4" i="57"/>
  <c r="P3" i="55" s="1"/>
  <c r="P13" i="55" s="1"/>
  <c r="AG4" i="54"/>
  <c r="AH4" i="53"/>
  <c r="P4" i="56"/>
  <c r="O84" i="56"/>
  <c r="O37" i="56"/>
  <c r="AF23" i="57"/>
  <c r="AE28" i="54"/>
  <c r="AE29" i="54" s="1"/>
  <c r="N138" i="56" s="1"/>
  <c r="AE19" i="53"/>
  <c r="O74" i="56"/>
  <c r="L119" i="56"/>
  <c r="L128" i="56" s="1"/>
  <c r="AC19" i="57" s="1"/>
  <c r="L117" i="56"/>
  <c r="AF16" i="53"/>
  <c r="O27" i="55" s="1"/>
  <c r="AF20" i="57" s="1"/>
  <c r="AF20" i="54" s="1"/>
  <c r="P51" i="56"/>
  <c r="F22" i="69"/>
  <c r="F17" i="59"/>
  <c r="AB34" i="54"/>
  <c r="AF18" i="53"/>
  <c r="P57" i="56"/>
  <c r="AF40" i="53"/>
  <c r="H42" i="69"/>
  <c r="AA12" i="54"/>
  <c r="AA33" i="53"/>
  <c r="N15" i="69"/>
  <c r="AE30" i="53"/>
  <c r="AE33" i="53" s="1"/>
  <c r="O46" i="56"/>
  <c r="AE7" i="53"/>
  <c r="O40" i="56"/>
  <c r="O18" i="69"/>
  <c r="O17" i="69" s="1"/>
  <c r="AB37" i="53"/>
  <c r="O19" i="69"/>
  <c r="AB55" i="53"/>
  <c r="O13" i="69"/>
  <c r="AE21" i="53"/>
  <c r="O77" i="56"/>
  <c r="AC20" i="53"/>
  <c r="M66" i="56"/>
  <c r="AC20" i="54"/>
  <c r="AC29" i="54" s="1"/>
  <c r="H23" i="69"/>
  <c r="AC6" i="54"/>
  <c r="L71" i="56"/>
  <c r="AF31" i="53"/>
  <c r="P124" i="56"/>
  <c r="P122" i="56"/>
  <c r="P126" i="56" s="1"/>
  <c r="AF22" i="53"/>
  <c r="L64" i="56"/>
  <c r="AB10" i="54"/>
  <c r="N7" i="69"/>
  <c r="AA10" i="54"/>
  <c r="AB12" i="54"/>
  <c r="AB8" i="54"/>
  <c r="N6" i="69"/>
  <c r="AA8" i="54"/>
  <c r="I102" i="70"/>
  <c r="I122" i="70" s="1"/>
  <c r="I80" i="70"/>
  <c r="I96" i="70" s="1"/>
  <c r="I44" i="70"/>
  <c r="J20" i="70"/>
  <c r="I50" i="70"/>
  <c r="I73" i="70" s="1"/>
  <c r="AE17" i="53"/>
  <c r="O54" i="56"/>
  <c r="AF8" i="53"/>
  <c r="P43" i="56"/>
  <c r="G48" i="69"/>
  <c r="G47" i="69" s="1"/>
  <c r="K138" i="56"/>
  <c r="F25" i="69"/>
  <c r="J33" i="55"/>
  <c r="AA25" i="57" s="1"/>
  <c r="AA26" i="57" s="1"/>
  <c r="AG35" i="54" l="1"/>
  <c r="O140" i="56"/>
  <c r="P84" i="56"/>
  <c r="P37" i="56"/>
  <c r="AH4" i="54"/>
  <c r="Q4" i="56"/>
  <c r="AH4" i="57"/>
  <c r="Q3" i="55" s="1"/>
  <c r="Q13" i="55" s="1"/>
  <c r="AI4" i="53"/>
  <c r="J36" i="55"/>
  <c r="AG23" i="57"/>
  <c r="AF28" i="54"/>
  <c r="AF29" i="54" s="1"/>
  <c r="O138" i="56" s="1"/>
  <c r="AG22" i="53"/>
  <c r="P12" i="69"/>
  <c r="AC35" i="53"/>
  <c r="M114" i="56"/>
  <c r="F26" i="69"/>
  <c r="F24" i="69"/>
  <c r="AF17" i="53"/>
  <c r="P54" i="56"/>
  <c r="O21" i="69"/>
  <c r="O20" i="69" s="1"/>
  <c r="AF30" i="53"/>
  <c r="AF33" i="53" s="1"/>
  <c r="P46" i="56"/>
  <c r="AG18" i="53"/>
  <c r="Q57" i="56"/>
  <c r="AA7" i="54"/>
  <c r="AC15" i="53"/>
  <c r="M61" i="56"/>
  <c r="E52" i="70"/>
  <c r="E25" i="70"/>
  <c r="L142" i="56"/>
  <c r="H48" i="69"/>
  <c r="H47" i="69" s="1"/>
  <c r="L138" i="56"/>
  <c r="AF21" i="53"/>
  <c r="P77" i="56"/>
  <c r="AB38" i="53"/>
  <c r="AB56" i="53" s="1"/>
  <c r="N18" i="69"/>
  <c r="N17" i="69" s="1"/>
  <c r="AA38" i="53"/>
  <c r="AG16" i="53"/>
  <c r="P27" i="55" s="1"/>
  <c r="AG20" i="57" s="1"/>
  <c r="AG20" i="54" s="1"/>
  <c r="Q51" i="56"/>
  <c r="AF19" i="53"/>
  <c r="P74" i="56"/>
  <c r="J44" i="70"/>
  <c r="J102" i="70"/>
  <c r="J122" i="70" s="1"/>
  <c r="K20" i="70"/>
  <c r="J80" i="70"/>
  <c r="J96" i="70" s="1"/>
  <c r="J50" i="70"/>
  <c r="J73" i="70" s="1"/>
  <c r="AG40" i="53"/>
  <c r="C104" i="70"/>
  <c r="C105" i="70" s="1"/>
  <c r="C22" i="70"/>
  <c r="C23" i="70" s="1"/>
  <c r="F27" i="69"/>
  <c r="F28" i="69" s="1"/>
  <c r="AB7" i="54"/>
  <c r="AG8" i="53"/>
  <c r="Q43" i="56"/>
  <c r="AG31" i="53"/>
  <c r="Q124" i="56"/>
  <c r="Q122" i="56"/>
  <c r="Q126" i="56" s="1"/>
  <c r="M68" i="56"/>
  <c r="M69" i="56" s="1"/>
  <c r="AF7" i="53"/>
  <c r="P40" i="56"/>
  <c r="K139" i="56"/>
  <c r="G52" i="69"/>
  <c r="G51" i="69" s="1"/>
  <c r="AH35" i="54" l="1"/>
  <c r="P140" i="56"/>
  <c r="AJ4" i="53"/>
  <c r="R4" i="56"/>
  <c r="AI4" i="54"/>
  <c r="AI4" i="57"/>
  <c r="R3" i="55" s="1"/>
  <c r="R13" i="55" s="1"/>
  <c r="Q84" i="56"/>
  <c r="Q37" i="56"/>
  <c r="AH23" i="57"/>
  <c r="AG28" i="54"/>
  <c r="AG29" i="54" s="1"/>
  <c r="P138" i="56" s="1"/>
  <c r="AD20" i="53"/>
  <c r="N66" i="56"/>
  <c r="AH40" i="53"/>
  <c r="K102" i="70"/>
  <c r="K122" i="70" s="1"/>
  <c r="K80" i="70"/>
  <c r="K96" i="70" s="1"/>
  <c r="K50" i="70"/>
  <c r="K73" i="70" s="1"/>
  <c r="K44" i="70"/>
  <c r="L20" i="70"/>
  <c r="AH22" i="53"/>
  <c r="AH31" i="53"/>
  <c r="R122" i="56"/>
  <c r="R126" i="56" s="1"/>
  <c r="R124" i="56"/>
  <c r="AG19" i="53"/>
  <c r="Q74" i="56"/>
  <c r="N22" i="69"/>
  <c r="AA56" i="53"/>
  <c r="AG21" i="53"/>
  <c r="Q77" i="56"/>
  <c r="M63" i="56"/>
  <c r="AG17" i="53"/>
  <c r="Q54" i="56"/>
  <c r="F29" i="69"/>
  <c r="AH8" i="53"/>
  <c r="R43" i="56"/>
  <c r="AH16" i="53"/>
  <c r="Q27" i="55" s="1"/>
  <c r="AH20" i="57" s="1"/>
  <c r="AH20" i="54" s="1"/>
  <c r="R51" i="56"/>
  <c r="F42" i="69"/>
  <c r="AC37" i="53"/>
  <c r="P19" i="69"/>
  <c r="AC55" i="53"/>
  <c r="G42" i="69"/>
  <c r="O22" i="69"/>
  <c r="AG30" i="53"/>
  <c r="AG33" i="53" s="1"/>
  <c r="Q46" i="56"/>
  <c r="AG7" i="53"/>
  <c r="Q40" i="56"/>
  <c r="AC34" i="54"/>
  <c r="AC23" i="53"/>
  <c r="P11" i="69"/>
  <c r="P47" i="69"/>
  <c r="AH18" i="53"/>
  <c r="R57" i="56"/>
  <c r="M119" i="56"/>
  <c r="M128" i="56" s="1"/>
  <c r="AD19" i="57" s="1"/>
  <c r="M117" i="56"/>
  <c r="AI35" i="54" l="1"/>
  <c r="Q140" i="56"/>
  <c r="R37" i="56"/>
  <c r="R84" i="56"/>
  <c r="S4" i="56"/>
  <c r="AJ4" i="54"/>
  <c r="AJ4" i="57"/>
  <c r="S3" i="55" s="1"/>
  <c r="S13" i="55" s="1"/>
  <c r="AI23" i="57"/>
  <c r="AH28" i="54"/>
  <c r="AH29" i="54" s="1"/>
  <c r="Q138" i="56" s="1"/>
  <c r="AI18" i="53"/>
  <c r="S57" i="56"/>
  <c r="AJ18" i="53" s="1"/>
  <c r="P13" i="69"/>
  <c r="AH21" i="53"/>
  <c r="R77" i="56"/>
  <c r="AI40" i="53"/>
  <c r="AI8" i="53"/>
  <c r="S43" i="56"/>
  <c r="AJ8" i="53" s="1"/>
  <c r="AD6" i="54"/>
  <c r="M71" i="56"/>
  <c r="AI31" i="53"/>
  <c r="S122" i="56"/>
  <c r="S126" i="56" s="1"/>
  <c r="S124" i="56"/>
  <c r="AJ31" i="53" s="1"/>
  <c r="N68" i="56"/>
  <c r="N69" i="56" s="1"/>
  <c r="AH30" i="53"/>
  <c r="AH33" i="53" s="1"/>
  <c r="R46" i="56"/>
  <c r="P21" i="69"/>
  <c r="P20" i="69" s="1"/>
  <c r="AC38" i="53"/>
  <c r="AI22" i="53"/>
  <c r="AD35" i="53"/>
  <c r="N114" i="56"/>
  <c r="AD34" i="54"/>
  <c r="H52" i="69"/>
  <c r="H51" i="69" s="1"/>
  <c r="L139" i="56"/>
  <c r="AH7" i="53"/>
  <c r="R40" i="56"/>
  <c r="AI16" i="53"/>
  <c r="R27" i="55" s="1"/>
  <c r="AI20" i="57" s="1"/>
  <c r="AI20" i="54" s="1"/>
  <c r="S51" i="56"/>
  <c r="AJ16" i="53" s="1"/>
  <c r="AH17" i="53"/>
  <c r="R54" i="56"/>
  <c r="M64" i="56"/>
  <c r="AH19" i="53"/>
  <c r="R74" i="56"/>
  <c r="L102" i="70"/>
  <c r="L122" i="70" s="1"/>
  <c r="L80" i="70"/>
  <c r="L96" i="70" s="1"/>
  <c r="L50" i="70"/>
  <c r="L73" i="70" s="1"/>
  <c r="L44" i="70"/>
  <c r="AJ35" i="54" l="1"/>
  <c r="S140" i="56" s="1"/>
  <c r="R140" i="56"/>
  <c r="S37" i="56"/>
  <c r="S84" i="56"/>
  <c r="S27" i="55"/>
  <c r="AJ20" i="57" s="1"/>
  <c r="AJ20" i="54" s="1"/>
  <c r="AJ23" i="57"/>
  <c r="AI28" i="54"/>
  <c r="AI29" i="54" s="1"/>
  <c r="R138" i="56" s="1"/>
  <c r="AE20" i="53"/>
  <c r="O66" i="56"/>
  <c r="AI19" i="53"/>
  <c r="S74" i="56"/>
  <c r="AJ19" i="53" s="1"/>
  <c r="AI7" i="53"/>
  <c r="S40" i="56"/>
  <c r="AJ7" i="53" s="1"/>
  <c r="AI21" i="53"/>
  <c r="S77" i="56"/>
  <c r="AJ21" i="53" s="1"/>
  <c r="AJ22" i="53"/>
  <c r="AI30" i="53"/>
  <c r="AI33" i="53" s="1"/>
  <c r="S46" i="56"/>
  <c r="AJ30" i="53" s="1"/>
  <c r="AJ33" i="53" s="1"/>
  <c r="AD15" i="53"/>
  <c r="AD23" i="53" s="1"/>
  <c r="N61" i="56"/>
  <c r="N117" i="56"/>
  <c r="N119" i="56"/>
  <c r="N128" i="56" s="1"/>
  <c r="AE19" i="57" s="1"/>
  <c r="P22" i="69"/>
  <c r="F52" i="70"/>
  <c r="F25" i="70"/>
  <c r="M142" i="56"/>
  <c r="AJ40" i="53"/>
  <c r="AI17" i="53"/>
  <c r="S54" i="56"/>
  <c r="AJ17" i="53" s="1"/>
  <c r="M139" i="56"/>
  <c r="AD37" i="53"/>
  <c r="AD38" i="53" s="1"/>
  <c r="AD55" i="53"/>
  <c r="AC56" i="53"/>
  <c r="AJ28" i="54" l="1"/>
  <c r="AJ29" i="54" s="1"/>
  <c r="S138" i="56" s="1"/>
  <c r="AD56" i="53"/>
  <c r="AE34" i="54"/>
  <c r="N63" i="56"/>
  <c r="O68" i="56"/>
  <c r="O69" i="56" s="1"/>
  <c r="AE35" i="53"/>
  <c r="O114" i="56"/>
  <c r="AF20" i="53" l="1"/>
  <c r="P66" i="56"/>
  <c r="AE37" i="53"/>
  <c r="AE38" i="53" s="1"/>
  <c r="AE55" i="53"/>
  <c r="N139" i="56"/>
  <c r="AE6" i="54"/>
  <c r="N71" i="56"/>
  <c r="O119" i="56"/>
  <c r="O128" i="56" s="1"/>
  <c r="AF19" i="57" s="1"/>
  <c r="O117" i="56"/>
  <c r="N64" i="56"/>
  <c r="AF35" i="53" l="1"/>
  <c r="P114" i="56"/>
  <c r="AE56" i="53"/>
  <c r="G52" i="70"/>
  <c r="G25" i="70"/>
  <c r="N142" i="56"/>
  <c r="AF34" i="54"/>
  <c r="P68" i="56"/>
  <c r="P69" i="56" s="1"/>
  <c r="AE15" i="53"/>
  <c r="AE23" i="53" s="1"/>
  <c r="O61" i="56"/>
  <c r="AG20" i="53" l="1"/>
  <c r="Q66" i="56"/>
  <c r="P119" i="56"/>
  <c r="P128" i="56" s="1"/>
  <c r="AG19" i="57" s="1"/>
  <c r="P117" i="56"/>
  <c r="O139" i="56"/>
  <c r="O63" i="56"/>
  <c r="AF37" i="53"/>
  <c r="AF38" i="53" s="1"/>
  <c r="AF55" i="53"/>
  <c r="AF6" i="54" l="1"/>
  <c r="O71" i="56"/>
  <c r="O64" i="56"/>
  <c r="AF56" i="53"/>
  <c r="Q114" i="56"/>
  <c r="AG35" i="53"/>
  <c r="Q68" i="56"/>
  <c r="Q69" i="56" s="1"/>
  <c r="AG34" i="54"/>
  <c r="AH20" i="53" l="1"/>
  <c r="R66" i="56"/>
  <c r="H52" i="70"/>
  <c r="H25" i="70"/>
  <c r="O142" i="56"/>
  <c r="P139" i="56"/>
  <c r="Q119" i="56"/>
  <c r="Q128" i="56" s="1"/>
  <c r="AH19" i="57" s="1"/>
  <c r="Q117" i="56"/>
  <c r="AG37" i="53"/>
  <c r="AG38" i="53" s="1"/>
  <c r="AG55" i="53"/>
  <c r="AF15" i="53"/>
  <c r="AF23" i="53" s="1"/>
  <c r="P61" i="56"/>
  <c r="P63" i="56" l="1"/>
  <c r="AH35" i="53"/>
  <c r="R114" i="56"/>
  <c r="AH34" i="54"/>
  <c r="R68" i="56"/>
  <c r="R69" i="56" s="1"/>
  <c r="AG56" i="53"/>
  <c r="Q139" i="56" l="1"/>
  <c r="AH37" i="53"/>
  <c r="AH38" i="53" s="1"/>
  <c r="AH55" i="53"/>
  <c r="AI20" i="53"/>
  <c r="S66" i="56"/>
  <c r="AG6" i="54"/>
  <c r="P71" i="56"/>
  <c r="P64" i="56"/>
  <c r="R119" i="56"/>
  <c r="R128" i="56" s="1"/>
  <c r="AI19" i="57" s="1"/>
  <c r="R117" i="56"/>
  <c r="AG15" i="53" l="1"/>
  <c r="AG23" i="53" s="1"/>
  <c r="Q61" i="56"/>
  <c r="I52" i="70"/>
  <c r="I25" i="70"/>
  <c r="P142" i="56"/>
  <c r="AH56" i="53"/>
  <c r="AI35" i="53"/>
  <c r="S114" i="56"/>
  <c r="AI34" i="54"/>
  <c r="S68" i="56"/>
  <c r="S69" i="56" s="1"/>
  <c r="AJ20" i="53" s="1"/>
  <c r="AI37" i="53" l="1"/>
  <c r="AI38" i="53" s="1"/>
  <c r="AI55" i="53"/>
  <c r="R139" i="56"/>
  <c r="S119" i="56"/>
  <c r="S128" i="56" s="1"/>
  <c r="AJ19" i="57" s="1"/>
  <c r="S117" i="56"/>
  <c r="AJ35" i="53" s="1"/>
  <c r="Q63" i="56"/>
  <c r="AH6" i="54" l="1"/>
  <c r="Q71" i="56"/>
  <c r="Q64" i="56"/>
  <c r="AJ37" i="53"/>
  <c r="AJ38" i="53" s="1"/>
  <c r="AJ55" i="53"/>
  <c r="AI56" i="53"/>
  <c r="AJ34" i="54"/>
  <c r="S139" i="56" l="1"/>
  <c r="AH15" i="53"/>
  <c r="AH23" i="53" s="1"/>
  <c r="R61" i="56"/>
  <c r="AJ56" i="53"/>
  <c r="J52" i="70"/>
  <c r="J25" i="70"/>
  <c r="Q142" i="56"/>
  <c r="R63" i="56" l="1"/>
  <c r="R64" i="56" s="1"/>
  <c r="AI15" i="53" l="1"/>
  <c r="AI23" i="53" s="1"/>
  <c r="S61" i="56"/>
  <c r="AI6" i="54"/>
  <c r="R71" i="56"/>
  <c r="S63" i="56" l="1"/>
  <c r="K52" i="70"/>
  <c r="K25" i="70"/>
  <c r="R142" i="56"/>
  <c r="AJ6" i="54" l="1"/>
  <c r="S71" i="56"/>
  <c r="S64" i="56"/>
  <c r="AJ15" i="53" s="1"/>
  <c r="AJ23" i="53" s="1"/>
  <c r="L25" i="70" l="1"/>
  <c r="L52" i="70"/>
  <c r="S142" i="56"/>
  <c r="AA27" i="57"/>
  <c r="AA29" i="57" s="1"/>
  <c r="C51" i="70" l="1"/>
  <c r="F31" i="69"/>
  <c r="F32" i="69" s="1"/>
  <c r="N41" i="69"/>
  <c r="AA5" i="54"/>
  <c r="F40" i="69"/>
  <c r="F18" i="59"/>
  <c r="F20" i="59" s="1"/>
  <c r="AA43" i="53"/>
  <c r="J99" i="56"/>
  <c r="C97" i="70"/>
  <c r="F41" i="69"/>
  <c r="F30" i="69"/>
  <c r="AA46" i="53"/>
  <c r="AA15" i="54"/>
  <c r="AA31" i="57" l="1"/>
  <c r="N24" i="69"/>
  <c r="C56" i="70"/>
  <c r="AA16" i="54"/>
  <c r="F44" i="69" l="1"/>
  <c r="F43" i="69" s="1"/>
  <c r="F25" i="59"/>
  <c r="J137" i="56"/>
  <c r="J143" i="56" s="1"/>
  <c r="AA36" i="54"/>
  <c r="AA45" i="53" l="1"/>
  <c r="N32" i="69"/>
  <c r="F19" i="59"/>
  <c r="F33" i="69"/>
  <c r="F53" i="69"/>
  <c r="AA38" i="54"/>
  <c r="F10" i="59" l="1"/>
  <c r="F21" i="59"/>
  <c r="AA47" i="53"/>
  <c r="N23" i="69"/>
  <c r="N35" i="69" s="1"/>
  <c r="C98" i="70"/>
  <c r="AA6" i="53"/>
  <c r="N30" i="69"/>
  <c r="F22" i="59"/>
  <c r="N51" i="69" l="1"/>
  <c r="AA57" i="53"/>
  <c r="N5" i="69"/>
  <c r="F8" i="59"/>
  <c r="AB37" i="54"/>
  <c r="AA13" i="53"/>
  <c r="F7" i="59"/>
  <c r="K135" i="56"/>
  <c r="F24" i="59"/>
  <c r="AA48" i="53"/>
  <c r="AA58" i="53"/>
  <c r="C14" i="70"/>
  <c r="F23" i="59"/>
  <c r="N31" i="69"/>
  <c r="F11" i="59"/>
  <c r="C16" i="70" l="1"/>
  <c r="B14" i="70"/>
  <c r="N37" i="69"/>
  <c r="C106" i="70"/>
  <c r="K132" i="56"/>
  <c r="AB18" i="57" s="1"/>
  <c r="N9" i="69"/>
  <c r="N8" i="69" s="1"/>
  <c r="N49" i="69"/>
  <c r="N50" i="69"/>
  <c r="AA53" i="53"/>
  <c r="AA24" i="53"/>
  <c r="N25" i="69"/>
  <c r="N36" i="69" s="1"/>
  <c r="G19" i="69" l="1"/>
  <c r="AB22" i="57"/>
  <c r="AB24" i="57" s="1"/>
  <c r="AB35" i="57" s="1"/>
  <c r="C26" i="70"/>
  <c r="C28" i="70" s="1"/>
  <c r="C53" i="70"/>
  <c r="C57" i="70" s="1"/>
  <c r="F12" i="59"/>
  <c r="N14" i="69"/>
  <c r="N53" i="69" s="1"/>
  <c r="AA51" i="53"/>
  <c r="N42" i="69"/>
  <c r="AA54" i="53"/>
  <c r="I113" i="70"/>
  <c r="C107" i="70"/>
  <c r="D21" i="70" l="1"/>
  <c r="O52" i="69"/>
  <c r="O40" i="69"/>
  <c r="D103" i="70"/>
  <c r="G21" i="69"/>
  <c r="AB34" i="57"/>
  <c r="H113" i="70"/>
  <c r="G113" i="70" s="1"/>
  <c r="F113" i="70" s="1"/>
  <c r="J113" i="70"/>
  <c r="K113" i="70" s="1"/>
  <c r="L113" i="70" s="1"/>
  <c r="G25" i="69"/>
  <c r="K33" i="55"/>
  <c r="AB25" i="57" s="1"/>
  <c r="AB26" i="57" s="1"/>
  <c r="K36" i="55" s="1"/>
  <c r="I35" i="70"/>
  <c r="B107" i="70"/>
  <c r="G20" i="69"/>
  <c r="G17" i="59" l="1"/>
  <c r="G22" i="69"/>
  <c r="AB27" i="57"/>
  <c r="AB29" i="57" s="1"/>
  <c r="G27" i="69"/>
  <c r="G28" i="69" s="1"/>
  <c r="D22" i="70"/>
  <c r="D23" i="70" s="1"/>
  <c r="D104" i="70"/>
  <c r="D105" i="70" s="1"/>
  <c r="G26" i="69"/>
  <c r="G24" i="69"/>
  <c r="H35" i="70"/>
  <c r="J35" i="70"/>
  <c r="G29" i="69" l="1"/>
  <c r="AB5" i="54"/>
  <c r="D51" i="70"/>
  <c r="O41" i="69"/>
  <c r="G40" i="69"/>
  <c r="G18" i="59"/>
  <c r="G31" i="69"/>
  <c r="G32" i="69" s="1"/>
  <c r="K99" i="56"/>
  <c r="D97" i="70"/>
  <c r="AB43" i="53"/>
  <c r="K35" i="70"/>
  <c r="AB31" i="57"/>
  <c r="G35" i="70"/>
  <c r="G41" i="69"/>
  <c r="G30" i="69"/>
  <c r="AB15" i="54"/>
  <c r="AB46" i="53"/>
  <c r="AB16" i="54" l="1"/>
  <c r="G44" i="69" s="1"/>
  <c r="G43" i="69" s="1"/>
  <c r="L35" i="70"/>
  <c r="F35" i="70"/>
  <c r="D56" i="70"/>
  <c r="O24" i="69"/>
  <c r="AB36" i="54" l="1"/>
  <c r="AB38" i="54" s="1"/>
  <c r="K137" i="56"/>
  <c r="K143" i="56" s="1"/>
  <c r="G25" i="59"/>
  <c r="O32" i="69" s="1"/>
  <c r="G20" i="59"/>
  <c r="AB45" i="53"/>
  <c r="G33" i="69"/>
  <c r="G19" i="59"/>
  <c r="G53" i="69" l="1"/>
  <c r="AB6" i="53"/>
  <c r="G10" i="59"/>
  <c r="G21" i="59"/>
  <c r="D98" i="70"/>
  <c r="O23" i="69"/>
  <c r="O35" i="69" s="1"/>
  <c r="AB47" i="53"/>
  <c r="O30" i="69"/>
  <c r="G22" i="59"/>
  <c r="O51" i="69" l="1"/>
  <c r="AB48" i="53"/>
  <c r="AB58" i="53"/>
  <c r="D14" i="70"/>
  <c r="D16" i="70" s="1"/>
  <c r="AC37" i="54"/>
  <c r="G8" i="59"/>
  <c r="G7" i="59"/>
  <c r="L135" i="56"/>
  <c r="AB13" i="53"/>
  <c r="O5" i="69"/>
  <c r="AB57" i="53"/>
  <c r="G11" i="59"/>
  <c r="O31" i="69"/>
  <c r="G23" i="59"/>
  <c r="G24" i="59"/>
  <c r="O50" i="69" l="1"/>
  <c r="O9" i="69"/>
  <c r="O8" i="69" s="1"/>
  <c r="AB53" i="53"/>
  <c r="O49" i="69"/>
  <c r="AB24" i="53"/>
  <c r="D106" i="70"/>
  <c r="D107" i="70" s="1"/>
  <c r="O37" i="69"/>
  <c r="L132" i="56"/>
  <c r="AC18" i="57" s="1"/>
  <c r="O25" i="69"/>
  <c r="O36" i="69" s="1"/>
  <c r="O14" i="69" l="1"/>
  <c r="O53" i="69" s="1"/>
  <c r="AB54" i="53"/>
  <c r="O42" i="69"/>
  <c r="AB51" i="53"/>
  <c r="D53" i="70"/>
  <c r="D57" i="70" s="1"/>
  <c r="D26" i="70"/>
  <c r="D28" i="70" s="1"/>
  <c r="G12" i="59"/>
  <c r="H19" i="69"/>
  <c r="AC22" i="57"/>
  <c r="AC24" i="57" s="1"/>
  <c r="AC35" i="57" s="1"/>
  <c r="E21" i="70" l="1"/>
  <c r="H21" i="69"/>
  <c r="P40" i="69"/>
  <c r="E103" i="70"/>
  <c r="AC34" i="57"/>
  <c r="P52" i="69"/>
  <c r="H25" i="69"/>
  <c r="L33" i="55"/>
  <c r="AC25" i="57" s="1"/>
  <c r="AC26" i="57" s="1"/>
  <c r="H20" i="69"/>
  <c r="H22" i="69" l="1"/>
  <c r="H17" i="59"/>
  <c r="L36" i="55"/>
  <c r="AC27" i="57" s="1"/>
  <c r="AC29" i="57" s="1"/>
  <c r="E104" i="70"/>
  <c r="E105" i="70" s="1"/>
  <c r="H27" i="69"/>
  <c r="H28" i="69" s="1"/>
  <c r="E22" i="70"/>
  <c r="E23" i="70" s="1"/>
  <c r="H24" i="69"/>
  <c r="H26" i="69"/>
  <c r="AC5" i="54" l="1"/>
  <c r="E51" i="70"/>
  <c r="H40" i="69"/>
  <c r="H18" i="59"/>
  <c r="H31" i="69"/>
  <c r="H32" i="69" s="1"/>
  <c r="L99" i="56"/>
  <c r="P41" i="69"/>
  <c r="E97" i="70"/>
  <c r="AC43" i="53"/>
  <c r="H29" i="69"/>
  <c r="AC31" i="57"/>
  <c r="AC15" i="54"/>
  <c r="H30" i="69"/>
  <c r="H41" i="69"/>
  <c r="AC46" i="53"/>
  <c r="E56" i="70" l="1"/>
  <c r="P24" i="69"/>
  <c r="AC16" i="54"/>
  <c r="H20" i="59" l="1"/>
  <c r="H25" i="59"/>
  <c r="H44" i="69"/>
  <c r="H43" i="69" s="1"/>
  <c r="L137" i="56"/>
  <c r="L143" i="56" s="1"/>
  <c r="AC36" i="54"/>
  <c r="AC45" i="53"/>
  <c r="H33" i="69"/>
  <c r="H19" i="59"/>
  <c r="P32" i="69" l="1"/>
  <c r="H53" i="69"/>
  <c r="AC38" i="54"/>
  <c r="H10" i="59"/>
  <c r="P30" i="69"/>
  <c r="H22" i="59"/>
  <c r="H21" i="59"/>
  <c r="AC47" i="53"/>
  <c r="P23" i="69"/>
  <c r="P35" i="69" s="1"/>
  <c r="E98" i="70"/>
  <c r="H24" i="59" l="1"/>
  <c r="AC6" i="53"/>
  <c r="P51" i="69" s="1"/>
  <c r="H23" i="59"/>
  <c r="P31" i="69"/>
  <c r="H11" i="59"/>
  <c r="E14" i="70"/>
  <c r="E16" i="70" s="1"/>
  <c r="AC48" i="53"/>
  <c r="AC58" i="53"/>
  <c r="AD37" i="54" l="1"/>
  <c r="H8" i="59"/>
  <c r="AC57" i="53"/>
  <c r="P5" i="69"/>
  <c r="AC13" i="53"/>
  <c r="H7" i="59"/>
  <c r="M135" i="56"/>
  <c r="E106" i="70"/>
  <c r="E107" i="70" s="1"/>
  <c r="P37" i="69"/>
  <c r="P25" i="69"/>
  <c r="P36" i="69" s="1"/>
  <c r="B113" i="70" l="1"/>
  <c r="B111" i="70"/>
  <c r="M132" i="56"/>
  <c r="AD18" i="57" s="1"/>
  <c r="AD22" i="57" s="1"/>
  <c r="AD24" i="57" s="1"/>
  <c r="AD35" i="57" s="1"/>
  <c r="H12" i="59"/>
  <c r="P9" i="69"/>
  <c r="P8" i="69" s="1"/>
  <c r="P49" i="69"/>
  <c r="P50" i="69"/>
  <c r="AC53" i="53"/>
  <c r="AC24" i="53"/>
  <c r="F103" i="70" l="1"/>
  <c r="F21" i="70"/>
  <c r="AD34" i="57"/>
  <c r="B114" i="70"/>
  <c r="B118" i="70" s="1"/>
  <c r="B120" i="70" s="1"/>
  <c r="E26" i="70"/>
  <c r="E28" i="70" s="1"/>
  <c r="E53" i="70"/>
  <c r="E57" i="70" s="1"/>
  <c r="P14" i="69"/>
  <c r="P53" i="69" s="1"/>
  <c r="AC51" i="53"/>
  <c r="P42" i="69"/>
  <c r="AC54" i="53"/>
  <c r="M33" i="55"/>
  <c r="AD25" i="57" s="1"/>
  <c r="AD26" i="57" s="1"/>
  <c r="B66" i="70" l="1"/>
  <c r="L68" i="70"/>
  <c r="B64" i="70"/>
  <c r="K69" i="70"/>
  <c r="F67" i="70"/>
  <c r="K67" i="70"/>
  <c r="F66" i="70"/>
  <c r="L66" i="70"/>
  <c r="F70" i="70"/>
  <c r="I71" i="70"/>
  <c r="L70" i="70"/>
  <c r="F71" i="70"/>
  <c r="K70" i="70"/>
  <c r="J65" i="70"/>
  <c r="H67" i="70"/>
  <c r="L65" i="70"/>
  <c r="G68" i="70"/>
  <c r="I68" i="70"/>
  <c r="K65" i="70"/>
  <c r="L69" i="70"/>
  <c r="J69" i="70"/>
  <c r="L67" i="70"/>
  <c r="H66" i="70"/>
  <c r="I66" i="70"/>
  <c r="G66" i="70"/>
  <c r="I70" i="70"/>
  <c r="I67" i="70"/>
  <c r="J67" i="70"/>
  <c r="K71" i="70"/>
  <c r="G67" i="70"/>
  <c r="H68" i="70"/>
  <c r="K68" i="70"/>
  <c r="H69" i="70"/>
  <c r="I69" i="70"/>
  <c r="L71" i="70"/>
  <c r="J71" i="70"/>
  <c r="J70" i="70"/>
  <c r="I65" i="70"/>
  <c r="H65" i="70"/>
  <c r="F68" i="70"/>
  <c r="J68" i="70"/>
  <c r="G71" i="70"/>
  <c r="F69" i="70"/>
  <c r="H70" i="70"/>
  <c r="G69" i="70"/>
  <c r="H71" i="70"/>
  <c r="G70" i="70"/>
  <c r="F65" i="70"/>
  <c r="G65" i="70"/>
  <c r="J66" i="70"/>
  <c r="K66" i="70"/>
  <c r="I36" i="70"/>
  <c r="I42" i="70"/>
  <c r="H40" i="70"/>
  <c r="H42" i="70"/>
  <c r="J42" i="70"/>
  <c r="J38" i="70"/>
  <c r="G38" i="70"/>
  <c r="K38" i="70"/>
  <c r="K40" i="70"/>
  <c r="L40" i="70"/>
  <c r="L41" i="70"/>
  <c r="L38" i="70"/>
  <c r="F42" i="70"/>
  <c r="L39" i="70"/>
  <c r="I41" i="70"/>
  <c r="I37" i="70"/>
  <c r="J41" i="70"/>
  <c r="H39" i="70"/>
  <c r="H37" i="70"/>
  <c r="K36" i="70"/>
  <c r="K37" i="70"/>
  <c r="G42" i="70"/>
  <c r="G39" i="70"/>
  <c r="F37" i="70"/>
  <c r="F40" i="70"/>
  <c r="F41" i="70"/>
  <c r="H36" i="70"/>
  <c r="G37" i="70"/>
  <c r="K39" i="70"/>
  <c r="L37" i="70"/>
  <c r="I39" i="70"/>
  <c r="I40" i="70"/>
  <c r="J40" i="70"/>
  <c r="H38" i="70"/>
  <c r="H41" i="70"/>
  <c r="K42" i="70"/>
  <c r="G40" i="70"/>
  <c r="G41" i="70"/>
  <c r="G36" i="70"/>
  <c r="F39" i="70"/>
  <c r="F38" i="70"/>
  <c r="L42" i="70"/>
  <c r="I38" i="70"/>
  <c r="J37" i="70"/>
  <c r="J39" i="70"/>
  <c r="J36" i="70"/>
  <c r="K41" i="70"/>
  <c r="L36" i="70"/>
  <c r="F36" i="70"/>
  <c r="D123" i="70"/>
  <c r="C123" i="70"/>
  <c r="E123" i="70"/>
  <c r="M36" i="55"/>
  <c r="AD27" i="57" s="1"/>
  <c r="AD29" i="57" s="1"/>
  <c r="J125" i="70"/>
  <c r="D124" i="70"/>
  <c r="D125" i="70"/>
  <c r="F125" i="70"/>
  <c r="E125" i="70"/>
  <c r="L125" i="70"/>
  <c r="C124" i="70"/>
  <c r="G125" i="70"/>
  <c r="E124" i="70"/>
  <c r="K125" i="70"/>
  <c r="I125" i="70"/>
  <c r="H125" i="70"/>
  <c r="C125" i="70"/>
  <c r="F22" i="70"/>
  <c r="F23" i="70" s="1"/>
  <c r="F104" i="70"/>
  <c r="F105" i="70" s="1"/>
  <c r="B35" i="70"/>
  <c r="B33" i="70"/>
  <c r="F51" i="70" l="1"/>
  <c r="M99" i="56"/>
  <c r="AD43" i="53"/>
  <c r="F97" i="70"/>
  <c r="F123" i="70"/>
  <c r="AD31" i="57"/>
  <c r="AD5" i="54"/>
  <c r="B67" i="70"/>
  <c r="B69" i="70" s="1"/>
  <c r="B36" i="70"/>
  <c r="B40" i="70" s="1"/>
  <c r="B42" i="70" s="1"/>
  <c r="B101" i="70"/>
  <c r="E113" i="70"/>
  <c r="AD15" i="54"/>
  <c r="F56" i="70" s="1"/>
  <c r="AD46" i="53"/>
  <c r="D75" i="70" l="1"/>
  <c r="D74" i="70"/>
  <c r="F74" i="70"/>
  <c r="E74" i="70"/>
  <c r="C74" i="70"/>
  <c r="D45" i="70"/>
  <c r="E45" i="70"/>
  <c r="C45" i="70"/>
  <c r="F45" i="70"/>
  <c r="C76" i="70"/>
  <c r="K76" i="70"/>
  <c r="G76" i="70"/>
  <c r="L76" i="70"/>
  <c r="D76" i="70"/>
  <c r="E75" i="70"/>
  <c r="I76" i="70"/>
  <c r="B49" i="70"/>
  <c r="F76" i="70"/>
  <c r="J76" i="70"/>
  <c r="E76" i="70"/>
  <c r="C75" i="70"/>
  <c r="H76" i="70"/>
  <c r="AD16" i="54"/>
  <c r="AD45" i="53"/>
  <c r="F46" i="70" s="1"/>
  <c r="E47" i="70"/>
  <c r="J47" i="70"/>
  <c r="D47" i="70"/>
  <c r="C47" i="70"/>
  <c r="D46" i="70"/>
  <c r="L47" i="70"/>
  <c r="H47" i="70"/>
  <c r="K47" i="70"/>
  <c r="I47" i="70"/>
  <c r="C46" i="70"/>
  <c r="G47" i="70"/>
  <c r="F47" i="70"/>
  <c r="E46" i="70"/>
  <c r="E64" i="70" l="1"/>
  <c r="AD47" i="53"/>
  <c r="F98" i="70"/>
  <c r="F124" i="70"/>
  <c r="F75" i="70"/>
  <c r="E35" i="70"/>
  <c r="B19" i="70"/>
  <c r="M137" i="56"/>
  <c r="M143" i="56" s="1"/>
  <c r="AD36" i="54"/>
  <c r="AD38" i="54" s="1"/>
  <c r="AD6" i="53" s="1"/>
  <c r="AD57" i="53" l="1"/>
  <c r="AE37" i="54"/>
  <c r="AD13" i="53"/>
  <c r="N135" i="56"/>
  <c r="AD48" i="53"/>
  <c r="AD58" i="53"/>
  <c r="F106" i="70" s="1"/>
  <c r="N132" i="56" l="1"/>
  <c r="AE18" i="57" s="1"/>
  <c r="AE22" i="57" s="1"/>
  <c r="AE24" i="57" s="1"/>
  <c r="AE35" i="57" s="1"/>
  <c r="AD53" i="53"/>
  <c r="AD24" i="53"/>
  <c r="G103" i="70" l="1"/>
  <c r="G21" i="70"/>
  <c r="AE34" i="57"/>
  <c r="F26" i="70"/>
  <c r="F53" i="70"/>
  <c r="AD51" i="53"/>
  <c r="AD54" i="53"/>
  <c r="N33" i="55"/>
  <c r="AE25" i="57" s="1"/>
  <c r="G22" i="70" l="1"/>
  <c r="G23" i="70" s="1"/>
  <c r="G104" i="70"/>
  <c r="G105" i="70" s="1"/>
  <c r="AE26" i="57"/>
  <c r="N36" i="55" l="1"/>
  <c r="AE27" i="57" s="1"/>
  <c r="AE29" i="57" l="1"/>
  <c r="AE15" i="54"/>
  <c r="G56" i="70" s="1"/>
  <c r="AE46" i="53"/>
  <c r="G51" i="70" l="1"/>
  <c r="N99" i="56"/>
  <c r="G97" i="70"/>
  <c r="G123" i="70"/>
  <c r="AE43" i="53"/>
  <c r="AE45" i="53" s="1"/>
  <c r="G74" i="70"/>
  <c r="G45" i="70"/>
  <c r="AE31" i="57"/>
  <c r="AE5" i="54"/>
  <c r="AE16" i="54" s="1"/>
  <c r="AE36" i="54" s="1"/>
  <c r="AE38" i="54" s="1"/>
  <c r="AE6" i="53" s="1"/>
  <c r="N137" i="56" l="1"/>
  <c r="N143" i="56" s="1"/>
  <c r="AE13" i="53"/>
  <c r="AF37" i="54"/>
  <c r="AE57" i="53"/>
  <c r="O135" i="56"/>
  <c r="G98" i="70"/>
  <c r="AE47" i="53"/>
  <c r="G124" i="70"/>
  <c r="G75" i="70"/>
  <c r="G46" i="70"/>
  <c r="O132" i="56" l="1"/>
  <c r="AF18" i="57" s="1"/>
  <c r="AF22" i="57" s="1"/>
  <c r="AF24" i="57" s="1"/>
  <c r="AF35" i="57" s="1"/>
  <c r="AE58" i="53"/>
  <c r="G106" i="70" s="1"/>
  <c r="AE48" i="53"/>
  <c r="AE53" i="53"/>
  <c r="AE24" i="53"/>
  <c r="H21" i="70" l="1"/>
  <c r="H103" i="70"/>
  <c r="AF34" i="57"/>
  <c r="O33" i="55"/>
  <c r="AF25" i="57" s="1"/>
  <c r="AF26" i="57" s="1"/>
  <c r="AE54" i="53"/>
  <c r="AE51" i="53"/>
  <c r="G53" i="70"/>
  <c r="G26" i="70"/>
  <c r="O36" i="55" l="1"/>
  <c r="AF27" i="57" s="1"/>
  <c r="H22" i="70"/>
  <c r="H23" i="70" s="1"/>
  <c r="H104" i="70"/>
  <c r="H105" i="70" s="1"/>
  <c r="AF29" i="57" l="1"/>
  <c r="AF15" i="54"/>
  <c r="H56" i="70" s="1"/>
  <c r="AF46" i="53"/>
  <c r="H51" i="70" l="1"/>
  <c r="O99" i="56"/>
  <c r="H97" i="70"/>
  <c r="H123" i="70"/>
  <c r="H45" i="70"/>
  <c r="H74" i="70"/>
  <c r="AF43" i="53"/>
  <c r="AF31" i="57"/>
  <c r="AF5" i="54"/>
  <c r="AF16" i="54" s="1"/>
  <c r="AF36" i="54" l="1"/>
  <c r="AF38" i="54" s="1"/>
  <c r="AF6" i="53" s="1"/>
  <c r="AF13" i="53" s="1"/>
  <c r="O137" i="56"/>
  <c r="O143" i="56" s="1"/>
  <c r="AF45" i="53"/>
  <c r="H124" i="70" s="1"/>
  <c r="AG37" i="54" l="1"/>
  <c r="P135" i="56"/>
  <c r="AF57" i="53"/>
  <c r="H46" i="70"/>
  <c r="H75" i="70"/>
  <c r="AF47" i="53"/>
  <c r="AF48" i="53" s="1"/>
  <c r="H98" i="70"/>
  <c r="AF53" i="53"/>
  <c r="AF24" i="53"/>
  <c r="P132" i="56"/>
  <c r="AG18" i="57" s="1"/>
  <c r="AG22" i="57" s="1"/>
  <c r="AG24" i="57" s="1"/>
  <c r="AG35" i="57" s="1"/>
  <c r="AF58" i="53" l="1"/>
  <c r="H106" i="70" s="1"/>
  <c r="I21" i="70"/>
  <c r="I103" i="70"/>
  <c r="AG34" i="57"/>
  <c r="P33" i="55"/>
  <c r="AG25" i="57" s="1"/>
  <c r="AG26" i="57" s="1"/>
  <c r="AF54" i="53"/>
  <c r="AF51" i="53"/>
  <c r="H53" i="70"/>
  <c r="H26" i="70"/>
  <c r="P36" i="55" l="1"/>
  <c r="AG27" i="57" s="1"/>
  <c r="I22" i="70"/>
  <c r="I23" i="70" s="1"/>
  <c r="I104" i="70"/>
  <c r="I105" i="70" s="1"/>
  <c r="AG29" i="57" l="1"/>
  <c r="AG15" i="54"/>
  <c r="I56" i="70" s="1"/>
  <c r="AG46" i="53"/>
  <c r="I51" i="70" l="1"/>
  <c r="P99" i="56"/>
  <c r="I97" i="70"/>
  <c r="I123" i="70"/>
  <c r="I74" i="70"/>
  <c r="I45" i="70"/>
  <c r="AG43" i="53"/>
  <c r="AG31" i="57"/>
  <c r="AG5" i="54"/>
  <c r="AG16" i="54" s="1"/>
  <c r="AG45" i="53" l="1"/>
  <c r="I124" i="70" s="1"/>
  <c r="P137" i="56"/>
  <c r="P143" i="56" s="1"/>
  <c r="AG36" i="54"/>
  <c r="AG38" i="54" s="1"/>
  <c r="AG6" i="53" s="1"/>
  <c r="I46" i="70" l="1"/>
  <c r="I75" i="70"/>
  <c r="I98" i="70"/>
  <c r="AG47" i="53"/>
  <c r="AG48" i="53" s="1"/>
  <c r="AH37" i="54"/>
  <c r="AG13" i="53"/>
  <c r="AG57" i="53"/>
  <c r="Q135" i="56"/>
  <c r="AG58" i="53" l="1"/>
  <c r="I106" i="70" s="1"/>
  <c r="Q132" i="56"/>
  <c r="AH18" i="57" s="1"/>
  <c r="AH22" i="57" s="1"/>
  <c r="AH24" i="57" s="1"/>
  <c r="AH35" i="57" s="1"/>
  <c r="AG53" i="53"/>
  <c r="AG24" i="53"/>
  <c r="J21" i="70" l="1"/>
  <c r="J103" i="70"/>
  <c r="AH34" i="57"/>
  <c r="I26" i="70"/>
  <c r="I53" i="70"/>
  <c r="Q33" i="55"/>
  <c r="AH25" i="57" s="1"/>
  <c r="AH26" i="57" s="1"/>
  <c r="AG51" i="53"/>
  <c r="AG54" i="53"/>
  <c r="Q36" i="55" l="1"/>
  <c r="AH27" i="57" s="1"/>
  <c r="J104" i="70"/>
  <c r="J105" i="70" s="1"/>
  <c r="J22" i="70"/>
  <c r="J23" i="70" s="1"/>
  <c r="AH29" i="57" l="1"/>
  <c r="AH15" i="54"/>
  <c r="J56" i="70" s="1"/>
  <c r="AH46" i="53"/>
  <c r="J51" i="70" l="1"/>
  <c r="Q99" i="56"/>
  <c r="J97" i="70"/>
  <c r="J123" i="70"/>
  <c r="J45" i="70"/>
  <c r="J74" i="70"/>
  <c r="AH43" i="53"/>
  <c r="AH31" i="57"/>
  <c r="AH5" i="54"/>
  <c r="AH16" i="54" s="1"/>
  <c r="Q137" i="56" l="1"/>
  <c r="Q143" i="56" s="1"/>
  <c r="AH36" i="54"/>
  <c r="AH38" i="54" s="1"/>
  <c r="AH6" i="53" s="1"/>
  <c r="AH57" i="53" s="1"/>
  <c r="AH45" i="53"/>
  <c r="J124" i="70" s="1"/>
  <c r="AH13" i="53" l="1"/>
  <c r="AH53" i="53" s="1"/>
  <c r="R135" i="56"/>
  <c r="R132" i="56" s="1"/>
  <c r="AI18" i="57" s="1"/>
  <c r="AI22" i="57" s="1"/>
  <c r="AI24" i="57" s="1"/>
  <c r="AI35" i="57" s="1"/>
  <c r="AI37" i="54"/>
  <c r="J98" i="70"/>
  <c r="AH47" i="53"/>
  <c r="AH58" i="53" s="1"/>
  <c r="J106" i="70" s="1"/>
  <c r="J46" i="70"/>
  <c r="J75" i="70"/>
  <c r="AH24" i="53" l="1"/>
  <c r="AH48" i="53"/>
  <c r="AH51" i="53" s="1"/>
  <c r="K21" i="70"/>
  <c r="K103" i="70"/>
  <c r="AI34" i="57"/>
  <c r="AH54" i="53"/>
  <c r="R33" i="55"/>
  <c r="AI25" i="57" s="1"/>
  <c r="J53" i="70"/>
  <c r="J26" i="70"/>
  <c r="K22" i="70" l="1"/>
  <c r="K23" i="70" s="1"/>
  <c r="K104" i="70"/>
  <c r="K105" i="70" s="1"/>
  <c r="AI26" i="57"/>
  <c r="R36" i="55" l="1"/>
  <c r="AI27" i="57" s="1"/>
  <c r="AI29" i="57" l="1"/>
  <c r="AI15" i="54"/>
  <c r="K56" i="70" s="1"/>
  <c r="AI46" i="53"/>
  <c r="K51" i="70" l="1"/>
  <c r="R99" i="56"/>
  <c r="K97" i="70"/>
  <c r="K123" i="70"/>
  <c r="K45" i="70"/>
  <c r="K74" i="70"/>
  <c r="AI43" i="53"/>
  <c r="AI31" i="57"/>
  <c r="AI5" i="54"/>
  <c r="AI16" i="54" s="1"/>
  <c r="AI36" i="54" s="1"/>
  <c r="AI38" i="54" s="1"/>
  <c r="AI6" i="53" s="1"/>
  <c r="AI45" i="53" l="1"/>
  <c r="AI47" i="53" s="1"/>
  <c r="R137" i="56"/>
  <c r="R143" i="56" s="1"/>
  <c r="AJ37" i="54"/>
  <c r="AI57" i="53"/>
  <c r="AI13" i="53"/>
  <c r="S135" i="56"/>
  <c r="K75" i="70" l="1"/>
  <c r="K124" i="70"/>
  <c r="K98" i="70"/>
  <c r="K46" i="70"/>
  <c r="S132" i="56"/>
  <c r="AJ18" i="57" s="1"/>
  <c r="AJ22" i="57" s="1"/>
  <c r="AJ24" i="57" s="1"/>
  <c r="AJ35" i="57" s="1"/>
  <c r="AI53" i="53"/>
  <c r="AI24" i="53"/>
  <c r="AI58" i="53"/>
  <c r="K106" i="70" s="1"/>
  <c r="AI48" i="53"/>
  <c r="L21" i="70" l="1"/>
  <c r="L103" i="70"/>
  <c r="AJ34" i="57"/>
  <c r="AI51" i="53"/>
  <c r="AI54" i="53"/>
  <c r="K53" i="70"/>
  <c r="K26" i="70"/>
  <c r="S33" i="55"/>
  <c r="AJ25" i="57" s="1"/>
  <c r="L22" i="70" l="1"/>
  <c r="L23" i="70" s="1"/>
  <c r="L104" i="70"/>
  <c r="L105" i="70" s="1"/>
  <c r="AJ26" i="57"/>
  <c r="S36" i="55" l="1"/>
  <c r="AJ27" i="57" s="1"/>
  <c r="AJ29" i="57" l="1"/>
  <c r="AJ15" i="54"/>
  <c r="L56" i="70" s="1"/>
  <c r="AJ46" i="53"/>
  <c r="L51" i="70" l="1"/>
  <c r="S99" i="56"/>
  <c r="L97" i="70"/>
  <c r="L123" i="70"/>
  <c r="L45" i="70"/>
  <c r="L74" i="70"/>
  <c r="AJ43" i="53"/>
  <c r="AJ45" i="53" s="1"/>
  <c r="AJ47" i="53" s="1"/>
  <c r="AJ31" i="57"/>
  <c r="AJ5" i="54"/>
  <c r="AJ16" i="54" s="1"/>
  <c r="S137" i="56" s="1"/>
  <c r="S143" i="56" s="1"/>
  <c r="L46" i="70" l="1"/>
  <c r="L75" i="70"/>
  <c r="L124" i="70"/>
  <c r="L98" i="70"/>
  <c r="AJ36" i="54"/>
  <c r="AJ38" i="54" s="1"/>
  <c r="AJ6" i="53" s="1"/>
  <c r="AJ57" i="53" s="1"/>
  <c r="AJ58" i="53"/>
  <c r="L106" i="70" s="1"/>
  <c r="AJ48" i="53"/>
  <c r="AJ13" i="53" l="1"/>
  <c r="AJ53" i="53" s="1"/>
  <c r="AJ24" i="53" l="1"/>
  <c r="AJ51" i="53" s="1"/>
  <c r="L26" i="70"/>
  <c r="L53" i="70"/>
  <c r="AJ54" i="5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Sinitek</author>
  </authors>
  <commentList>
    <comment ref="E6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收盘价默认货币单位为港币，请在F10单元格输入汇率进行换算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Sinitek</author>
  </authors>
  <commentList>
    <comment ref="A6" authorId="0" shapeId="0" xr:uid="{00000000-0006-0000-0E00-000001000000}">
      <text>
        <r>
          <rPr>
            <b/>
            <sz val="10"/>
            <rFont val="宋体"/>
            <family val="3"/>
            <charset val="134"/>
          </rPr>
          <t xml:space="preserve">包括非主营业务销售收入，租金收入，增值税返还及政府补助，其他收入等
</t>
        </r>
        <r>
          <rPr>
            <sz val="10"/>
            <rFont val="宋体"/>
            <family val="3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Sinitek</author>
    <author>admin</author>
  </authors>
  <commentList>
    <comment ref="J63" authorId="0" shapeId="0" xr:uid="{00000000-0006-0000-0F00-000001000000}">
      <text>
        <r>
          <rPr>
            <b/>
            <sz val="9"/>
            <rFont val="宋体"/>
            <family val="3"/>
            <charset val="134"/>
          </rPr>
          <t xml:space="preserve">默认折旧数额=期初原值*折旧率+本期新增的固定资产*折旧率/2，若需调整，也可直接在蓝色单元格内填写具体数值
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J68" authorId="0" shapeId="0" xr:uid="{00000000-0006-0000-0F00-000002000000}">
      <text>
        <r>
          <rPr>
            <b/>
            <sz val="9"/>
            <rFont val="宋体"/>
            <family val="3"/>
            <charset val="134"/>
          </rPr>
          <t>默认摊销数额=期初原值*摊销率+本期新增的无形资产*摊销率/2，若需调整，可直接在蓝色单元格中填写具体数值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A87" authorId="0" shapeId="0" xr:uid="{00000000-0006-0000-0F00-000003000000}">
      <text>
        <r>
          <rPr>
            <sz val="10"/>
            <rFont val="宋体"/>
            <family val="3"/>
            <charset val="134"/>
          </rPr>
          <t>若填写回购股数，此处请填写负值</t>
        </r>
      </text>
    </comment>
    <comment ref="A98" authorId="0" shapeId="0" xr:uid="{00000000-0006-0000-0F00-000004000000}">
      <text>
        <r>
          <rPr>
            <b/>
            <sz val="10"/>
            <rFont val="宋体"/>
            <family val="3"/>
            <charset val="134"/>
          </rPr>
          <t xml:space="preserve">此处现金分红总额按照实际发生日（除权除息日）统计，计算口径为每股股利*当期股本数据，可能与实际披露有差异，可手动调整
</t>
        </r>
      </text>
    </comment>
    <comment ref="A99" authorId="1" shapeId="0" xr:uid="{00000000-0006-0000-0F00-000005000000}">
      <text>
        <r>
          <rPr>
            <b/>
            <sz val="9"/>
            <rFont val="宋体"/>
            <family val="3"/>
            <charset val="134"/>
          </rPr>
          <t>此处股利分配率按照当期现金分红总额/当期归母净利润计算得到，如需调整，可直接修改黄色边框单元格数据</t>
        </r>
      </text>
    </comment>
    <comment ref="A100" authorId="0" shapeId="0" xr:uid="{00000000-0006-0000-0F00-000006000000}">
      <text>
        <r>
          <rPr>
            <b/>
            <sz val="10"/>
            <rFont val="宋体"/>
            <family val="3"/>
            <charset val="134"/>
          </rPr>
          <t xml:space="preserve">此处每股股利为报告期口径，数据单位请保持与模型货币单位一致
</t>
        </r>
      </text>
    </comment>
    <comment ref="A111" authorId="1" shapeId="0" xr:uid="{00000000-0006-0000-0F00-000007000000}">
      <text>
        <r>
          <rPr>
            <b/>
            <sz val="9"/>
            <rFont val="宋体"/>
            <family val="3"/>
            <charset val="134"/>
          </rPr>
          <t>假设此处变动影响其他融资活动现金流</t>
        </r>
      </text>
    </comment>
    <comment ref="A118" authorId="0" shapeId="0" xr:uid="{00000000-0006-0000-0F00-000008000000}">
      <text>
        <r>
          <rPr>
            <b/>
            <sz val="10"/>
            <rFont val="宋体"/>
            <family val="3"/>
            <charset val="134"/>
          </rPr>
          <t>利息费用默认按照期初借款金额*利率+当期债务增加*利率/2计算</t>
        </r>
      </text>
    </comment>
    <comment ref="A128" authorId="0" shapeId="0" xr:uid="{00000000-0006-0000-0F00-000009000000}">
      <text>
        <r>
          <rPr>
            <b/>
            <sz val="9"/>
            <rFont val="宋体"/>
            <family val="3"/>
            <charset val="134"/>
          </rPr>
          <t>利息费用默认按照期初借款金额*利率+当期借款增加*利率/2计算</t>
        </r>
      </text>
    </comment>
    <comment ref="A132" authorId="0" shapeId="0" xr:uid="{00000000-0006-0000-0F00-00000A000000}">
      <text>
        <r>
          <rPr>
            <b/>
            <sz val="10"/>
            <rFont val="宋体"/>
            <family val="3"/>
            <charset val="134"/>
          </rPr>
          <t>利息收入默认按照期初现金余额*利率计算</t>
        </r>
      </text>
    </comment>
    <comment ref="B141" authorId="0" shapeId="0" xr:uid="{00000000-0006-0000-0F00-00000B000000}">
      <text>
        <r>
          <rPr>
            <sz val="12"/>
            <rFont val="宋体"/>
            <family val="3"/>
            <charset val="134"/>
          </rPr>
          <t xml:space="preserve">默认最低现金保有量安全月数为1个月，如有需要请手动调整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Sinitek</author>
  </authors>
  <commentList>
    <comment ref="A7" authorId="0" shapeId="0" xr:uid="{291315F0-A2A8-4161-9AFB-4E4644435A9E}">
      <text>
        <r>
          <rPr>
            <b/>
            <sz val="9"/>
            <color indexed="81"/>
            <rFont val="宋体"/>
            <family val="3"/>
            <charset val="134"/>
          </rPr>
          <t xml:space="preserve">默认引用财务基础数据第7行的其他收入，由于此科目通常和原始财报差异较大，也可自行在蓝色单元格修改数值
</t>
        </r>
      </text>
    </comment>
    <comment ref="A11" authorId="0" shapeId="0" xr:uid="{2929BAD6-097D-4D44-BC05-E0591896F317}">
      <text>
        <r>
          <rPr>
            <b/>
            <sz val="9"/>
            <color indexed="81"/>
            <rFont val="宋体"/>
            <family val="3"/>
            <charset val="134"/>
          </rPr>
          <t>假设：一般费用等于销售费用与管理费用之和，若销售费用、管理费用均为0，则表示公司未单独列示这两项数值，需要手动拆分。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A35" authorId="0" shapeId="0" xr:uid="{51F76371-07CE-4F47-8AEF-871225937785}">
      <text>
        <r>
          <rPr>
            <b/>
            <sz val="9"/>
            <color indexed="81"/>
            <rFont val="宋体"/>
            <family val="3"/>
            <charset val="134"/>
          </rPr>
          <t xml:space="preserve">EBIT按照如下公式计算：EBIT=除税前利润+财务费用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个人用户</author>
  </authors>
  <commentList>
    <comment ref="A22" authorId="0" shapeId="0" xr:uid="{00000000-0006-0000-1400-000001000000}">
      <text>
        <r>
          <rPr>
            <b/>
            <sz val="9"/>
            <rFont val="宋体"/>
            <family val="3"/>
            <charset val="134"/>
          </rPr>
          <t>包含交易性金融资产、负债</t>
        </r>
      </text>
    </comment>
    <comment ref="A27" authorId="0" shapeId="0" xr:uid="{00000000-0006-0000-1400-000002000000}">
      <text>
        <r>
          <rPr>
            <b/>
            <sz val="9"/>
            <rFont val="宋体"/>
            <family val="3"/>
            <charset val="134"/>
          </rPr>
          <t>包含租赁土地</t>
        </r>
      </text>
    </comment>
    <comment ref="A33" authorId="0" shapeId="0" xr:uid="{00000000-0006-0000-1400-000003000000}">
      <text>
        <r>
          <rPr>
            <b/>
            <sz val="9"/>
            <rFont val="宋体"/>
            <family val="3"/>
            <charset val="134"/>
          </rPr>
          <t>历史年度包含其他融资活动产生的现金流量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Sinitek</author>
  </authors>
  <commentList>
    <comment ref="A37" authorId="0" shapeId="0" xr:uid="{00000000-0006-0000-1500-000001000000}">
      <text>
        <r>
          <rPr>
            <b/>
            <sz val="12"/>
            <rFont val="宋体"/>
            <family val="3"/>
            <charset val="134"/>
          </rPr>
          <t xml:space="preserve">非核心资产包含货币资金、交易性金融资产、债务工具等资产
</t>
        </r>
      </text>
    </comment>
    <comment ref="E117" authorId="0" shapeId="0" xr:uid="{00000000-0006-0000-1500-000002000000}">
      <text>
        <r>
          <rPr>
            <b/>
            <sz val="12"/>
            <rFont val="宋体"/>
            <family val="3"/>
            <charset val="134"/>
          </rPr>
          <t>此处由于模拟运算功能限制，不可直接引用永续增长率，默认永续增长率为3%，若有需要请手动修改此单元格参数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个人用户</author>
    <author>admin</author>
    <author>Sinitek</author>
  </authors>
  <commentList>
    <comment ref="W2" authorId="0" shapeId="0" xr:uid="{00000000-0006-0000-1600-000001000000}">
      <text>
        <r>
          <rPr>
            <sz val="9"/>
            <rFont val="宋体"/>
            <family val="3"/>
            <charset val="134"/>
          </rPr>
          <t xml:space="preserve">0-最新报告期为年报
1-最新报告期为一季报
2-最新报告期为半年报
3-最新报告期为三季报
</t>
        </r>
      </text>
    </comment>
    <comment ref="C11" authorId="1" shapeId="0" xr:uid="{00000000-0006-0000-1600-000002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=营销费用+行政管理费用+研发费用</t>
        </r>
      </text>
    </comment>
    <comment ref="C22" authorId="2" shapeId="0" xr:uid="{00000000-0006-0000-1600-000003000000}">
      <text>
        <r>
          <rPr>
            <b/>
            <sz val="9"/>
            <rFont val="宋体"/>
            <family val="3"/>
            <charset val="134"/>
          </rPr>
          <t>V3版本之前引用此口径数值（其他非经营性损益+非经常项目损益）</t>
        </r>
      </text>
    </comment>
    <comment ref="B26" authorId="0" shapeId="0" xr:uid="{00000000-0006-0000-1600-000004000000}">
      <text>
        <r>
          <rPr>
            <b/>
            <sz val="9"/>
            <rFont val="宋体"/>
            <family val="3"/>
            <charset val="134"/>
          </rPr>
          <t>个人用户:</t>
        </r>
        <r>
          <rPr>
            <sz val="9"/>
            <rFont val="宋体"/>
            <family val="3"/>
            <charset val="134"/>
          </rPr>
          <t xml:space="preserve">
归属于普通股东的净利润</t>
        </r>
      </text>
    </comment>
    <comment ref="C130" authorId="2" shapeId="0" xr:uid="{00000000-0006-0000-1600-000005000000}">
      <text>
        <r>
          <rPr>
            <sz val="9"/>
            <rFont val="宋体"/>
            <family val="3"/>
            <charset val="134"/>
          </rPr>
          <t>此处数据与报表货币单位保持一致</t>
        </r>
      </text>
    </comment>
  </commentList>
</comments>
</file>

<file path=xl/sharedStrings.xml><?xml version="1.0" encoding="utf-8"?>
<sst xmlns="http://schemas.openxmlformats.org/spreadsheetml/2006/main" count="800" uniqueCount="563">
  <si>
    <t>百万股</t>
  </si>
  <si>
    <t>股票名称</t>
  </si>
  <si>
    <t>XXXX</t>
  </si>
  <si>
    <t>最新报告期</t>
  </si>
  <si>
    <t>XXXX-XX-XX</t>
  </si>
  <si>
    <t>最新年报报告期</t>
  </si>
  <si>
    <t>百万元</t>
  </si>
  <si>
    <t>估值日期</t>
  </si>
  <si>
    <r>
      <rPr>
        <b/>
        <sz val="10"/>
        <color indexed="63"/>
        <rFont val="宋体"/>
        <family val="3"/>
        <charset val="134"/>
      </rPr>
      <t>版权所有：</t>
    </r>
    <r>
      <rPr>
        <sz val="10"/>
        <color indexed="63"/>
        <rFont val="宋体"/>
        <family val="3"/>
        <charset val="134"/>
      </rPr>
      <t xml:space="preserve">  上海携宁计算机科技股份有限公司</t>
    </r>
  </si>
  <si>
    <t>最新收盘价(港元）</t>
  </si>
  <si>
    <t>联系电话：  18101638931(工作日)，18117554345(值班)</t>
  </si>
  <si>
    <t>最新总股本（百万）</t>
  </si>
  <si>
    <r>
      <rPr>
        <b/>
        <sz val="10"/>
        <color indexed="63"/>
        <rFont val="宋体"/>
        <family val="3"/>
        <charset val="134"/>
      </rPr>
      <t>E-mail ：</t>
    </r>
    <r>
      <rPr>
        <sz val="10"/>
        <color indexed="63"/>
        <rFont val="宋体"/>
        <family val="3"/>
        <charset val="134"/>
      </rPr>
      <t xml:space="preserve">   modelsupport@sinitek.com</t>
    </r>
  </si>
  <si>
    <t>货币单位</t>
  </si>
  <si>
    <r>
      <rPr>
        <b/>
        <sz val="10"/>
        <color indexed="63"/>
        <rFont val="宋体"/>
        <family val="3"/>
        <charset val="134"/>
      </rPr>
      <t>WebSite：</t>
    </r>
    <r>
      <rPr>
        <sz val="10"/>
        <color indexed="63"/>
        <rFont val="宋体"/>
        <family val="3"/>
        <charset val="134"/>
      </rPr>
      <t xml:space="preserve">   www.sinitek.com</t>
    </r>
  </si>
  <si>
    <t>最新行情日</t>
  </si>
  <si>
    <t>汇率</t>
  </si>
  <si>
    <t xml:space="preserve"> 使用步骤：</t>
  </si>
  <si>
    <t xml:space="preserve"> 重要提示：</t>
  </si>
  <si>
    <r>
      <rPr>
        <sz val="10"/>
        <rFont val="宋体"/>
        <family val="3"/>
        <charset val="134"/>
      </rPr>
      <t xml:space="preserve"> 1.使用本模型前</t>
    </r>
    <r>
      <rPr>
        <b/>
        <sz val="10"/>
        <color rgb="FFFF0000"/>
        <rFont val="宋体"/>
        <family val="3"/>
        <charset val="134"/>
      </rPr>
      <t>请确保</t>
    </r>
    <r>
      <rPr>
        <sz val="10"/>
        <rFont val="宋体"/>
        <family val="3"/>
        <charset val="134"/>
      </rPr>
      <t>已下载并安装估值模型插件(携宁科技云估值)；</t>
    </r>
  </si>
  <si>
    <t xml:space="preserve"> 1.修改股票代码或重新选择历史数据年数后，需重新点击“提取历史数据”按钮来更新数据；</t>
  </si>
  <si>
    <t xml:space="preserve"> 2.点击“提取历史数据”，在股票代码框中输入代码或名称，支持模糊搜索；</t>
  </si>
  <si>
    <r>
      <rPr>
        <sz val="10"/>
        <rFont val="宋体"/>
        <family val="3"/>
        <charset val="134"/>
      </rPr>
      <t xml:space="preserve"> 2.</t>
    </r>
    <r>
      <rPr>
        <b/>
        <sz val="10"/>
        <color rgb="FFFF0000"/>
        <rFont val="宋体"/>
        <family val="3"/>
        <charset val="134"/>
      </rPr>
      <t>不能修改单元格内的公式</t>
    </r>
    <r>
      <rPr>
        <sz val="10"/>
        <rFont val="宋体"/>
        <family val="3"/>
        <charset val="134"/>
      </rPr>
      <t>，否则可能导致报表不平；</t>
    </r>
  </si>
  <si>
    <t xml:space="preserve">   选择历史数据年数、货币单位等选项，可以设置更新范围；</t>
  </si>
  <si>
    <t xml:space="preserve"> 3.点击“预测数据设置”按钮可实现两张预测sheet的参数设置；</t>
  </si>
  <si>
    <t xml:space="preserve"> 4.点击“添加输出表”可进行输出表更新；</t>
  </si>
  <si>
    <t xml:space="preserve"> 5.点击“导入历史模型”可实现历史预测数据迁移，支持v2/v3版本导入。</t>
  </si>
  <si>
    <t>销售预测</t>
  </si>
  <si>
    <t>用户填写相关假设，自动生成数据</t>
  </si>
  <si>
    <t>黄色底纹需手工填写数据</t>
  </si>
  <si>
    <t>金色边框可自由修改参数</t>
  </si>
  <si>
    <t>资产预测</t>
  </si>
  <si>
    <t>蓝色底纹可以手工填写数据</t>
  </si>
  <si>
    <t>主要财务摘要</t>
  </si>
  <si>
    <t>自动生成的财务指标计算结果</t>
  </si>
  <si>
    <t>报表摘要</t>
  </si>
  <si>
    <t>资产负债表</t>
  </si>
  <si>
    <t>利润表</t>
  </si>
  <si>
    <t>现金流量表</t>
  </si>
  <si>
    <t>估值</t>
  </si>
  <si>
    <t>财务基础数据</t>
  </si>
  <si>
    <t>自动生成的财务基础数据</t>
  </si>
  <si>
    <t>营业总收入</t>
  </si>
  <si>
    <t>每股收益</t>
  </si>
  <si>
    <t>营业成本</t>
  </si>
  <si>
    <t>每股净资产</t>
  </si>
  <si>
    <t>每股股利</t>
  </si>
  <si>
    <t>P/E</t>
  </si>
  <si>
    <t>P/B</t>
  </si>
  <si>
    <t>管理费用</t>
  </si>
  <si>
    <t>P/S</t>
  </si>
  <si>
    <t>EV/EBITDA</t>
  </si>
  <si>
    <t>研发费用</t>
  </si>
  <si>
    <t>EBIT</t>
  </si>
  <si>
    <t>毛利率</t>
  </si>
  <si>
    <t>财务费用</t>
  </si>
  <si>
    <t>净资产收益率</t>
  </si>
  <si>
    <t>投资收益</t>
  </si>
  <si>
    <t>营业利润</t>
  </si>
  <si>
    <t>营业收入增长率</t>
  </si>
  <si>
    <t>EBIT增长率</t>
  </si>
  <si>
    <t>EBITDA</t>
  </si>
  <si>
    <t>净利润增长率</t>
  </si>
  <si>
    <t>所得税</t>
  </si>
  <si>
    <t>资产负债率</t>
  </si>
  <si>
    <t>少数股东损益</t>
  </si>
  <si>
    <t>流动比率</t>
  </si>
  <si>
    <t>速动比率</t>
  </si>
  <si>
    <t>货币资金</t>
  </si>
  <si>
    <t>存货周转天数</t>
  </si>
  <si>
    <t>存货</t>
  </si>
  <si>
    <t>流动资产合计</t>
  </si>
  <si>
    <t>固定资产</t>
  </si>
  <si>
    <t>净利润</t>
  </si>
  <si>
    <t>无形资产</t>
  </si>
  <si>
    <t>非流动资产合计</t>
  </si>
  <si>
    <t>资产总计</t>
  </si>
  <si>
    <t>短期借款</t>
  </si>
  <si>
    <t>营运资金变动</t>
  </si>
  <si>
    <t>投资</t>
  </si>
  <si>
    <t>流动负债合计</t>
  </si>
  <si>
    <t>其他</t>
  </si>
  <si>
    <t>债权募资</t>
  </si>
  <si>
    <t>非流动负债合计</t>
  </si>
  <si>
    <t>股权募资</t>
  </si>
  <si>
    <t>负债总计</t>
  </si>
  <si>
    <t>少数股东权益</t>
  </si>
  <si>
    <t>营业收入</t>
  </si>
  <si>
    <t>流动资产</t>
  </si>
  <si>
    <t>销售费用</t>
  </si>
  <si>
    <t>非流动资产</t>
  </si>
  <si>
    <t>流动负债</t>
  </si>
  <si>
    <t>非流动负债</t>
  </si>
  <si>
    <t>偿债能力</t>
  </si>
  <si>
    <t>现金及现金等价物</t>
  </si>
  <si>
    <t>应收账款及票据</t>
  </si>
  <si>
    <t>其他流动资产</t>
  </si>
  <si>
    <t>其他费用</t>
  </si>
  <si>
    <t>商誉及无形资产</t>
  </si>
  <si>
    <t>利息收入</t>
  </si>
  <si>
    <t>利息支出</t>
  </si>
  <si>
    <t>其他长期投资</t>
  </si>
  <si>
    <t>其他非流动资产</t>
  </si>
  <si>
    <t>应付账款及票据</t>
  </si>
  <si>
    <t>资本开支</t>
  </si>
  <si>
    <t>营运资本变动</t>
  </si>
  <si>
    <t>每股指标</t>
  </si>
  <si>
    <t>应收款项</t>
  </si>
  <si>
    <t>应付款项</t>
  </si>
  <si>
    <t>其他流动负债</t>
  </si>
  <si>
    <t>其他长期负债</t>
  </si>
  <si>
    <t>股东权益</t>
  </si>
  <si>
    <t xml:space="preserve">    增长率</t>
  </si>
  <si>
    <t>毛利</t>
  </si>
  <si>
    <t>负债股东权益合计</t>
  </si>
  <si>
    <t>比率分析</t>
  </si>
  <si>
    <t xml:space="preserve">  所得税率</t>
  </si>
  <si>
    <t>归属于母公司的净利润</t>
  </si>
  <si>
    <t>每股经营现金净流</t>
  </si>
  <si>
    <t>回报率</t>
  </si>
  <si>
    <t>总资产收益率</t>
  </si>
  <si>
    <t>投入资本收益率</t>
  </si>
  <si>
    <t>增长率</t>
  </si>
  <si>
    <t>总资产增长率</t>
  </si>
  <si>
    <t>资产管理能力</t>
  </si>
  <si>
    <t>应收账款周转天数</t>
  </si>
  <si>
    <t>应付账款周转天数</t>
  </si>
  <si>
    <t>固定资产周转天数</t>
  </si>
  <si>
    <t>净负债/股东权益</t>
  </si>
  <si>
    <t>项  目</t>
  </si>
  <si>
    <t>归母净利润增长率</t>
  </si>
  <si>
    <t>收盘价</t>
  </si>
  <si>
    <t>企业价值</t>
  </si>
  <si>
    <t>股权价值</t>
  </si>
  <si>
    <t>总资产收益率ROA</t>
  </si>
  <si>
    <t>净资产收益率ROE</t>
  </si>
  <si>
    <t>股东权益合计</t>
  </si>
  <si>
    <t>归母净利润</t>
  </si>
  <si>
    <t>其他收入</t>
  </si>
  <si>
    <t>长期债务</t>
  </si>
  <si>
    <t>普通股股本</t>
  </si>
  <si>
    <t>储备</t>
  </si>
  <si>
    <t>资本性支出</t>
  </si>
  <si>
    <t>现金分红</t>
  </si>
  <si>
    <t>股权融资</t>
  </si>
  <si>
    <t>债权融资</t>
  </si>
  <si>
    <t>交易性金融资产</t>
  </si>
  <si>
    <t>折旧</t>
  </si>
  <si>
    <t>摊销</t>
  </si>
  <si>
    <t>优先股</t>
  </si>
  <si>
    <t>其他非流动负债</t>
  </si>
  <si>
    <t>留存收益</t>
  </si>
  <si>
    <t>收入成本预测</t>
  </si>
  <si>
    <r>
      <rPr>
        <b/>
        <sz val="12"/>
        <rFont val="微软雅黑"/>
        <family val="2"/>
        <charset val="134"/>
      </rPr>
      <t>注意：预测</t>
    </r>
    <r>
      <rPr>
        <b/>
        <sz val="12"/>
        <color rgb="FFFF0000"/>
        <rFont val="微软雅黑"/>
        <family val="2"/>
        <charset val="134"/>
      </rPr>
      <t>前三年</t>
    </r>
    <r>
      <rPr>
        <b/>
        <sz val="12"/>
        <rFont val="微软雅黑"/>
        <family val="2"/>
        <charset val="134"/>
      </rPr>
      <t>可按照</t>
    </r>
    <r>
      <rPr>
        <b/>
        <sz val="12"/>
        <color rgb="FFFF0000"/>
        <rFont val="微软雅黑"/>
        <family val="2"/>
        <charset val="134"/>
      </rPr>
      <t>季度数据</t>
    </r>
    <r>
      <rPr>
        <b/>
        <sz val="12"/>
        <rFont val="微软雅黑"/>
        <family val="2"/>
        <charset val="134"/>
      </rPr>
      <t>进行预测（如当前三季报已出，可直接在</t>
    </r>
    <r>
      <rPr>
        <b/>
        <sz val="12"/>
        <color rgb="FFFF0000"/>
        <rFont val="微软雅黑"/>
        <family val="2"/>
        <charset val="134"/>
      </rPr>
      <t>蓝色单元格</t>
    </r>
    <r>
      <rPr>
        <b/>
        <sz val="12"/>
        <rFont val="微软雅黑"/>
        <family val="2"/>
        <charset val="134"/>
      </rPr>
      <t>填写第四</t>
    </r>
    <r>
      <rPr>
        <b/>
        <sz val="12"/>
        <color rgb="FFFF0000"/>
        <rFont val="微软雅黑"/>
        <family val="2"/>
        <charset val="134"/>
      </rPr>
      <t>季度数据</t>
    </r>
    <r>
      <rPr>
        <b/>
        <sz val="12"/>
        <rFont val="微软雅黑"/>
        <family val="2"/>
        <charset val="134"/>
      </rPr>
      <t>），也可直接在</t>
    </r>
    <r>
      <rPr>
        <b/>
        <sz val="12"/>
        <color rgb="FFFF0000"/>
        <rFont val="微软雅黑"/>
        <family val="2"/>
        <charset val="134"/>
      </rPr>
      <t>黄色单元格</t>
    </r>
    <r>
      <rPr>
        <b/>
        <sz val="12"/>
        <rFont val="微软雅黑"/>
        <family val="2"/>
        <charset val="134"/>
      </rPr>
      <t>填写</t>
    </r>
    <r>
      <rPr>
        <b/>
        <sz val="12"/>
        <color rgb="FFFF0000"/>
        <rFont val="微软雅黑"/>
        <family val="2"/>
        <charset val="134"/>
      </rPr>
      <t>年度</t>
    </r>
    <r>
      <rPr>
        <b/>
        <sz val="12"/>
        <rFont val="微软雅黑"/>
        <family val="2"/>
        <charset val="134"/>
      </rPr>
      <t>预测数据</t>
    </r>
  </si>
  <si>
    <t>项   目</t>
  </si>
  <si>
    <t>营业收入小计</t>
  </si>
  <si>
    <t xml:space="preserve">    增长率%</t>
  </si>
  <si>
    <t>其他收入小计</t>
  </si>
  <si>
    <t>营业成本小计</t>
  </si>
  <si>
    <t>经营收益的其他假设</t>
  </si>
  <si>
    <r>
      <rPr>
        <b/>
        <sz val="12"/>
        <rFont val="微软雅黑"/>
        <family val="2"/>
        <charset val="134"/>
      </rPr>
      <t>说明：季度数据预测和年度数据预测不可同时生效，只可</t>
    </r>
    <r>
      <rPr>
        <b/>
        <sz val="12"/>
        <color rgb="FFFF0000"/>
        <rFont val="微软雅黑"/>
        <family val="2"/>
        <charset val="134"/>
      </rPr>
      <t>选择其中一种</t>
    </r>
    <r>
      <rPr>
        <b/>
        <sz val="12"/>
        <rFont val="微软雅黑"/>
        <family val="2"/>
        <charset val="134"/>
      </rPr>
      <t>预测方式</t>
    </r>
  </si>
  <si>
    <t>营销费用</t>
  </si>
  <si>
    <t>占销售收入%</t>
  </si>
  <si>
    <t>权益性投资损益</t>
  </si>
  <si>
    <t>占权益性投资%</t>
  </si>
  <si>
    <t>所得税支出</t>
  </si>
  <si>
    <t>所得税税率</t>
  </si>
  <si>
    <t>少数股东损益/净利润</t>
  </si>
  <si>
    <t>营运资金</t>
  </si>
  <si>
    <t>会计年度：</t>
  </si>
  <si>
    <t>（一）流动资产</t>
  </si>
  <si>
    <t>周转天数（相对于销售收入）</t>
  </si>
  <si>
    <t>说明：此处周转天数按照期末值计算</t>
  </si>
  <si>
    <t>应收帐款/销售收入（%）</t>
  </si>
  <si>
    <t>周转天数（相对于销售成本）</t>
  </si>
  <si>
    <t>存货/销售成本（%）</t>
  </si>
  <si>
    <t>其他应收款</t>
  </si>
  <si>
    <t>比销售收入（%）</t>
  </si>
  <si>
    <t>（二）流动负债</t>
  </si>
  <si>
    <t>应付帐款/销售成本（%）</t>
  </si>
  <si>
    <t>应交税金</t>
  </si>
  <si>
    <t>投资预测</t>
  </si>
  <si>
    <t>会计年度截止日：12/31</t>
  </si>
  <si>
    <t>（一）短期投资</t>
  </si>
  <si>
    <t>当期增减</t>
  </si>
  <si>
    <t>其他短期投资</t>
  </si>
  <si>
    <t>交易性金融负债</t>
  </si>
  <si>
    <t>（二）长期投资</t>
  </si>
  <si>
    <t>权益性投资</t>
  </si>
  <si>
    <t>债务工具</t>
  </si>
  <si>
    <t>可供出售投资</t>
  </si>
  <si>
    <t>（三）资本性投资</t>
  </si>
  <si>
    <t>固定资产初值</t>
  </si>
  <si>
    <t>固定资产终值</t>
  </si>
  <si>
    <t>商誉及无形资产初值</t>
  </si>
  <si>
    <t>本期增减</t>
  </si>
  <si>
    <t>商誉及无形资产终值</t>
  </si>
  <si>
    <t>折旧摊销合计</t>
  </si>
  <si>
    <t>（四）其他</t>
  </si>
  <si>
    <t>租赁土地</t>
  </si>
  <si>
    <t>资本性投资小计</t>
  </si>
  <si>
    <t>融资预测</t>
  </si>
  <si>
    <t>发行股数</t>
  </si>
  <si>
    <t>发行价格</t>
  </si>
  <si>
    <t>发行面值</t>
  </si>
  <si>
    <t>费用率</t>
  </si>
  <si>
    <t>当期股本增加</t>
  </si>
  <si>
    <t>当期储备增加</t>
  </si>
  <si>
    <t>(二)权益分派（送股、转股、分红）</t>
  </si>
  <si>
    <t>当期送股/转增股数</t>
  </si>
  <si>
    <t>当期现金分红总额</t>
  </si>
  <si>
    <t>股利分配率</t>
  </si>
  <si>
    <t xml:space="preserve">  </t>
  </si>
  <si>
    <t>(三)其他变动</t>
  </si>
  <si>
    <t>股本增加：</t>
  </si>
  <si>
    <t>库存股</t>
  </si>
  <si>
    <t>储备增加</t>
  </si>
  <si>
    <t>其他变动</t>
  </si>
  <si>
    <t>(四)长期债务</t>
  </si>
  <si>
    <t>期初余额</t>
  </si>
  <si>
    <t>长期借款当期变动</t>
  </si>
  <si>
    <t>应付债券当期变动</t>
  </si>
  <si>
    <t>期末余额</t>
  </si>
  <si>
    <t>长期借款利率</t>
  </si>
  <si>
    <t>利息费用</t>
  </si>
  <si>
    <t>(五）短期借款</t>
  </si>
  <si>
    <t>当期变动</t>
  </si>
  <si>
    <t>短期借款利率</t>
  </si>
  <si>
    <t>利息费用合计</t>
  </si>
  <si>
    <t xml:space="preserve">  其他调整（如租赁负债利息、汇兑损益等）</t>
  </si>
  <si>
    <t>存款利率</t>
  </si>
  <si>
    <t xml:space="preserve">  其他调整（如理财收益等）</t>
  </si>
  <si>
    <t>现金及现金等价物期初余额</t>
  </si>
  <si>
    <t>当期现金及等价物净变动：</t>
  </si>
  <si>
    <t>经营活动产生的现金流量</t>
  </si>
  <si>
    <t>投资活动产生的现金流量</t>
  </si>
  <si>
    <t>融资活动产生的现金流量</t>
  </si>
  <si>
    <t>汇率变动影响</t>
  </si>
  <si>
    <t>最低现金保有量安全月数</t>
  </si>
  <si>
    <t>若现金及现金等价物期末余额为负数，请检查预测参数填写合理性，增加资金流入或者减少资金流出</t>
  </si>
  <si>
    <t xml:space="preserve">  -   最低现金余额</t>
  </si>
  <si>
    <t>现金剩余/缺口</t>
  </si>
  <si>
    <r>
      <rPr>
        <sz val="10.5"/>
        <rFont val="宋体"/>
        <family val="3"/>
        <charset val="134"/>
      </rPr>
      <t>说明：历史年份的</t>
    </r>
    <r>
      <rPr>
        <b/>
        <sz val="10.5"/>
        <color indexed="10"/>
        <rFont val="宋体"/>
        <family val="3"/>
        <charset val="134"/>
      </rPr>
      <t>收盘价默认</t>
    </r>
    <r>
      <rPr>
        <sz val="10.5"/>
        <rFont val="宋体"/>
        <family val="3"/>
        <charset val="134"/>
      </rPr>
      <t>为当年最后一个交易日的价格，如需按照最新股价计算历史的每股指标，可在蓝色单元格内手工输入。</t>
    </r>
  </si>
  <si>
    <t>项目\年度</t>
  </si>
  <si>
    <t>收盘价（港币）</t>
  </si>
  <si>
    <t>收盘价（汇率换算后）</t>
  </si>
  <si>
    <r>
      <rPr>
        <sz val="10.5"/>
        <rFont val="Arial"/>
        <family val="2"/>
      </rPr>
      <t>EV/</t>
    </r>
    <r>
      <rPr>
        <sz val="10.5"/>
        <rFont val="宋体"/>
        <family val="3"/>
        <charset val="134"/>
      </rPr>
      <t>销售收入</t>
    </r>
  </si>
  <si>
    <t>盈利预测</t>
  </si>
  <si>
    <t>增长率（%）</t>
  </si>
  <si>
    <r>
      <rPr>
        <sz val="10.5"/>
        <rFont val="宋体"/>
        <family val="3"/>
        <charset val="134"/>
      </rPr>
      <t>每股收益</t>
    </r>
    <r>
      <rPr>
        <sz val="10.5"/>
        <rFont val="Arial"/>
        <family val="2"/>
      </rPr>
      <t>EPS</t>
    </r>
  </si>
  <si>
    <r>
      <rPr>
        <sz val="10.5"/>
        <rFont val="宋体"/>
        <family val="3"/>
        <charset val="134"/>
      </rPr>
      <t>市盈率（</t>
    </r>
    <r>
      <rPr>
        <sz val="10.5"/>
        <rFont val="Arial"/>
        <family val="2"/>
      </rPr>
      <t>P/E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</si>
  <si>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市净率（</t>
    </r>
    <r>
      <rPr>
        <sz val="10.5"/>
        <rFont val="Arial"/>
        <family val="2"/>
      </rPr>
      <t>P/B</t>
    </r>
    <r>
      <rPr>
        <sz val="10.5"/>
        <rFont val="宋体"/>
        <family val="3"/>
        <charset val="134"/>
      </rPr>
      <t>）</t>
    </r>
  </si>
  <si>
    <t>PE/G</t>
  </si>
  <si>
    <t>每股经营性现金流</t>
  </si>
  <si>
    <t>损益表</t>
  </si>
  <si>
    <t xml:space="preserve">    %销售收入</t>
  </si>
  <si>
    <t>息税前利润（EBIT）</t>
  </si>
  <si>
    <t xml:space="preserve">    %税前利润</t>
  </si>
  <si>
    <t xml:space="preserve">    利润率</t>
  </si>
  <si>
    <t xml:space="preserve">    净利率</t>
  </si>
  <si>
    <t>经营活动现金流量净额</t>
  </si>
  <si>
    <t>此处周转天数按照相关科目的期初期末平均值计算</t>
  </si>
  <si>
    <t>投资活动现金流量净额</t>
  </si>
  <si>
    <t>筹资活动现金流量净额</t>
  </si>
  <si>
    <t>EBIT利息保障倍数</t>
  </si>
  <si>
    <t>现金净变动</t>
  </si>
  <si>
    <t>报告截止日：</t>
  </si>
  <si>
    <t>流动资产:</t>
  </si>
  <si>
    <t>非流动资产:</t>
  </si>
  <si>
    <t>固定资产净值</t>
  </si>
  <si>
    <t>资产总额</t>
  </si>
  <si>
    <t>资产检查：</t>
  </si>
  <si>
    <t>流动负债：</t>
  </si>
  <si>
    <t>非流动负债：</t>
  </si>
  <si>
    <t>长期债务（长期借款、应付债券）</t>
  </si>
  <si>
    <t>总负债</t>
  </si>
  <si>
    <t>股东权益：</t>
  </si>
  <si>
    <t>负债及股东权益合计</t>
  </si>
  <si>
    <t>负债检查：</t>
  </si>
  <si>
    <t>权益检查：</t>
  </si>
  <si>
    <t>检查：</t>
  </si>
  <si>
    <t>营运资本</t>
  </si>
  <si>
    <t>付息债务</t>
  </si>
  <si>
    <t>有息负债率</t>
  </si>
  <si>
    <t>非核心资产</t>
  </si>
  <si>
    <t>投入资本IC</t>
  </si>
  <si>
    <t>报告期间：</t>
  </si>
  <si>
    <t>营业总支出</t>
  </si>
  <si>
    <t>营业开支：</t>
  </si>
  <si>
    <t>一般费用：</t>
  </si>
  <si>
    <t>其他非经营性损益</t>
  </si>
  <si>
    <t>非经常项目前利润</t>
  </si>
  <si>
    <t>非经常项目损益</t>
  </si>
  <si>
    <t>除税前利润</t>
  </si>
  <si>
    <t>优先股利及其他调整项</t>
  </si>
  <si>
    <t>归属普通股东净利润</t>
  </si>
  <si>
    <t>折旧与摊销</t>
  </si>
  <si>
    <t>营运资本变动：</t>
  </si>
  <si>
    <t>应收账款及票据的减少</t>
  </si>
  <si>
    <t>其他应收款的减少</t>
  </si>
  <si>
    <t>存货的减少</t>
  </si>
  <si>
    <t>其他流动资产的减少</t>
  </si>
  <si>
    <t>应付账款及票据的增加</t>
  </si>
  <si>
    <t>应交税金的增加</t>
  </si>
  <si>
    <t>其他流动负债的增加</t>
  </si>
  <si>
    <t>其他调整</t>
  </si>
  <si>
    <t>经营活动产生的现金流量净额</t>
  </si>
  <si>
    <t>资本性支出：</t>
  </si>
  <si>
    <t>投资增减：</t>
  </si>
  <si>
    <t>金融资产投资</t>
  </si>
  <si>
    <t>持有至到期投资</t>
  </si>
  <si>
    <t>其他投资活动</t>
  </si>
  <si>
    <t>投资活动产生的现金流量净额</t>
  </si>
  <si>
    <t>融资活动产生的现金流量净额</t>
  </si>
  <si>
    <t>现金及现金等价物净增加额</t>
  </si>
  <si>
    <t>现金及现金等价物期末余额</t>
  </si>
  <si>
    <t>说明：</t>
  </si>
  <si>
    <t>历史年度的期初、期末现金余额，是以上市公司公布的现金及现金等价物列示的，预测年度的期初、期末现金余额，是以货币资金金额列示的，二者计算口径略有差异，因为估值时一般无法准确预测现金及现金等价物的数值。</t>
  </si>
  <si>
    <t>估值假设</t>
  </si>
  <si>
    <t>参数设置</t>
  </si>
  <si>
    <t>参数说明</t>
  </si>
  <si>
    <t>预测期年数</t>
  </si>
  <si>
    <t>1.企业第一阶段增长年数（3—10）；</t>
  </si>
  <si>
    <t>过渡期年数</t>
  </si>
  <si>
    <t>2.企业第二阶段增长年数（1—11）；</t>
  </si>
  <si>
    <t>过渡期增长率</t>
  </si>
  <si>
    <t>3.企业第二阶段增长率（如果过度期年数为0则不填写）；</t>
  </si>
  <si>
    <t>永续增长率g</t>
  </si>
  <si>
    <t>4.企业长期稳定发展的增长率；</t>
  </si>
  <si>
    <t>贝塔值（β）</t>
  </si>
  <si>
    <t>5.根据该股票和整体市场的历史数据，经过统计得出的市场风险指标；</t>
  </si>
  <si>
    <t>无风险利率Rf（%）</t>
  </si>
  <si>
    <t>6.以10年期国债为参考；</t>
  </si>
  <si>
    <t>市场的预期收益率Rm（%）</t>
  </si>
  <si>
    <t>7.可参考第三方数据或历史指数收益率的平均值；</t>
  </si>
  <si>
    <t>有效税率T（%）</t>
  </si>
  <si>
    <t>8.企业实际所得税率；</t>
  </si>
  <si>
    <t>剩余月份</t>
  </si>
  <si>
    <t>9.为了更精准的估值结果，此处为剩余月份（如：当前为4月，则剩余月份为8）</t>
  </si>
  <si>
    <t>资本成本</t>
  </si>
  <si>
    <t>预测数据参考值</t>
  </si>
  <si>
    <t>债务资本成本Kd</t>
  </si>
  <si>
    <t>1.长期债务的成本</t>
  </si>
  <si>
    <t>债务资本比重Wd</t>
  </si>
  <si>
    <t>2.长期债务/（长期债务+所有者权益）</t>
  </si>
  <si>
    <t>股权资本成本Ke</t>
  </si>
  <si>
    <t>3.Ke=Rf+β*（Rm-Rf)</t>
  </si>
  <si>
    <t>加权平均资本成本WACC</t>
  </si>
  <si>
    <t>4.WACC=Kd*Wd(1-T)+Ke*(1-Wd)</t>
  </si>
  <si>
    <t>FCFF估值</t>
  </si>
  <si>
    <t>息前税后利润(NOPAT)</t>
  </si>
  <si>
    <t>加：折旧与摊销</t>
  </si>
  <si>
    <t>减：营运资金的增加</t>
  </si>
  <si>
    <t>减：资本性投资</t>
  </si>
  <si>
    <t>公司自由现金流量FCFF</t>
  </si>
  <si>
    <t>过渡期自由现金流</t>
  </si>
  <si>
    <t>FCFF预测期现值</t>
  </si>
  <si>
    <t>敏感性分析</t>
  </si>
  <si>
    <t>折现率变化值</t>
  </si>
  <si>
    <t>FCFF过渡期现值</t>
  </si>
  <si>
    <t>永续增长率变化值</t>
  </si>
  <si>
    <t>FCFF永续价值现值</t>
  </si>
  <si>
    <t>加：非核心资产价值</t>
  </si>
  <si>
    <t>减：付息债务</t>
  </si>
  <si>
    <t>减：少数股东权益</t>
  </si>
  <si>
    <t>总股本</t>
  </si>
  <si>
    <t>FCFE估值</t>
  </si>
  <si>
    <t>加：新增付息债务</t>
  </si>
  <si>
    <t>加：其他非现金调整</t>
  </si>
  <si>
    <t>股权自由现金流量FCFE</t>
  </si>
  <si>
    <t>FCFE预测期现值</t>
  </si>
  <si>
    <t>FCFE过渡期现值</t>
  </si>
  <si>
    <t>FCFE永续价值现值</t>
  </si>
  <si>
    <t>DDM估值</t>
  </si>
  <si>
    <t>现金红利总额</t>
  </si>
  <si>
    <t>过渡期现金红利总额</t>
  </si>
  <si>
    <t>股利预测期现值</t>
  </si>
  <si>
    <t>股利过渡期现值</t>
  </si>
  <si>
    <t>股利永续价值现值</t>
  </si>
  <si>
    <t>经济附加值EVA</t>
  </si>
  <si>
    <t>过渡期经济附加值</t>
  </si>
  <si>
    <t>EVA预测期现值</t>
  </si>
  <si>
    <t>EVA过渡期现值</t>
  </si>
  <si>
    <t>EVA永续价值现值</t>
  </si>
  <si>
    <t>加：投入资本</t>
  </si>
  <si>
    <t>报告日期</t>
  </si>
  <si>
    <t>行次</t>
  </si>
  <si>
    <t>1Q17</t>
  </si>
  <si>
    <t>1H17</t>
  </si>
  <si>
    <t>3Q17</t>
  </si>
  <si>
    <t>1Q18</t>
  </si>
  <si>
    <t>1H18</t>
  </si>
  <si>
    <t>3Q18</t>
  </si>
  <si>
    <t>1Q19</t>
  </si>
  <si>
    <t>1H19</t>
  </si>
  <si>
    <t>3Q19</t>
  </si>
  <si>
    <t>1Q20</t>
  </si>
  <si>
    <t>1H20</t>
  </si>
  <si>
    <t>3Q20</t>
  </si>
  <si>
    <t>1Q21</t>
  </si>
  <si>
    <t>1H21</t>
  </si>
  <si>
    <t>3Q21</t>
  </si>
  <si>
    <t>1Q22</t>
  </si>
  <si>
    <t>1H22</t>
  </si>
  <si>
    <t>3Q22</t>
  </si>
  <si>
    <t>HK_LRB_1</t>
  </si>
  <si>
    <t>收入</t>
  </si>
  <si>
    <t>HK_LRB_2</t>
  </si>
  <si>
    <t>主营收入</t>
  </si>
  <si>
    <t>HK_LRB_3</t>
  </si>
  <si>
    <t>HK_LRB_4</t>
  </si>
  <si>
    <t>支出</t>
  </si>
  <si>
    <t>HK_LRB_5</t>
  </si>
  <si>
    <t>HK_LRB_6</t>
  </si>
  <si>
    <t>营业开支</t>
  </si>
  <si>
    <t>HK_LRB_7</t>
  </si>
  <si>
    <t>营销、管理费用小计</t>
  </si>
  <si>
    <t>HK_LRB_8</t>
  </si>
  <si>
    <t>HK_LRB_9</t>
  </si>
  <si>
    <t>行政管理费用</t>
  </si>
  <si>
    <t>HK_LRB_10</t>
  </si>
  <si>
    <t>HK_LRB_11</t>
  </si>
  <si>
    <t>其他费用合计</t>
  </si>
  <si>
    <t>HK_LRB_12</t>
  </si>
  <si>
    <t>HK_LRB_13</t>
  </si>
  <si>
    <t>HK_LRB_14</t>
  </si>
  <si>
    <t>HK_LRB_15</t>
  </si>
  <si>
    <t>HK_LRB_16</t>
  </si>
  <si>
    <t>HK_LRB_17</t>
  </si>
  <si>
    <t>HK_LRB_18</t>
  </si>
  <si>
    <t>HK_LRB_19</t>
  </si>
  <si>
    <t>HK_LRB_20</t>
  </si>
  <si>
    <t>HK_LRB_21</t>
  </si>
  <si>
    <t>HK_LRB_22</t>
  </si>
  <si>
    <t>HK_LRB_23</t>
  </si>
  <si>
    <t>归属普通股东综合收益</t>
  </si>
  <si>
    <t>HK_LRB_24</t>
  </si>
  <si>
    <t>HK_LRB_25</t>
  </si>
  <si>
    <t>其中:员工薪酬</t>
  </si>
  <si>
    <t>HK_LRB_26</t>
  </si>
  <si>
    <t>其中:折旧及摊销</t>
  </si>
  <si>
    <t>HK_LRB_31</t>
  </si>
  <si>
    <t>基本每股收益</t>
  </si>
  <si>
    <t>HK_LRB_27</t>
  </si>
  <si>
    <t>HK_LRB_28</t>
  </si>
  <si>
    <t>HK_LRB_29</t>
  </si>
  <si>
    <t>HK_LRB_30</t>
  </si>
  <si>
    <t>其他非经营性损益2</t>
  </si>
  <si>
    <t>HK_ZCFZB_1</t>
  </si>
  <si>
    <t>HK_ZCFZB_2</t>
  </si>
  <si>
    <t>HK_ZCFZB_3</t>
  </si>
  <si>
    <t>HK_ZCFZB_4</t>
  </si>
  <si>
    <t>应收款项合计</t>
  </si>
  <si>
    <t>HK_ZCFZB_5</t>
  </si>
  <si>
    <t>HK_ZCFZB_6</t>
  </si>
  <si>
    <t>HK_ZCFZB_7</t>
  </si>
  <si>
    <t>HK_ZCFZB_8</t>
  </si>
  <si>
    <t>HK_ZCFZB_9</t>
  </si>
  <si>
    <t>HK_ZCFZB_10</t>
  </si>
  <si>
    <t>HK_ZCFZB_11</t>
  </si>
  <si>
    <t>HK_ZCFZB_12</t>
  </si>
  <si>
    <t>HK_ZCFZB_13</t>
  </si>
  <si>
    <t>HK_ZCFZB_14</t>
  </si>
  <si>
    <t>HK_ZCFZB_15</t>
  </si>
  <si>
    <t>HK_ZCFZB_16</t>
  </si>
  <si>
    <t>其中:商誉</t>
  </si>
  <si>
    <t>HK_ZCFZB_17</t>
  </si>
  <si>
    <t>[内部]租赁土地</t>
  </si>
  <si>
    <t>HK_ZCFZB_18</t>
  </si>
  <si>
    <t>HK_ZCFZB_19</t>
  </si>
  <si>
    <t>HK_ZCFZB_20</t>
  </si>
  <si>
    <t>HK_ZCFZB_21</t>
  </si>
  <si>
    <t>HK_ZCFZB_22</t>
  </si>
  <si>
    <t>HK_ZCFZB_23</t>
  </si>
  <si>
    <t>HK_ZCFZB_24</t>
  </si>
  <si>
    <t>短期借贷及长期借贷当期到期部分</t>
  </si>
  <si>
    <t>HK_ZCFZB_25</t>
  </si>
  <si>
    <t>HK_ZCFZB_26</t>
  </si>
  <si>
    <t>HK_ZCFZB_27</t>
  </si>
  <si>
    <t>长期借贷</t>
  </si>
  <si>
    <t>HK_ZCFZB_28</t>
  </si>
  <si>
    <t>其他非流动负债合计</t>
  </si>
  <si>
    <t>HK_ZCFZB_29</t>
  </si>
  <si>
    <t>HK_ZCFZB_30</t>
  </si>
  <si>
    <t>HK_ZCFZB_31</t>
  </si>
  <si>
    <t>HK_ZCFZB_32</t>
  </si>
  <si>
    <t>普通股股本(股本)</t>
  </si>
  <si>
    <t>HK_ZCFZB_33</t>
  </si>
  <si>
    <t>HK_ZCFZB_34</t>
  </si>
  <si>
    <t>股本溢价</t>
  </si>
  <si>
    <t>HK_ZCFZB_35</t>
  </si>
  <si>
    <t>HK_ZCFZB_36</t>
  </si>
  <si>
    <t>其他储备</t>
  </si>
  <si>
    <t>HK_ZCFZB_37</t>
  </si>
  <si>
    <t>HK_ZCFZB_38</t>
  </si>
  <si>
    <t>其他综合性收益</t>
  </si>
  <si>
    <t>HK_ZCFZB_39</t>
  </si>
  <si>
    <t>普通股权益总额</t>
  </si>
  <si>
    <t>HK_ZCFZB_40</t>
  </si>
  <si>
    <t>HK_ZCFZB_41</t>
  </si>
  <si>
    <t>HK_ZCFZB_42</t>
  </si>
  <si>
    <t>HK_ZCFZB_43</t>
  </si>
  <si>
    <t>总负债及总权益</t>
  </si>
  <si>
    <t>HK_XJLLB_1</t>
  </si>
  <si>
    <t>HK_XJLLB_2</t>
  </si>
  <si>
    <t>HK_XJLLB_3</t>
  </si>
  <si>
    <t>HK_XJLLB_4</t>
  </si>
  <si>
    <t>其他非现金调整</t>
  </si>
  <si>
    <t>HK_XJLLB_5</t>
  </si>
  <si>
    <t>HK_XJLLB_6</t>
  </si>
  <si>
    <t>出售固定资产收到的现金</t>
  </si>
  <si>
    <t>HK_XJLLB_7</t>
  </si>
  <si>
    <t>HK_XJLLB_8</t>
  </si>
  <si>
    <t>投资增加</t>
  </si>
  <si>
    <t>HK_XJLLB_9</t>
  </si>
  <si>
    <t>投资减少</t>
  </si>
  <si>
    <t>HK_XJLLB_10</t>
  </si>
  <si>
    <t>其他投资活动产生的现金流量净额</t>
  </si>
  <si>
    <t>HK_XJLLB_11</t>
  </si>
  <si>
    <t>HK_XJLLB_12</t>
  </si>
  <si>
    <t>债务增加</t>
  </si>
  <si>
    <t>HK_XJLLB_13</t>
  </si>
  <si>
    <t>债务减少</t>
  </si>
  <si>
    <t>HK_XJLLB_14</t>
  </si>
  <si>
    <t>股本增加</t>
  </si>
  <si>
    <t>HK_XJLLB_15</t>
  </si>
  <si>
    <t>股本减少</t>
  </si>
  <si>
    <t>HK_XJLLB_16</t>
  </si>
  <si>
    <t>支付的股利合计</t>
  </si>
  <si>
    <t>HK_XJLLB_17</t>
  </si>
  <si>
    <t>其他筹资活动产生的现金流量净额</t>
  </si>
  <si>
    <t>HK_XJLLB_18</t>
  </si>
  <si>
    <t>筹资活动产生现金流量净额(融资活动产生的现金流量净额)</t>
  </si>
  <si>
    <t>HK_XJLLB_19</t>
  </si>
  <si>
    <t>HK_XJLLB_20</t>
  </si>
  <si>
    <t>其他现金流量调整</t>
  </si>
  <si>
    <t>HK_XJLLB_21</t>
  </si>
  <si>
    <t>HK_XJLLB_22</t>
  </si>
  <si>
    <t>HK_XJLLB_23</t>
  </si>
  <si>
    <t>净利润(含少数股东损益)</t>
    <phoneticPr fontId="93" type="noConversion"/>
  </si>
  <si>
    <t>HK_LRB_32</t>
  </si>
  <si>
    <t>非持续经营净利润</t>
  </si>
  <si>
    <t>净利润</t>
    <phoneticPr fontId="93" type="noConversion"/>
  </si>
  <si>
    <t>HK_OTHER_YFXGB</t>
    <phoneticPr fontId="93" type="noConversion"/>
  </si>
  <si>
    <t>HK_OTHER_CLOSEPRICE</t>
    <phoneticPr fontId="93" type="noConversion"/>
  </si>
  <si>
    <t>HK_DIVID_PXBL</t>
    <phoneticPr fontId="93" type="noConversion"/>
  </si>
  <si>
    <t>HK_DIVID_XJFH</t>
    <phoneticPr fontId="93" type="noConversion"/>
  </si>
  <si>
    <t>(一)股权融资(含增发、配股、回购等)</t>
    <phoneticPr fontId="93" type="noConversion"/>
  </si>
  <si>
    <r>
      <t>汇率(</t>
    </r>
    <r>
      <rPr>
        <i/>
        <sz val="10.5"/>
        <rFont val="微软雅黑"/>
        <family val="2"/>
        <charset val="134"/>
      </rPr>
      <t>默认为1，如需换算可手动输入)</t>
    </r>
    <phoneticPr fontId="93" type="noConversion"/>
  </si>
  <si>
    <t>除税前利润</t>
    <phoneticPr fontId="93" type="noConversion"/>
  </si>
  <si>
    <t>净利润(含少数股东损益)</t>
    <phoneticPr fontId="93" type="noConversion"/>
  </si>
  <si>
    <t>归属母公司股东权益</t>
    <phoneticPr fontId="93" type="noConversion"/>
  </si>
  <si>
    <t>由于港股公司业绩公告可能未披露现金流量表数据，可在黄色边框单元格中手动填值。</t>
    <phoneticPr fontId="93" type="noConversion"/>
  </si>
  <si>
    <t>此页季度数据为单季度数据，增长率为环比口径；请注意：若利润表季度数据缺失可能导致单季度数据显示为负数！</t>
    <phoneticPr fontId="93" type="noConversion"/>
  </si>
  <si>
    <t>其他非经营性损益</t>
    <phoneticPr fontId="93" type="noConversion"/>
  </si>
  <si>
    <r>
      <t xml:space="preserve"> 3.</t>
    </r>
    <r>
      <rPr>
        <sz val="10"/>
        <color rgb="FFFF0000"/>
        <rFont val="宋体"/>
        <family val="3"/>
        <charset val="134"/>
      </rPr>
      <t>不能增加/删除已有sheet及已有Sheet中的行或列；</t>
    </r>
    <phoneticPr fontId="93" type="noConversion"/>
  </si>
  <si>
    <r>
      <t xml:space="preserve"> 4.</t>
    </r>
    <r>
      <rPr>
        <sz val="10"/>
        <color rgb="FFFF0000"/>
        <rFont val="宋体"/>
        <family val="3"/>
        <charset val="134"/>
      </rPr>
      <t>不能删除</t>
    </r>
    <r>
      <rPr>
        <sz val="10"/>
        <rFont val="宋体"/>
        <family val="3"/>
        <charset val="134"/>
      </rPr>
      <t>模型中原有Sheet；</t>
    </r>
    <phoneticPr fontId="93" type="noConversion"/>
  </si>
  <si>
    <t xml:space="preserve"> 6.若资产负债表不平，请打开空模型并通过"导入历史模型"功能将未配平模型导入。</t>
    <phoneticPr fontId="93" type="noConversion"/>
  </si>
  <si>
    <t xml:space="preserve"> 5.如有需要，可以自由增加Sheet，但不能修改已有sheet名；</t>
    <phoneticPr fontId="93" type="noConversion"/>
  </si>
  <si>
    <t>下载地址：  https://cloudmodel.sinitek.com</t>
    <phoneticPr fontId="93" type="noConversion"/>
  </si>
  <si>
    <t>如：模型货币单位为CNY，1HKD=0.92CNY,则在此填写0.92</t>
    <phoneticPr fontId="93" type="noConversion"/>
  </si>
  <si>
    <t>收盘价默认货币单位为港币，若与模型货币单位不一致，请在F10填写汇率。</t>
    <phoneticPr fontId="93" type="noConversion"/>
  </si>
  <si>
    <t>支付的股利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</si>
</sst>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 * #,##0.00_ ;_ * \-#,##0.00_ ;_ * &quot;-&quot;??_ ;_ @_ "/>
    <numFmt numFmtId="176" formatCode="#,##0.00_ "/>
    <numFmt numFmtId="177" formatCode="#,##0.00_);[Red]\(#,##0.00\)"/>
    <numFmt numFmtId="178" formatCode="#,##0_ ;[Red]\-#,##0\ "/>
    <numFmt numFmtId="179" formatCode="#,##0.0_);[Red]\(#,##0.0\)"/>
    <numFmt numFmtId="180" formatCode="#,##0;[Red]\(#,##0\)"/>
    <numFmt numFmtId="181" formatCode="0.00_ ;[Red]\-0.00\ "/>
    <numFmt numFmtId="182" formatCode="#,##0.00_ ;[Red]\-#,##0.00\ "/>
    <numFmt numFmtId="183" formatCode="#,##0.0_ ;[Red]\-#,##0.0\ "/>
    <numFmt numFmtId="184" formatCode="0_ ;[Red]\-0\ "/>
    <numFmt numFmtId="185" formatCode="0&quot;E&quot;"/>
    <numFmt numFmtId="186" formatCode="0\A"/>
    <numFmt numFmtId="187" formatCode="0.0%"/>
    <numFmt numFmtId="188" formatCode="0.00_);[Red]\(0.00\)"/>
    <numFmt numFmtId="189" formatCode="0&quot;A&quot;"/>
    <numFmt numFmtId="190" formatCode="#,##0_ "/>
    <numFmt numFmtId="191" formatCode="#,##0.000_ "/>
    <numFmt numFmtId="192" formatCode="#,##0.0_ "/>
    <numFmt numFmtId="193" formatCode="0.0_ ;[Red]\-0.0\ "/>
    <numFmt numFmtId="194" formatCode="_ * #,##0.0000_ ;_ * \-#,##0.0000_ ;_ * &quot;-&quot;??_ ;_ @_ "/>
  </numFmts>
  <fonts count="134">
    <font>
      <sz val="12"/>
      <name val="宋体"/>
      <charset val="134"/>
    </font>
    <font>
      <sz val="12"/>
      <name val="Arial"/>
      <family val="2"/>
    </font>
    <font>
      <sz val="10.5"/>
      <name val="Arial"/>
      <family val="2"/>
    </font>
    <font>
      <sz val="10.5"/>
      <name val="微软雅黑"/>
      <family val="2"/>
      <charset val="134"/>
    </font>
    <font>
      <sz val="10.5"/>
      <name val="宋体"/>
      <family val="3"/>
      <charset val="134"/>
    </font>
    <font>
      <b/>
      <sz val="14"/>
      <name val="微软雅黑"/>
      <family val="2"/>
      <charset val="134"/>
    </font>
    <font>
      <sz val="12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0.5"/>
      <color indexed="9"/>
      <name val="Arial"/>
      <family val="2"/>
    </font>
    <font>
      <b/>
      <sz val="10.5"/>
      <name val="微软雅黑"/>
      <family val="2"/>
      <charset val="134"/>
    </font>
    <font>
      <sz val="10.5"/>
      <color indexed="12"/>
      <name val="微软雅黑"/>
      <family val="2"/>
      <charset val="134"/>
    </font>
    <font>
      <sz val="10.5"/>
      <color indexed="12"/>
      <name val="Arial"/>
      <family val="2"/>
    </font>
    <font>
      <sz val="10.5"/>
      <color rgb="FF333333"/>
      <name val="微软雅黑"/>
      <family val="2"/>
      <charset val="134"/>
    </font>
    <font>
      <sz val="10.5"/>
      <color rgb="FF333333"/>
      <name val="Arial"/>
      <family val="2"/>
    </font>
    <font>
      <sz val="10.5"/>
      <color theme="1"/>
      <name val="微软雅黑"/>
      <family val="2"/>
      <charset val="134"/>
    </font>
    <font>
      <sz val="10.5"/>
      <color theme="1"/>
      <name val="Arial"/>
      <family val="2"/>
    </font>
    <font>
      <sz val="10.5"/>
      <color rgb="FFFF0000"/>
      <name val="Arial"/>
      <family val="2"/>
    </font>
    <font>
      <sz val="10.5"/>
      <color theme="9" tint="-0.499984740745262"/>
      <name val="微软雅黑"/>
      <family val="2"/>
      <charset val="134"/>
    </font>
    <font>
      <b/>
      <sz val="10.5"/>
      <color theme="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0.5"/>
      <color theme="0"/>
      <name val="宋体"/>
      <family val="3"/>
      <charset val="134"/>
    </font>
    <font>
      <i/>
      <sz val="10.5"/>
      <name val="Arial"/>
      <family val="2"/>
    </font>
    <font>
      <b/>
      <sz val="10.5"/>
      <name val="Arial"/>
      <family val="2"/>
    </font>
    <font>
      <sz val="10.5"/>
      <name val="Arial "/>
      <family val="2"/>
    </font>
    <font>
      <sz val="10.5"/>
      <color theme="0"/>
      <name val="Arial"/>
      <family val="2"/>
    </font>
    <font>
      <sz val="10.5"/>
      <name val="Arial Narrow"/>
      <family val="2"/>
    </font>
    <font>
      <sz val="10.5"/>
      <color rgb="FFFF0000"/>
      <name val="微软雅黑"/>
      <family val="2"/>
      <charset val="134"/>
    </font>
    <font>
      <b/>
      <sz val="10.5"/>
      <name val="Arial "/>
      <family val="2"/>
    </font>
    <font>
      <b/>
      <sz val="10.5"/>
      <color indexed="9"/>
      <name val="宋体"/>
      <family val="3"/>
      <charset val="134"/>
      <scheme val="minor"/>
    </font>
    <font>
      <sz val="10.5"/>
      <name val="宋体"/>
      <family val="3"/>
      <charset val="134"/>
      <scheme val="minor"/>
    </font>
    <font>
      <b/>
      <sz val="10.5"/>
      <name val="宋体"/>
      <family val="3"/>
      <charset val="134"/>
    </font>
    <font>
      <b/>
      <sz val="10.5"/>
      <color indexed="9"/>
      <name val="Arial"/>
      <family val="2"/>
    </font>
    <font>
      <b/>
      <sz val="10.5"/>
      <color indexed="12"/>
      <name val="微软雅黑"/>
      <family val="2"/>
      <charset val="134"/>
    </font>
    <font>
      <i/>
      <sz val="10.5"/>
      <name val="微软雅黑"/>
      <family val="2"/>
      <charset val="134"/>
    </font>
    <font>
      <b/>
      <sz val="10.5"/>
      <color rgb="FFC00000"/>
      <name val="宋体"/>
      <family val="3"/>
      <charset val="134"/>
    </font>
    <font>
      <i/>
      <sz val="10.5"/>
      <name val="Arial Narrow"/>
      <family val="2"/>
    </font>
    <font>
      <b/>
      <sz val="10.5"/>
      <color theme="3" tint="-0.249977111117893"/>
      <name val="微软雅黑"/>
      <family val="2"/>
      <charset val="134"/>
    </font>
    <font>
      <sz val="10.5"/>
      <color theme="3" tint="-0.249977111117893"/>
      <name val="微软雅黑"/>
      <family val="2"/>
      <charset val="134"/>
    </font>
    <font>
      <b/>
      <sz val="10.5"/>
      <color indexed="12"/>
      <name val="Arial"/>
      <family val="2"/>
    </font>
    <font>
      <sz val="10.5"/>
      <color rgb="FF0000FF"/>
      <name val="Arial"/>
      <family val="2"/>
    </font>
    <font>
      <b/>
      <sz val="10.5"/>
      <color indexed="9"/>
      <name val="宋体"/>
      <family val="3"/>
      <charset val="134"/>
    </font>
    <font>
      <b/>
      <sz val="10.5"/>
      <color indexed="10"/>
      <name val="Arial"/>
      <family val="2"/>
    </font>
    <font>
      <i/>
      <sz val="10.5"/>
      <name val="宋体"/>
      <family val="3"/>
      <charset val="134"/>
    </font>
    <font>
      <sz val="10.5"/>
      <color rgb="FFFF0000"/>
      <name val="宋体"/>
      <family val="3"/>
      <charset val="134"/>
    </font>
    <font>
      <i/>
      <sz val="10.5"/>
      <color rgb="FF0000FF"/>
      <name val="Arial"/>
      <family val="2"/>
    </font>
    <font>
      <b/>
      <sz val="10.5"/>
      <color rgb="FFFF0000"/>
      <name val="微软雅黑"/>
      <family val="2"/>
      <charset val="134"/>
    </font>
    <font>
      <i/>
      <sz val="10.5"/>
      <color rgb="FF0000FF"/>
      <name val="微软雅黑"/>
      <family val="2"/>
      <charset val="134"/>
    </font>
    <font>
      <b/>
      <sz val="10.5"/>
      <color rgb="FF333333"/>
      <name val="微软雅黑"/>
      <family val="2"/>
      <charset val="134"/>
    </font>
    <font>
      <b/>
      <sz val="10.5"/>
      <color rgb="FFFF0000"/>
      <name val="Arial"/>
      <family val="2"/>
    </font>
    <font>
      <sz val="12"/>
      <name val="宋体"/>
      <family val="3"/>
      <charset val="134"/>
      <scheme val="minor"/>
    </font>
    <font>
      <b/>
      <sz val="10.5"/>
      <name val="宋体"/>
      <family val="3"/>
      <charset val="134"/>
      <scheme val="minor"/>
    </font>
    <font>
      <sz val="10"/>
      <name val="Arial"/>
      <family val="2"/>
    </font>
    <font>
      <b/>
      <sz val="10.5"/>
      <color rgb="FFFF0000"/>
      <name val="宋体"/>
      <family val="3"/>
      <charset val="134"/>
      <scheme val="minor"/>
    </font>
    <font>
      <i/>
      <sz val="10"/>
      <name val="Arial"/>
      <family val="2"/>
    </font>
    <font>
      <i/>
      <sz val="10.5"/>
      <name val="宋体"/>
      <family val="3"/>
      <charset val="134"/>
      <scheme val="minor"/>
    </font>
    <font>
      <b/>
      <sz val="10"/>
      <name val="Arial"/>
      <family val="2"/>
    </font>
    <font>
      <sz val="10"/>
      <name val="宋体"/>
      <family val="3"/>
      <charset val="134"/>
      <scheme val="minor"/>
    </font>
    <font>
      <b/>
      <sz val="12"/>
      <color rgb="FFFF0000"/>
      <name val="宋体"/>
      <family val="3"/>
      <charset val="134"/>
    </font>
    <font>
      <b/>
      <sz val="10.5"/>
      <color theme="5" tint="-0.249977111117893"/>
      <name val="楷体_GB2312"/>
      <family val="2"/>
    </font>
    <font>
      <sz val="10.5"/>
      <name val="楷体_GB2312"/>
      <family val="2"/>
    </font>
    <font>
      <sz val="10.5"/>
      <color theme="5" tint="-0.249977111117893"/>
      <name val="宋体"/>
      <family val="3"/>
      <charset val="134"/>
    </font>
    <font>
      <i/>
      <sz val="10.5"/>
      <color theme="5" tint="-0.249977111117893"/>
      <name val="Arial"/>
      <family val="2"/>
    </font>
    <font>
      <sz val="10.5"/>
      <color theme="3" tint="0.39982299264503923"/>
      <name val="Arial"/>
      <family val="2"/>
    </font>
    <font>
      <sz val="10.5"/>
      <color indexed="10"/>
      <name val="Arial"/>
      <family val="2"/>
    </font>
    <font>
      <b/>
      <i/>
      <sz val="10.5"/>
      <name val="Arial"/>
      <family val="2"/>
    </font>
    <font>
      <b/>
      <sz val="10.5"/>
      <color indexed="9"/>
      <name val="幼圆"/>
      <family val="3"/>
      <charset val="134"/>
    </font>
    <font>
      <i/>
      <sz val="10.5"/>
      <color indexed="12"/>
      <name val="微软雅黑"/>
      <family val="2"/>
      <charset val="134"/>
    </font>
    <font>
      <i/>
      <sz val="10.5"/>
      <color indexed="12"/>
      <name val="宋体"/>
      <family val="3"/>
      <charset val="134"/>
    </font>
    <font>
      <i/>
      <sz val="10.5"/>
      <color indexed="8"/>
      <name val="Arial"/>
      <family val="2"/>
    </font>
    <font>
      <sz val="10.5"/>
      <color indexed="8"/>
      <name val="Arial"/>
      <family val="2"/>
    </font>
    <font>
      <i/>
      <sz val="10.5"/>
      <color indexed="12"/>
      <name val="Arial"/>
      <family val="2"/>
    </font>
    <font>
      <b/>
      <sz val="10.5"/>
      <color rgb="FFFF0000"/>
      <name val="宋体"/>
      <family val="3"/>
      <charset val="134"/>
    </font>
    <font>
      <i/>
      <sz val="10.5"/>
      <color indexed="10"/>
      <name val="微软雅黑"/>
      <family val="2"/>
      <charset val="134"/>
    </font>
    <font>
      <sz val="10.5"/>
      <color theme="3" tint="0.39982299264503923"/>
      <name val="Arial Narrow"/>
      <family val="2"/>
    </font>
    <font>
      <sz val="10.5"/>
      <color rgb="FF0000FF"/>
      <name val="微软雅黑"/>
      <family val="2"/>
      <charset val="134"/>
    </font>
    <font>
      <b/>
      <sz val="10.5"/>
      <name val="Arial Narrow"/>
      <family val="2"/>
    </font>
    <font>
      <sz val="10.5"/>
      <name val="Times New Roman"/>
      <family val="1"/>
    </font>
    <font>
      <b/>
      <sz val="10.5"/>
      <name val="Times New Roman"/>
      <family val="1"/>
    </font>
    <font>
      <b/>
      <i/>
      <sz val="10.5"/>
      <color indexed="12"/>
      <name val="Arial"/>
      <family val="2"/>
    </font>
    <font>
      <b/>
      <sz val="10.5"/>
      <color indexed="10"/>
      <name val="宋体"/>
      <family val="3"/>
      <charset val="134"/>
    </font>
    <font>
      <sz val="10.5"/>
      <color rgb="FF0000FF"/>
      <name val="宋体"/>
      <family val="3"/>
      <charset val="134"/>
    </font>
    <font>
      <b/>
      <sz val="12"/>
      <name val="微软雅黑"/>
      <family val="2"/>
      <charset val="134"/>
    </font>
    <font>
      <b/>
      <sz val="10.5"/>
      <color indexed="9"/>
      <name val="微软雅黑"/>
      <family val="2"/>
      <charset val="134"/>
    </font>
    <font>
      <b/>
      <i/>
      <sz val="10.5"/>
      <name val="Arial Narrow"/>
      <family val="2"/>
    </font>
    <font>
      <i/>
      <sz val="10.5"/>
      <color rgb="FF0000FF"/>
      <name val="Arial Narrow"/>
      <family val="2"/>
    </font>
    <font>
      <sz val="10.5"/>
      <color rgb="FF0000FF"/>
      <name val="Arial Narrow"/>
      <family val="2"/>
    </font>
    <font>
      <b/>
      <sz val="10.5"/>
      <color rgb="FF0000FF"/>
      <name val="微软雅黑"/>
      <family val="2"/>
      <charset val="134"/>
    </font>
    <font>
      <b/>
      <sz val="10.5"/>
      <color rgb="FF0000FF"/>
      <name val="Arial"/>
      <family val="2"/>
    </font>
    <font>
      <b/>
      <sz val="10.5"/>
      <color rgb="FFFFFF00"/>
      <name val="Arial"/>
      <family val="2"/>
    </font>
    <font>
      <b/>
      <sz val="10.5"/>
      <color theme="0"/>
      <name val="Arial"/>
      <family val="2"/>
    </font>
    <font>
      <sz val="12"/>
      <color rgb="FF0000FF"/>
      <name val="宋体"/>
      <family val="3"/>
      <charset val="134"/>
    </font>
    <font>
      <b/>
      <sz val="10.5"/>
      <color indexed="9"/>
      <name val="Arial Narrow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Arial Narrow"/>
      <family val="2"/>
    </font>
    <font>
      <sz val="9"/>
      <name val="Times New Roman"/>
      <family val="1"/>
    </font>
    <font>
      <b/>
      <sz val="9"/>
      <color theme="0"/>
      <name val="宋体"/>
      <family val="3"/>
      <charset val="134"/>
    </font>
    <font>
      <sz val="9"/>
      <color indexed="9"/>
      <name val="宋体"/>
      <family val="3"/>
      <charset val="134"/>
    </font>
    <font>
      <b/>
      <sz val="10"/>
      <color theme="0"/>
      <name val="宋体"/>
      <family val="3"/>
      <charset val="134"/>
    </font>
    <font>
      <sz val="10"/>
      <color theme="0"/>
      <name val="宋体"/>
      <family val="3"/>
      <charset val="134"/>
    </font>
    <font>
      <b/>
      <sz val="10"/>
      <color theme="0"/>
      <name val="Times New Roman"/>
      <family val="1"/>
    </font>
    <font>
      <b/>
      <sz val="10"/>
      <color rgb="FF000000"/>
      <name val="宋体"/>
      <family val="3"/>
      <charset val="134"/>
    </font>
    <font>
      <sz val="10"/>
      <color indexed="9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10"/>
      <name val="Times New Roman"/>
      <family val="1"/>
    </font>
    <font>
      <sz val="10"/>
      <color rgb="FFFF0000"/>
      <name val="宋体"/>
      <family val="3"/>
      <charset val="134"/>
    </font>
    <font>
      <u/>
      <sz val="9"/>
      <color rgb="FF0000FF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color theme="0"/>
      <name val="Arial"/>
      <family val="2"/>
    </font>
    <font>
      <sz val="9"/>
      <color theme="0"/>
      <name val="宋体"/>
      <family val="3"/>
      <charset val="134"/>
    </font>
    <font>
      <u/>
      <sz val="9"/>
      <color indexed="12"/>
      <name val="Arial"/>
      <family val="2"/>
    </font>
    <font>
      <sz val="9"/>
      <color indexed="12"/>
      <name val="宋体"/>
      <family val="3"/>
      <charset val="134"/>
    </font>
    <font>
      <b/>
      <vertAlign val="subscript"/>
      <sz val="10"/>
      <name val="Bookman"/>
      <family val="1"/>
    </font>
    <font>
      <u/>
      <sz val="12"/>
      <color indexed="12"/>
      <name val="宋体"/>
      <family val="3"/>
      <charset val="134"/>
    </font>
    <font>
      <b/>
      <sz val="8"/>
      <name val="Arial"/>
      <family val="2"/>
    </font>
    <font>
      <sz val="9"/>
      <name val="LucidaSans"/>
      <family val="1"/>
    </font>
    <font>
      <sz val="10"/>
      <name val="MS Sans Serif"/>
      <family val="1"/>
    </font>
    <font>
      <sz val="8"/>
      <color indexed="8"/>
      <name val="Arial"/>
      <family val="2"/>
    </font>
    <font>
      <sz val="7"/>
      <name val="Arial"/>
      <family val="2"/>
    </font>
    <font>
      <vertAlign val="subscript"/>
      <sz val="10"/>
      <name val="Arial"/>
      <family val="2"/>
    </font>
    <font>
      <sz val="12"/>
      <name val="Times New Roman"/>
      <family val="1"/>
    </font>
    <font>
      <b/>
      <sz val="10"/>
      <color indexed="63"/>
      <name val="宋体"/>
      <family val="3"/>
      <charset val="134"/>
    </font>
    <font>
      <sz val="10"/>
      <color indexed="63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i/>
      <sz val="10.5"/>
      <color indexed="62"/>
      <name val="Arial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2"/>
      <name val="Arial"/>
      <family val="2"/>
    </font>
    <font>
      <b/>
      <sz val="10.5"/>
      <name val="Arial "/>
      <family val="2"/>
    </font>
    <font>
      <u/>
      <sz val="10"/>
      <color indexed="12"/>
      <name val="宋体"/>
      <family val="3"/>
      <charset val="134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7E4F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3998229926450392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41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double">
        <color indexed="9"/>
      </left>
      <right style="double">
        <color indexed="9"/>
      </right>
      <top/>
      <bottom style="double">
        <color indexed="9"/>
      </bottom>
      <diagonal/>
    </border>
    <border>
      <left/>
      <right/>
      <top style="double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double">
        <color auto="1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51"/>
      </left>
      <right style="thin">
        <color indexed="51"/>
      </right>
      <top style="medium">
        <color auto="1"/>
      </top>
      <bottom style="thin">
        <color indexed="5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3" tint="0.39982299264503923"/>
      </left>
      <right/>
      <top style="thin">
        <color theme="3" tint="0.39982299264503923"/>
      </top>
      <bottom/>
      <diagonal/>
    </border>
    <border>
      <left/>
      <right style="thin">
        <color theme="3" tint="0.39982299264503923"/>
      </right>
      <top style="thin">
        <color theme="3" tint="0.39982299264503923"/>
      </top>
      <bottom/>
      <diagonal/>
    </border>
    <border>
      <left/>
      <right/>
      <top style="thin">
        <color theme="3" tint="0.39982299264503923"/>
      </top>
      <bottom/>
      <diagonal/>
    </border>
    <border>
      <left style="thin">
        <color theme="3" tint="0.39982299264503923"/>
      </left>
      <right/>
      <top/>
      <bottom/>
      <diagonal/>
    </border>
    <border>
      <left/>
      <right style="thin">
        <color theme="3" tint="0.39982299264503923"/>
      </right>
      <top/>
      <bottom/>
      <diagonal/>
    </border>
    <border>
      <left style="thin">
        <color theme="3" tint="0.39991454817346722"/>
      </left>
      <right/>
      <top/>
      <bottom/>
      <diagonal/>
    </border>
    <border>
      <left/>
      <right style="thin">
        <color theme="3" tint="0.39991454817346722"/>
      </right>
      <top/>
      <bottom/>
      <diagonal/>
    </border>
    <border>
      <left/>
      <right style="thin">
        <color theme="3" tint="0.39988402966399123"/>
      </right>
      <top/>
      <bottom/>
      <diagonal/>
    </border>
    <border>
      <left style="thin">
        <color theme="3" tint="0.39991454817346722"/>
      </left>
      <right/>
      <top/>
      <bottom style="thin">
        <color theme="4"/>
      </bottom>
      <diagonal/>
    </border>
    <border>
      <left/>
      <right/>
      <top/>
      <bottom style="thin">
        <color theme="3" tint="0.39985351115451523"/>
      </bottom>
      <diagonal/>
    </border>
    <border>
      <left/>
      <right style="thin">
        <color theme="3" tint="0.39985351115451523"/>
      </right>
      <top/>
      <bottom style="thin">
        <color theme="3" tint="0.39985351115451523"/>
      </bottom>
      <diagonal/>
    </border>
    <border>
      <left/>
      <right/>
      <top style="thin">
        <color theme="3" tint="0.39979247413556324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double">
        <color indexed="64"/>
      </bottom>
      <diagonal/>
    </border>
  </borders>
  <cellStyleXfs count="45">
    <xf numFmtId="0" fontId="0" fillId="0" borderId="0">
      <alignment vertical="center"/>
    </xf>
    <xf numFmtId="2" fontId="114" fillId="0" borderId="10"/>
    <xf numFmtId="43" fontId="127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top"/>
      <protection locked="0"/>
    </xf>
    <xf numFmtId="0" fontId="116" fillId="17" borderId="38">
      <alignment horizontal="left"/>
    </xf>
    <xf numFmtId="9" fontId="127" fillId="0" borderId="0" applyFont="0" applyFill="0" applyBorder="0" applyAlignment="0" applyProtection="0">
      <alignment vertical="center"/>
    </xf>
    <xf numFmtId="9" fontId="127" fillId="0" borderId="0" applyFont="0" applyFill="0" applyBorder="0" applyAlignment="0" applyProtection="0">
      <alignment vertical="center"/>
    </xf>
    <xf numFmtId="0" fontId="127" fillId="0" borderId="0">
      <alignment vertical="center"/>
    </xf>
    <xf numFmtId="9" fontId="127" fillId="0" borderId="0" applyFont="0" applyFill="0" applyBorder="0" applyAlignment="0" applyProtection="0">
      <alignment vertical="center"/>
    </xf>
    <xf numFmtId="9" fontId="127" fillId="0" borderId="0" applyFont="0" applyFill="0" applyBorder="0" applyAlignment="0" applyProtection="0">
      <alignment vertical="center"/>
    </xf>
    <xf numFmtId="9" fontId="127" fillId="0" borderId="0" applyFont="0" applyFill="0" applyBorder="0" applyAlignment="0" applyProtection="0">
      <alignment vertical="center"/>
    </xf>
    <xf numFmtId="0" fontId="127" fillId="0" borderId="0">
      <alignment vertical="center"/>
    </xf>
    <xf numFmtId="40" fontId="117" fillId="0" borderId="0" applyFont="0" applyFill="0" applyBorder="0" applyAlignment="0" applyProtection="0"/>
    <xf numFmtId="9" fontId="127" fillId="0" borderId="0" applyFont="0" applyFill="0" applyBorder="0" applyAlignment="0" applyProtection="0">
      <alignment vertical="center"/>
    </xf>
    <xf numFmtId="0" fontId="127" fillId="0" borderId="0">
      <alignment vertical="center"/>
    </xf>
    <xf numFmtId="0" fontId="127" fillId="0" borderId="0"/>
    <xf numFmtId="0" fontId="118" fillId="0" borderId="0"/>
    <xf numFmtId="43" fontId="127" fillId="0" borderId="0" applyFont="0" applyFill="0" applyBorder="0" applyAlignment="0" applyProtection="0">
      <alignment vertical="center"/>
    </xf>
    <xf numFmtId="179" fontId="119" fillId="18" borderId="39">
      <protection locked="0"/>
    </xf>
    <xf numFmtId="180" fontId="120" fillId="0" borderId="0" applyBorder="0" applyAlignment="0"/>
    <xf numFmtId="9" fontId="127" fillId="0" borderId="0" applyFont="0" applyFill="0" applyBorder="0" applyAlignment="0" applyProtection="0">
      <alignment vertical="center"/>
    </xf>
    <xf numFmtId="10" fontId="51" fillId="0" borderId="0" applyFont="0" applyFill="0" applyBorder="0" applyAlignment="0" applyProtection="0"/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>
      <alignment vertical="center"/>
    </xf>
    <xf numFmtId="2" fontId="121" fillId="0" borderId="0"/>
    <xf numFmtId="0" fontId="51" fillId="0" borderId="0" applyNumberFormat="0" applyFill="0" applyBorder="0" applyAlignment="0" applyProtection="0"/>
    <xf numFmtId="0" fontId="115" fillId="0" borderId="0" applyNumberFormat="0" applyFill="0" applyBorder="0" applyAlignment="0" applyProtection="0">
      <alignment vertical="top"/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43" fontId="127" fillId="0" borderId="0" applyFont="0" applyFill="0" applyBorder="0" applyAlignment="0" applyProtection="0">
      <alignment vertical="center"/>
    </xf>
    <xf numFmtId="43" fontId="127" fillId="0" borderId="0" applyFont="0" applyFill="0" applyBorder="0" applyAlignment="0" applyProtection="0">
      <alignment vertical="center"/>
    </xf>
    <xf numFmtId="43" fontId="127" fillId="0" borderId="0" applyFont="0" applyFill="0" applyBorder="0" applyAlignment="0" applyProtection="0">
      <alignment vertical="center"/>
    </xf>
    <xf numFmtId="43" fontId="127" fillId="0" borderId="0" applyFont="0" applyFill="0" applyBorder="0" applyAlignment="0" applyProtection="0">
      <alignment vertical="center"/>
    </xf>
    <xf numFmtId="43" fontId="127" fillId="0" borderId="0" applyFont="0" applyFill="0" applyBorder="0" applyAlignment="0" applyProtection="0">
      <alignment vertical="center"/>
    </xf>
    <xf numFmtId="43" fontId="127" fillId="0" borderId="0" applyFont="0" applyFill="0" applyBorder="0" applyAlignment="0" applyProtection="0">
      <alignment vertical="center"/>
    </xf>
    <xf numFmtId="0" fontId="122" fillId="0" borderId="0"/>
  </cellStyleXfs>
  <cellXfs count="578">
    <xf numFmtId="0" fontId="0" fillId="0" borderId="0" xfId="0">
      <alignment vertical="center"/>
    </xf>
    <xf numFmtId="0" fontId="1" fillId="2" borderId="0" xfId="31" applyFont="1" applyFill="1" applyAlignment="1">
      <alignment horizontal="left" vertical="center"/>
    </xf>
    <xf numFmtId="0" fontId="2" fillId="0" borderId="0" xfId="31" applyFont="1" applyAlignment="1">
      <alignment horizontal="right" vertical="center"/>
    </xf>
    <xf numFmtId="43" fontId="2" fillId="0" borderId="0" xfId="2" applyFont="1" applyAlignment="1">
      <alignment horizontal="right" vertical="center"/>
    </xf>
    <xf numFmtId="0" fontId="2" fillId="2" borderId="0" xfId="31" applyFont="1" applyFill="1" applyAlignment="1">
      <alignment horizontal="right" vertical="center"/>
    </xf>
    <xf numFmtId="0" fontId="6" fillId="4" borderId="0" xfId="31" applyFont="1" applyFill="1" applyAlignment="1">
      <alignment horizontal="left" vertical="center"/>
    </xf>
    <xf numFmtId="0" fontId="8" fillId="4" borderId="0" xfId="31" applyFont="1" applyFill="1" applyAlignment="1">
      <alignment horizontal="left"/>
    </xf>
    <xf numFmtId="0" fontId="2" fillId="4" borderId="0" xfId="31" applyFont="1" applyFill="1" applyAlignment="1">
      <alignment horizontal="left" vertical="center"/>
    </xf>
    <xf numFmtId="49" fontId="9" fillId="2" borderId="0" xfId="31" applyNumberFormat="1" applyFont="1" applyFill="1" applyAlignment="1">
      <alignment horizontal="center"/>
    </xf>
    <xf numFmtId="49" fontId="2" fillId="2" borderId="0" xfId="31" applyNumberFormat="1" applyFont="1" applyFill="1" applyAlignment="1">
      <alignment horizontal="center"/>
    </xf>
    <xf numFmtId="181" fontId="2" fillId="2" borderId="4" xfId="31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3" fillId="0" borderId="5" xfId="31" applyFont="1" applyBorder="1" applyAlignment="1">
      <alignment horizontal="center"/>
    </xf>
    <xf numFmtId="0" fontId="11" fillId="0" borderId="6" xfId="0" applyFont="1" applyBorder="1" applyAlignment="1">
      <alignment horizontal="right"/>
    </xf>
    <xf numFmtId="0" fontId="3" fillId="2" borderId="0" xfId="31" applyFont="1" applyFill="1" applyAlignment="1">
      <alignment horizontal="center"/>
    </xf>
    <xf numFmtId="0" fontId="3" fillId="2" borderId="0" xfId="0" applyFont="1" applyFill="1" applyAlignment="1"/>
    <xf numFmtId="0" fontId="12" fillId="2" borderId="0" xfId="0" applyFont="1" applyFill="1" applyAlignment="1">
      <alignment horizontal="left" vertical="center" wrapText="1"/>
    </xf>
    <xf numFmtId="182" fontId="2" fillId="2" borderId="0" xfId="15" applyNumberFormat="1" applyFont="1" applyFill="1" applyAlignment="1">
      <alignment horizontal="right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181" fontId="2" fillId="2" borderId="0" xfId="15" applyNumberFormat="1" applyFont="1" applyFill="1" applyAlignment="1">
      <alignment horizontal="right"/>
    </xf>
    <xf numFmtId="0" fontId="3" fillId="2" borderId="7" xfId="31" applyFont="1" applyFill="1" applyBorder="1" applyAlignment="1">
      <alignment horizontal="center"/>
    </xf>
    <xf numFmtId="181" fontId="2" fillId="2" borderId="7" xfId="15" applyNumberFormat="1" applyFont="1" applyFill="1" applyBorder="1" applyAlignment="1">
      <alignment horizontal="right"/>
    </xf>
    <xf numFmtId="0" fontId="2" fillId="2" borderId="4" xfId="31" applyFont="1" applyFill="1" applyBorder="1" applyAlignment="1">
      <alignment horizontal="center"/>
    </xf>
    <xf numFmtId="0" fontId="3" fillId="0" borderId="8" xfId="31" applyFont="1" applyBorder="1" applyAlignment="1">
      <alignment horizontal="center"/>
    </xf>
    <xf numFmtId="0" fontId="11" fillId="0" borderId="8" xfId="31" applyFont="1" applyBorder="1" applyAlignment="1">
      <alignment horizontal="right"/>
    </xf>
    <xf numFmtId="0" fontId="3" fillId="2" borderId="9" xfId="31" applyFont="1" applyFill="1" applyBorder="1" applyAlignment="1">
      <alignment horizontal="center"/>
    </xf>
    <xf numFmtId="0" fontId="14" fillId="2" borderId="0" xfId="0" applyFont="1" applyFill="1" applyAlignment="1"/>
    <xf numFmtId="182" fontId="2" fillId="2" borderId="0" xfId="31" applyNumberFormat="1" applyFont="1" applyFill="1" applyAlignment="1">
      <alignment horizontal="right" vertical="center"/>
    </xf>
    <xf numFmtId="43" fontId="2" fillId="2" borderId="0" xfId="2" applyFont="1" applyFill="1" applyAlignment="1">
      <alignment horizontal="right" vertical="center"/>
    </xf>
    <xf numFmtId="0" fontId="2" fillId="4" borderId="0" xfId="2" applyNumberFormat="1" applyFont="1" applyFill="1" applyBorder="1" applyAlignment="1">
      <alignment horizontal="left" vertical="center"/>
    </xf>
    <xf numFmtId="43" fontId="2" fillId="2" borderId="4" xfId="2" applyFont="1" applyFill="1" applyBorder="1" applyAlignment="1">
      <alignment horizontal="right" vertical="center"/>
    </xf>
    <xf numFmtId="182" fontId="2" fillId="2" borderId="0" xfId="2" applyNumberFormat="1" applyFont="1" applyFill="1" applyAlignment="1">
      <alignment horizontal="right"/>
    </xf>
    <xf numFmtId="43" fontId="2" fillId="2" borderId="0" xfId="2" applyFont="1" applyFill="1" applyAlignment="1">
      <alignment horizontal="right"/>
    </xf>
    <xf numFmtId="43" fontId="2" fillId="2" borderId="7" xfId="2" applyFont="1" applyFill="1" applyBorder="1" applyAlignment="1">
      <alignment horizontal="right"/>
    </xf>
    <xf numFmtId="182" fontId="2" fillId="2" borderId="0" xfId="2" applyNumberFormat="1" applyFont="1" applyFill="1" applyAlignment="1">
      <alignment horizontal="right" vertical="center"/>
    </xf>
    <xf numFmtId="0" fontId="2" fillId="2" borderId="0" xfId="31" applyFont="1" applyFill="1" applyAlignment="1">
      <alignment horizontal="center" vertical="center"/>
    </xf>
    <xf numFmtId="43" fontId="2" fillId="2" borderId="4" xfId="2" applyFont="1" applyFill="1" applyBorder="1" applyAlignment="1">
      <alignment horizontal="center" vertical="center"/>
    </xf>
    <xf numFmtId="43" fontId="2" fillId="2" borderId="0" xfId="2" applyFont="1" applyFill="1" applyBorder="1" applyAlignment="1">
      <alignment horizontal="center" vertical="center"/>
    </xf>
    <xf numFmtId="0" fontId="16" fillId="2" borderId="0" xfId="31" applyFont="1" applyFill="1" applyAlignment="1">
      <alignment horizontal="center" vertical="center"/>
    </xf>
    <xf numFmtId="182" fontId="2" fillId="2" borderId="7" xfId="31" applyNumberFormat="1" applyFont="1" applyFill="1" applyBorder="1" applyAlignment="1">
      <alignment horizontal="right" vertical="center"/>
    </xf>
    <xf numFmtId="0" fontId="2" fillId="2" borderId="0" xfId="0" applyFont="1" applyFill="1" applyAlignment="1"/>
    <xf numFmtId="182" fontId="2" fillId="2" borderId="7" xfId="2" applyNumberFormat="1" applyFont="1" applyFill="1" applyBorder="1" applyAlignment="1">
      <alignment horizontal="right" vertical="center"/>
    </xf>
    <xf numFmtId="177" fontId="2" fillId="2" borderId="11" xfId="2" applyNumberFormat="1" applyFont="1" applyFill="1" applyBorder="1" applyAlignment="1">
      <alignment horizontal="right" vertical="center"/>
    </xf>
    <xf numFmtId="177" fontId="2" fillId="2" borderId="0" xfId="2" applyNumberFormat="1" applyFont="1" applyFill="1" applyBorder="1" applyAlignment="1">
      <alignment horizontal="right" vertical="center"/>
    </xf>
    <xf numFmtId="0" fontId="2" fillId="2" borderId="0" xfId="31" applyFont="1" applyFill="1" applyAlignment="1">
      <alignment horizontal="left"/>
    </xf>
    <xf numFmtId="182" fontId="2" fillId="2" borderId="0" xfId="2" applyNumberFormat="1" applyFont="1" applyFill="1" applyBorder="1" applyAlignment="1">
      <alignment horizontal="right" vertical="center"/>
    </xf>
    <xf numFmtId="0" fontId="2" fillId="2" borderId="7" xfId="31" applyFont="1" applyFill="1" applyBorder="1" applyAlignment="1">
      <alignment horizontal="left"/>
    </xf>
    <xf numFmtId="0" fontId="3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181" fontId="7" fillId="4" borderId="0" xfId="0" applyNumberFormat="1" applyFont="1" applyFill="1" applyAlignment="1">
      <alignment horizontal="left"/>
    </xf>
    <xf numFmtId="184" fontId="2" fillId="2" borderId="13" xfId="0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10" fontId="2" fillId="5" borderId="0" xfId="0" applyNumberFormat="1" applyFont="1" applyFill="1" applyAlignment="1">
      <alignment horizontal="center" vertical="center"/>
    </xf>
    <xf numFmtId="10" fontId="2" fillId="2" borderId="13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84" fontId="2" fillId="2" borderId="0" xfId="0" applyNumberFormat="1" applyFont="1" applyFill="1" applyAlignment="1">
      <alignment horizontal="center" vertical="center"/>
    </xf>
    <xf numFmtId="181" fontId="7" fillId="4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185" fontId="2" fillId="6" borderId="0" xfId="0" applyNumberFormat="1" applyFont="1" applyFill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2" fillId="0" borderId="0" xfId="0" applyNumberFormat="1" applyFont="1">
      <alignment vertical="center"/>
    </xf>
    <xf numFmtId="10" fontId="2" fillId="0" borderId="0" xfId="0" applyNumberFormat="1" applyFont="1" applyAlignment="1">
      <alignment horizontal="right" vertical="center"/>
    </xf>
    <xf numFmtId="43" fontId="4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186" fontId="2" fillId="6" borderId="0" xfId="0" applyNumberFormat="1" applyFont="1" applyFill="1" applyAlignment="1">
      <alignment horizontal="right" vertical="center"/>
    </xf>
    <xf numFmtId="185" fontId="2" fillId="6" borderId="0" xfId="0" applyNumberFormat="1" applyFont="1" applyFill="1" applyAlignment="1">
      <alignment horizontal="right" vertical="center"/>
    </xf>
    <xf numFmtId="182" fontId="2" fillId="2" borderId="0" xfId="14" applyNumberFormat="1" applyFont="1" applyFill="1" applyAlignment="1">
      <alignment horizontal="right" vertical="center"/>
    </xf>
    <xf numFmtId="182" fontId="2" fillId="0" borderId="0" xfId="0" applyNumberFormat="1" applyFont="1">
      <alignment vertical="center"/>
    </xf>
    <xf numFmtId="10" fontId="21" fillId="2" borderId="0" xfId="14" applyNumberFormat="1" applyFont="1" applyFill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82" fontId="2" fillId="2" borderId="0" xfId="0" applyNumberFormat="1" applyFont="1" applyFill="1" applyAlignment="1">
      <alignment horizontal="right" vertical="center"/>
    </xf>
    <xf numFmtId="0" fontId="9" fillId="0" borderId="0" xfId="0" applyFont="1">
      <alignment vertical="center"/>
    </xf>
    <xf numFmtId="182" fontId="22" fillId="2" borderId="0" xfId="14" applyNumberFormat="1" applyFont="1" applyFill="1" applyAlignment="1">
      <alignment horizontal="right" vertical="center"/>
    </xf>
    <xf numFmtId="182" fontId="22" fillId="0" borderId="0" xfId="0" applyNumberFormat="1" applyFont="1" applyAlignment="1">
      <alignment horizontal="right" vertical="center"/>
    </xf>
    <xf numFmtId="0" fontId="9" fillId="2" borderId="0" xfId="0" applyFont="1" applyFill="1">
      <alignment vertical="center"/>
    </xf>
    <xf numFmtId="182" fontId="22" fillId="0" borderId="0" xfId="0" applyNumberFormat="1" applyFont="1">
      <alignment vertical="center"/>
    </xf>
    <xf numFmtId="0" fontId="3" fillId="0" borderId="15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187" fontId="11" fillId="0" borderId="16" xfId="5" applyNumberFormat="1" applyFont="1" applyFill="1" applyBorder="1" applyAlignment="1">
      <alignment vertical="center"/>
    </xf>
    <xf numFmtId="0" fontId="4" fillId="0" borderId="11" xfId="0" applyFont="1" applyBorder="1">
      <alignment vertical="center"/>
    </xf>
    <xf numFmtId="182" fontId="4" fillId="0" borderId="0" xfId="0" applyNumberFormat="1" applyFont="1" applyAlignment="1">
      <alignment horizontal="right" vertical="center"/>
    </xf>
    <xf numFmtId="0" fontId="3" fillId="0" borderId="1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87" fontId="11" fillId="0" borderId="13" xfId="5" applyNumberFormat="1" applyFont="1" applyFill="1" applyBorder="1" applyAlignment="1">
      <alignment vertical="center"/>
    </xf>
    <xf numFmtId="182" fontId="23" fillId="7" borderId="18" xfId="2" applyNumberFormat="1" applyFont="1" applyFill="1" applyBorder="1" applyAlignment="1">
      <alignment horizontal="right" vertical="center"/>
    </xf>
    <xf numFmtId="10" fontId="23" fillId="6" borderId="0" xfId="5" applyNumberFormat="1" applyFont="1" applyFill="1" applyBorder="1" applyAlignment="1">
      <alignment vertical="center"/>
    </xf>
    <xf numFmtId="182" fontId="22" fillId="2" borderId="0" xfId="0" applyNumberFormat="1" applyFont="1" applyFill="1" applyAlignment="1">
      <alignment horizontal="right" vertical="center"/>
    </xf>
    <xf numFmtId="10" fontId="23" fillId="6" borderId="18" xfId="5" applyNumberFormat="1" applyFont="1" applyFill="1" applyBorder="1" applyAlignment="1">
      <alignment vertical="center"/>
    </xf>
    <xf numFmtId="182" fontId="23" fillId="2" borderId="0" xfId="0" applyNumberFormat="1" applyFont="1" applyFill="1" applyAlignment="1">
      <alignment horizontal="right" vertical="center"/>
    </xf>
    <xf numFmtId="10" fontId="23" fillId="8" borderId="18" xfId="5" applyNumberFormat="1" applyFont="1" applyFill="1" applyBorder="1" applyAlignment="1">
      <alignment vertical="center"/>
    </xf>
    <xf numFmtId="176" fontId="2" fillId="2" borderId="0" xfId="0" applyNumberFormat="1" applyFont="1" applyFill="1" applyAlignment="1">
      <alignment horizontal="right" vertical="center"/>
    </xf>
    <xf numFmtId="0" fontId="9" fillId="9" borderId="0" xfId="31" applyFont="1" applyFill="1">
      <alignment vertical="center"/>
    </xf>
    <xf numFmtId="182" fontId="22" fillId="9" borderId="0" xfId="31" applyNumberFormat="1" applyFont="1" applyFill="1" applyAlignment="1">
      <alignment horizontal="right" vertical="center"/>
    </xf>
    <xf numFmtId="10" fontId="23" fillId="6" borderId="20" xfId="5" applyNumberFormat="1" applyFont="1" applyFill="1" applyBorder="1" applyAlignment="1">
      <alignment vertical="center"/>
    </xf>
    <xf numFmtId="182" fontId="23" fillId="2" borderId="6" xfId="0" applyNumberFormat="1" applyFont="1" applyFill="1" applyBorder="1" applyAlignment="1">
      <alignment horizontal="right" vertical="center"/>
    </xf>
    <xf numFmtId="0" fontId="2" fillId="6" borderId="0" xfId="0" applyFont="1" applyFill="1" applyAlignment="1">
      <alignment horizontal="left"/>
    </xf>
    <xf numFmtId="185" fontId="2" fillId="6" borderId="0" xfId="0" applyNumberFormat="1" applyFont="1" applyFill="1" applyAlignment="1">
      <alignment horizontal="right"/>
    </xf>
    <xf numFmtId="182" fontId="2" fillId="0" borderId="0" xfId="2" applyNumberFormat="1" applyFont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4" fillId="0" borderId="21" xfId="0" applyFont="1" applyBorder="1">
      <alignment vertical="center"/>
    </xf>
    <xf numFmtId="182" fontId="4" fillId="0" borderId="22" xfId="0" applyNumberFormat="1" applyFont="1" applyBorder="1" applyAlignment="1">
      <alignment horizontal="right" vertical="center"/>
    </xf>
    <xf numFmtId="10" fontId="23" fillId="8" borderId="0" xfId="5" applyNumberFormat="1" applyFont="1" applyFill="1" applyBorder="1" applyAlignment="1">
      <alignment vertical="center"/>
    </xf>
    <xf numFmtId="10" fontId="23" fillId="6" borderId="22" xfId="5" applyNumberFormat="1" applyFont="1" applyFill="1" applyBorder="1" applyAlignment="1">
      <alignment vertical="center"/>
    </xf>
    <xf numFmtId="182" fontId="23" fillId="2" borderId="22" xfId="0" applyNumberFormat="1" applyFont="1" applyFill="1" applyBorder="1" applyAlignment="1">
      <alignment horizontal="right" vertical="center"/>
    </xf>
    <xf numFmtId="182" fontId="23" fillId="7" borderId="0" xfId="0" applyNumberFormat="1" applyFont="1" applyFill="1" applyAlignment="1">
      <alignment horizontal="right" vertical="center"/>
    </xf>
    <xf numFmtId="182" fontId="23" fillId="2" borderId="23" xfId="0" applyNumberFormat="1" applyFont="1" applyFill="1" applyBorder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0" fontId="9" fillId="9" borderId="0" xfId="0" applyFont="1" applyFill="1">
      <alignment vertical="center"/>
    </xf>
    <xf numFmtId="182" fontId="22" fillId="9" borderId="0" xfId="0" applyNumberFormat="1" applyFont="1" applyFill="1" applyAlignment="1">
      <alignment horizontal="right" vertical="center"/>
    </xf>
    <xf numFmtId="182" fontId="25" fillId="0" borderId="0" xfId="0" applyNumberFormat="1" applyFont="1">
      <alignment vertical="center"/>
    </xf>
    <xf numFmtId="0" fontId="26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82" fontId="2" fillId="0" borderId="0" xfId="2" applyNumberFormat="1" applyFont="1" applyAlignment="1">
      <alignment horizontal="right" vertical="center"/>
    </xf>
    <xf numFmtId="182" fontId="2" fillId="0" borderId="0" xfId="2" applyNumberFormat="1" applyFont="1">
      <alignment vertical="center"/>
    </xf>
    <xf numFmtId="10" fontId="2" fillId="0" borderId="0" xfId="2" applyNumberFormat="1" applyFont="1" applyAlignment="1">
      <alignment horizontal="right" vertical="center"/>
    </xf>
    <xf numFmtId="182" fontId="22" fillId="0" borderId="0" xfId="2" applyNumberFormat="1" applyFont="1" applyAlignment="1">
      <alignment horizontal="right" vertical="center"/>
    </xf>
    <xf numFmtId="182" fontId="23" fillId="0" borderId="0" xfId="0" applyNumberFormat="1" applyFont="1" applyAlignment="1">
      <alignment horizontal="right" vertical="center"/>
    </xf>
    <xf numFmtId="182" fontId="27" fillId="2" borderId="0" xfId="0" applyNumberFormat="1" applyFont="1" applyFill="1" applyAlignment="1">
      <alignment horizontal="right" vertical="center"/>
    </xf>
    <xf numFmtId="176" fontId="23" fillId="0" borderId="0" xfId="0" applyNumberFormat="1" applyFont="1" applyAlignment="1">
      <alignment horizontal="right" vertical="center"/>
    </xf>
    <xf numFmtId="182" fontId="27" fillId="9" borderId="0" xfId="0" applyNumberFormat="1" applyFont="1" applyFill="1" applyAlignment="1">
      <alignment horizontal="right" vertical="center"/>
    </xf>
    <xf numFmtId="0" fontId="23" fillId="0" borderId="0" xfId="0" applyFont="1" applyAlignment="1">
      <alignment horizontal="right" vertical="center"/>
    </xf>
    <xf numFmtId="186" fontId="4" fillId="0" borderId="0" xfId="0" applyNumberFormat="1" applyFont="1" applyAlignment="1">
      <alignment horizontal="right" vertical="center"/>
    </xf>
    <xf numFmtId="181" fontId="28" fillId="2" borderId="0" xfId="0" applyNumberFormat="1" applyFont="1" applyFill="1" applyAlignment="1">
      <alignment horizontal="left"/>
    </xf>
    <xf numFmtId="0" fontId="29" fillId="2" borderId="0" xfId="0" applyFont="1" applyFill="1">
      <alignment vertical="center"/>
    </xf>
    <xf numFmtId="0" fontId="30" fillId="2" borderId="0" xfId="0" applyFont="1" applyFill="1">
      <alignment vertical="center"/>
    </xf>
    <xf numFmtId="0" fontId="4" fillId="2" borderId="0" xfId="0" applyFont="1" applyFill="1">
      <alignment vertical="center"/>
    </xf>
    <xf numFmtId="181" fontId="28" fillId="4" borderId="0" xfId="0" applyNumberFormat="1" applyFont="1" applyFill="1" applyAlignment="1">
      <alignment horizontal="left"/>
    </xf>
    <xf numFmtId="181" fontId="31" fillId="4" borderId="0" xfId="0" applyNumberFormat="1" applyFont="1" applyFill="1" applyAlignment="1">
      <alignment horizontal="left"/>
    </xf>
    <xf numFmtId="0" fontId="32" fillId="2" borderId="0" xfId="0" applyFont="1" applyFill="1" applyAlignment="1"/>
    <xf numFmtId="0" fontId="2" fillId="2" borderId="0" xfId="0" applyFont="1" applyFill="1" applyAlignment="1">
      <alignment horizontal="center"/>
    </xf>
    <xf numFmtId="0" fontId="33" fillId="2" borderId="24" xfId="0" applyFont="1" applyFill="1" applyBorder="1" applyAlignment="1">
      <alignment horizontal="left"/>
    </xf>
    <xf numFmtId="0" fontId="29" fillId="2" borderId="24" xfId="0" applyFont="1" applyFill="1" applyBorder="1" applyAlignment="1"/>
    <xf numFmtId="0" fontId="22" fillId="2" borderId="24" xfId="2" applyNumberFormat="1" applyFont="1" applyFill="1" applyBorder="1" applyAlignment="1">
      <alignment horizontal="center"/>
    </xf>
    <xf numFmtId="182" fontId="2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left" indent="1"/>
    </xf>
    <xf numFmtId="0" fontId="18" fillId="2" borderId="0" xfId="0" applyFont="1" applyFill="1">
      <alignment vertical="center"/>
    </xf>
    <xf numFmtId="0" fontId="3" fillId="2" borderId="0" xfId="0" applyFont="1" applyFill="1" applyAlignment="1">
      <alignment horizontal="left" vertical="center" indent="1"/>
    </xf>
    <xf numFmtId="0" fontId="35" fillId="2" borderId="0" xfId="0" applyFont="1" applyFill="1" applyAlignment="1">
      <alignment horizontal="left"/>
    </xf>
    <xf numFmtId="0" fontId="3" fillId="2" borderId="7" xfId="0" applyFont="1" applyFill="1" applyBorder="1">
      <alignment vertical="center"/>
    </xf>
    <xf numFmtId="182" fontId="2" fillId="2" borderId="0" xfId="0" applyNumberFormat="1" applyFont="1" applyFill="1">
      <alignment vertical="center"/>
    </xf>
    <xf numFmtId="0" fontId="36" fillId="0" borderId="0" xfId="0" applyFont="1" applyAlignment="1"/>
    <xf numFmtId="0" fontId="37" fillId="2" borderId="0" xfId="0" applyFont="1" applyFill="1" applyAlignment="1"/>
    <xf numFmtId="182" fontId="2" fillId="2" borderId="0" xfId="0" applyNumberFormat="1" applyFont="1" applyFill="1" applyAlignment="1">
      <alignment horizontal="center"/>
    </xf>
    <xf numFmtId="185" fontId="38" fillId="2" borderId="24" xfId="2" applyNumberFormat="1" applyFont="1" applyFill="1" applyBorder="1" applyAlignment="1">
      <alignment horizontal="center"/>
    </xf>
    <xf numFmtId="182" fontId="2" fillId="2" borderId="0" xfId="2" applyNumberFormat="1" applyFont="1" applyFill="1" applyBorder="1" applyAlignment="1">
      <alignment horizontal="right" vertical="center" wrapText="1"/>
    </xf>
    <xf numFmtId="182" fontId="2" fillId="10" borderId="0" xfId="2" applyNumberFormat="1" applyFont="1" applyFill="1" applyAlignment="1">
      <alignment vertical="center"/>
    </xf>
    <xf numFmtId="181" fontId="40" fillId="2" borderId="0" xfId="0" applyNumberFormat="1" applyFont="1" applyFill="1" applyAlignment="1">
      <alignment horizontal="left"/>
    </xf>
    <xf numFmtId="181" fontId="31" fillId="4" borderId="0" xfId="0" applyNumberFormat="1" applyFont="1" applyFill="1" applyAlignment="1">
      <alignment horizontal="left" vertical="center"/>
    </xf>
    <xf numFmtId="0" fontId="41" fillId="2" borderId="0" xfId="0" applyFont="1" applyFill="1" applyAlignment="1"/>
    <xf numFmtId="0" fontId="2" fillId="2" borderId="0" xfId="0" applyFont="1" applyFill="1" applyAlignment="1">
      <alignment horizontal="center" vertical="center"/>
    </xf>
    <xf numFmtId="0" fontId="42" fillId="2" borderId="0" xfId="0" applyFont="1" applyFill="1" applyAlignment="1">
      <alignment horizontal="left"/>
    </xf>
    <xf numFmtId="0" fontId="2" fillId="2" borderId="24" xfId="0" applyFont="1" applyFill="1" applyBorder="1">
      <alignment vertical="center"/>
    </xf>
    <xf numFmtId="0" fontId="22" fillId="2" borderId="24" xfId="2" applyNumberFormat="1" applyFont="1" applyFill="1" applyBorder="1" applyAlignment="1">
      <alignment horizontal="center" vertical="center"/>
    </xf>
    <xf numFmtId="0" fontId="4" fillId="2" borderId="0" xfId="0" applyFont="1" applyFill="1" applyAlignment="1"/>
    <xf numFmtId="183" fontId="43" fillId="2" borderId="0" xfId="0" applyNumberFormat="1" applyFont="1" applyFill="1" applyAlignment="1">
      <alignment wrapText="1"/>
    </xf>
    <xf numFmtId="182" fontId="2" fillId="11" borderId="0" xfId="0" applyNumberFormat="1" applyFont="1" applyFill="1" applyAlignment="1">
      <alignment horizontal="right" vertical="center"/>
    </xf>
    <xf numFmtId="183" fontId="4" fillId="2" borderId="0" xfId="0" applyNumberFormat="1" applyFont="1" applyFill="1" applyAlignment="1"/>
    <xf numFmtId="0" fontId="3" fillId="0" borderId="0" xfId="0" applyFont="1" applyAlignment="1">
      <alignment horizontal="left" vertical="center" indent="1"/>
    </xf>
    <xf numFmtId="183" fontId="2" fillId="2" borderId="0" xfId="0" applyNumberFormat="1" applyFont="1" applyFill="1">
      <alignment vertical="center"/>
    </xf>
    <xf numFmtId="0" fontId="3" fillId="2" borderId="0" xfId="0" applyFont="1" applyFill="1" applyAlignment="1">
      <alignment horizontal="left" indent="2"/>
    </xf>
    <xf numFmtId="0" fontId="44" fillId="2" borderId="0" xfId="0" applyFont="1" applyFill="1" applyAlignment="1"/>
    <xf numFmtId="0" fontId="3" fillId="2" borderId="0" xfId="0" applyFont="1" applyFill="1" applyAlignment="1">
      <alignment horizontal="left" vertical="center" indent="3"/>
    </xf>
    <xf numFmtId="182" fontId="2" fillId="2" borderId="13" xfId="0" applyNumberFormat="1" applyFont="1" applyFill="1" applyBorder="1">
      <alignment vertical="center"/>
    </xf>
    <xf numFmtId="183" fontId="30" fillId="2" borderId="0" xfId="0" applyNumberFormat="1" applyFont="1" applyFill="1" applyAlignment="1"/>
    <xf numFmtId="0" fontId="14" fillId="2" borderId="0" xfId="0" applyFont="1" applyFill="1" applyAlignment="1">
      <alignment horizontal="left" vertical="center" indent="2"/>
    </xf>
    <xf numFmtId="0" fontId="3" fillId="2" borderId="0" xfId="0" applyFont="1" applyFill="1" applyAlignment="1">
      <alignment horizontal="left" vertical="center" indent="2"/>
    </xf>
    <xf numFmtId="0" fontId="21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 indent="1"/>
    </xf>
    <xf numFmtId="183" fontId="21" fillId="2" borderId="0" xfId="0" applyNumberFormat="1" applyFont="1" applyFill="1" applyAlignment="1"/>
    <xf numFmtId="183" fontId="44" fillId="2" borderId="0" xfId="0" applyNumberFormat="1" applyFont="1" applyFill="1" applyAlignment="1"/>
    <xf numFmtId="0" fontId="18" fillId="2" borderId="6" xfId="0" applyFont="1" applyFill="1" applyBorder="1">
      <alignment vertical="center"/>
    </xf>
    <xf numFmtId="183" fontId="3" fillId="2" borderId="0" xfId="0" applyNumberFormat="1" applyFont="1" applyFill="1" applyAlignment="1"/>
    <xf numFmtId="183" fontId="3" fillId="2" borderId="7" xfId="0" applyNumberFormat="1" applyFont="1" applyFill="1" applyBorder="1" applyAlignment="1"/>
    <xf numFmtId="188" fontId="3" fillId="2" borderId="0" xfId="0" applyNumberFormat="1" applyFont="1" applyFill="1" applyAlignment="1"/>
    <xf numFmtId="188" fontId="2" fillId="2" borderId="0" xfId="0" applyNumberFormat="1" applyFont="1" applyFill="1">
      <alignment vertical="center"/>
    </xf>
    <xf numFmtId="0" fontId="45" fillId="2" borderId="0" xfId="0" applyFont="1" applyFill="1" applyAlignment="1">
      <alignment horizontal="left" vertical="center"/>
    </xf>
    <xf numFmtId="0" fontId="33" fillId="2" borderId="0" xfId="0" applyFont="1" applyFill="1" applyAlignment="1">
      <alignment horizontal="right"/>
    </xf>
    <xf numFmtId="183" fontId="46" fillId="2" borderId="0" xfId="0" applyNumberFormat="1" applyFont="1" applyFill="1" applyAlignment="1">
      <alignment horizontal="right"/>
    </xf>
    <xf numFmtId="185" fontId="38" fillId="2" borderId="24" xfId="2" applyNumberFormat="1" applyFont="1" applyFill="1" applyBorder="1" applyAlignment="1">
      <alignment horizontal="center" vertical="center"/>
    </xf>
    <xf numFmtId="182" fontId="39" fillId="10" borderId="0" xfId="2" applyNumberFormat="1" applyFont="1" applyFill="1" applyAlignment="1">
      <alignment vertical="center"/>
    </xf>
    <xf numFmtId="182" fontId="2" fillId="2" borderId="6" xfId="0" applyNumberFormat="1" applyFont="1" applyFill="1" applyBorder="1" applyAlignment="1">
      <alignment horizontal="right" vertical="center"/>
    </xf>
    <xf numFmtId="181" fontId="31" fillId="2" borderId="0" xfId="0" applyNumberFormat="1" applyFont="1" applyFill="1" applyAlignment="1">
      <alignment horizontal="left"/>
    </xf>
    <xf numFmtId="181" fontId="28" fillId="2" borderId="0" xfId="0" applyNumberFormat="1" applyFont="1" applyFill="1" applyAlignment="1">
      <alignment horizontal="left" vertical="center"/>
    </xf>
    <xf numFmtId="0" fontId="43" fillId="2" borderId="0" xfId="0" applyFont="1" applyFill="1">
      <alignment vertical="center"/>
    </xf>
    <xf numFmtId="43" fontId="2" fillId="2" borderId="0" xfId="2" applyFont="1" applyFill="1" applyAlignment="1">
      <alignment vertical="center"/>
    </xf>
    <xf numFmtId="0" fontId="32" fillId="2" borderId="0" xfId="0" applyFont="1" applyFill="1" applyAlignment="1">
      <alignment horizontal="left" vertical="center"/>
    </xf>
    <xf numFmtId="0" fontId="33" fillId="2" borderId="24" xfId="0" applyFont="1" applyFill="1" applyBorder="1" applyAlignment="1">
      <alignment horizontal="left" vertical="center"/>
    </xf>
    <xf numFmtId="0" fontId="47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/>
    </xf>
    <xf numFmtId="0" fontId="48" fillId="2" borderId="0" xfId="0" applyFont="1" applyFill="1" applyAlignment="1">
      <alignment horizontal="right" vertical="center"/>
    </xf>
    <xf numFmtId="0" fontId="21" fillId="2" borderId="0" xfId="0" applyFont="1" applyFill="1" applyAlignment="1">
      <alignment horizontal="right" vertical="center"/>
    </xf>
    <xf numFmtId="0" fontId="12" fillId="0" borderId="0" xfId="0" applyFont="1" applyAlignment="1">
      <alignment horizontal="left" vertical="center" wrapText="1"/>
    </xf>
    <xf numFmtId="0" fontId="47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/>
    </xf>
    <xf numFmtId="0" fontId="26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right" vertical="center"/>
    </xf>
    <xf numFmtId="182" fontId="16" fillId="2" borderId="0" xfId="2" applyNumberFormat="1" applyFont="1" applyFill="1" applyBorder="1" applyAlignment="1">
      <alignment horizontal="right" vertical="center"/>
    </xf>
    <xf numFmtId="182" fontId="16" fillId="2" borderId="0" xfId="2" applyNumberFormat="1" applyFont="1" applyFill="1" applyAlignment="1">
      <alignment horizontal="right" vertical="center"/>
    </xf>
    <xf numFmtId="181" fontId="3" fillId="2" borderId="0" xfId="0" applyNumberFormat="1" applyFont="1" applyFill="1" applyAlignment="1">
      <alignment horizontal="left" vertical="center"/>
    </xf>
    <xf numFmtId="9" fontId="2" fillId="2" borderId="0" xfId="2" applyNumberFormat="1" applyFont="1" applyFill="1" applyAlignment="1">
      <alignment horizontal="right" vertical="center"/>
    </xf>
    <xf numFmtId="176" fontId="2" fillId="2" borderId="0" xfId="2" applyNumberFormat="1" applyFont="1" applyFill="1" applyAlignment="1">
      <alignment horizontal="right" vertical="center"/>
    </xf>
    <xf numFmtId="181" fontId="3" fillId="2" borderId="7" xfId="0" applyNumberFormat="1" applyFont="1" applyFill="1" applyBorder="1" applyAlignment="1">
      <alignment horizontal="left" vertical="center"/>
    </xf>
    <xf numFmtId="176" fontId="2" fillId="2" borderId="7" xfId="2" applyNumberFormat="1" applyFont="1" applyFill="1" applyBorder="1" applyAlignment="1">
      <alignment horizontal="right" vertical="center"/>
    </xf>
    <xf numFmtId="176" fontId="2" fillId="2" borderId="0" xfId="2" applyNumberFormat="1" applyFont="1" applyFill="1" applyBorder="1" applyAlignment="1">
      <alignment horizontal="right" vertical="center"/>
    </xf>
    <xf numFmtId="182" fontId="39" fillId="10" borderId="0" xfId="2" applyNumberFormat="1" applyFont="1" applyFill="1" applyAlignment="1">
      <alignment horizontal="right" vertical="center"/>
    </xf>
    <xf numFmtId="181" fontId="31" fillId="2" borderId="0" xfId="0" applyNumberFormat="1" applyFont="1" applyFill="1" applyAlignment="1">
      <alignment horizontal="left" vertical="center"/>
    </xf>
    <xf numFmtId="0" fontId="16" fillId="2" borderId="0" xfId="0" applyFont="1" applyFill="1">
      <alignment vertical="center"/>
    </xf>
    <xf numFmtId="0" fontId="127" fillId="2" borderId="0" xfId="14" applyFill="1">
      <alignment vertical="center"/>
    </xf>
    <xf numFmtId="0" fontId="51" fillId="2" borderId="7" xfId="14" applyFont="1" applyFill="1" applyBorder="1">
      <alignment vertical="center"/>
    </xf>
    <xf numFmtId="0" fontId="51" fillId="2" borderId="7" xfId="14" applyFont="1" applyFill="1" applyBorder="1" applyAlignment="1">
      <alignment horizontal="right" vertical="center"/>
    </xf>
    <xf numFmtId="0" fontId="51" fillId="2" borderId="0" xfId="14" applyFont="1" applyFill="1">
      <alignment vertical="center"/>
    </xf>
    <xf numFmtId="176" fontId="51" fillId="2" borderId="0" xfId="14" applyNumberFormat="1" applyFont="1" applyFill="1" applyAlignment="1">
      <alignment horizontal="right" vertical="center"/>
    </xf>
    <xf numFmtId="10" fontId="51" fillId="2" borderId="0" xfId="14" applyNumberFormat="1" applyFont="1" applyFill="1" applyAlignment="1">
      <alignment horizontal="right" vertical="center"/>
    </xf>
    <xf numFmtId="192" fontId="51" fillId="2" borderId="0" xfId="14" applyNumberFormat="1" applyFont="1" applyFill="1" applyAlignment="1">
      <alignment horizontal="right" vertical="center"/>
    </xf>
    <xf numFmtId="10" fontId="51" fillId="2" borderId="7" xfId="14" applyNumberFormat="1" applyFont="1" applyFill="1" applyBorder="1" applyAlignment="1">
      <alignment horizontal="right" vertical="center"/>
    </xf>
    <xf numFmtId="190" fontId="127" fillId="2" borderId="0" xfId="14" applyNumberFormat="1" applyFill="1">
      <alignment vertical="center"/>
    </xf>
    <xf numFmtId="10" fontId="127" fillId="2" borderId="0" xfId="14" applyNumberFormat="1" applyFill="1">
      <alignment vertical="center"/>
    </xf>
    <xf numFmtId="0" fontId="40" fillId="4" borderId="0" xfId="0" applyFont="1" applyFill="1" applyAlignment="1">
      <alignment horizontal="center" vertical="center"/>
    </xf>
    <xf numFmtId="189" fontId="31" fillId="4" borderId="0" xfId="0" applyNumberFormat="1" applyFont="1" applyFill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185" fontId="31" fillId="4" borderId="0" xfId="0" applyNumberFormat="1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81" fontId="2" fillId="2" borderId="0" xfId="5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 wrapText="1"/>
    </xf>
    <xf numFmtId="187" fontId="2" fillId="2" borderId="0" xfId="5" applyNumberFormat="1" applyFont="1" applyFill="1" applyAlignment="1">
      <alignment horizontal="right" vertical="center"/>
    </xf>
    <xf numFmtId="0" fontId="59" fillId="2" borderId="0" xfId="0" applyFont="1" applyFill="1" applyAlignment="1">
      <alignment horizontal="center" vertical="center"/>
    </xf>
    <xf numFmtId="187" fontId="2" fillId="2" borderId="0" xfId="0" applyNumberFormat="1" applyFont="1" applyFill="1" applyAlignment="1">
      <alignment horizontal="right" vertical="center"/>
    </xf>
    <xf numFmtId="0" fontId="42" fillId="2" borderId="0" xfId="0" applyFont="1" applyFill="1" applyAlignment="1">
      <alignment horizontal="center" vertical="center" wrapText="1"/>
    </xf>
    <xf numFmtId="181" fontId="31" fillId="4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2" fillId="2" borderId="24" xfId="0" applyFont="1" applyFill="1" applyBorder="1" applyAlignment="1">
      <alignment horizontal="right" vertical="center"/>
    </xf>
    <xf numFmtId="0" fontId="22" fillId="2" borderId="0" xfId="0" applyFont="1" applyFill="1" applyAlignment="1">
      <alignment horizontal="right" vertical="center"/>
    </xf>
    <xf numFmtId="182" fontId="21" fillId="2" borderId="0" xfId="2" applyNumberFormat="1" applyFont="1" applyFill="1" applyAlignment="1">
      <alignment horizontal="right" vertical="center"/>
    </xf>
    <xf numFmtId="183" fontId="21" fillId="2" borderId="0" xfId="0" applyNumberFormat="1" applyFont="1" applyFill="1" applyAlignment="1">
      <alignment horizontal="right" vertical="center"/>
    </xf>
    <xf numFmtId="10" fontId="44" fillId="10" borderId="3" xfId="5" applyNumberFormat="1" applyFont="1" applyFill="1" applyBorder="1" applyAlignment="1">
      <alignment horizontal="right" vertical="center"/>
    </xf>
    <xf numFmtId="0" fontId="22" fillId="2" borderId="24" xfId="0" applyFont="1" applyFill="1" applyBorder="1" applyAlignment="1">
      <alignment horizontal="right" vertical="center"/>
    </xf>
    <xf numFmtId="182" fontId="22" fillId="2" borderId="24" xfId="0" applyNumberFormat="1" applyFont="1" applyFill="1" applyBorder="1" applyAlignment="1">
      <alignment horizontal="right" vertical="center"/>
    </xf>
    <xf numFmtId="0" fontId="63" fillId="2" borderId="0" xfId="0" applyFont="1" applyFill="1" applyAlignment="1">
      <alignment horizontal="right" vertical="center"/>
    </xf>
    <xf numFmtId="0" fontId="25" fillId="2" borderId="0" xfId="0" applyFont="1" applyFill="1">
      <alignment vertical="center"/>
    </xf>
    <xf numFmtId="183" fontId="66" fillId="2" borderId="0" xfId="0" applyNumberFormat="1" applyFont="1" applyFill="1" applyAlignment="1">
      <alignment horizontal="left" vertical="center"/>
    </xf>
    <xf numFmtId="10" fontId="2" fillId="2" borderId="0" xfId="0" applyNumberFormat="1" applyFont="1" applyFill="1" applyAlignment="1">
      <alignment horizontal="right" vertical="center"/>
    </xf>
    <xf numFmtId="10" fontId="39" fillId="2" borderId="0" xfId="0" applyNumberFormat="1" applyFont="1" applyFill="1" applyAlignment="1">
      <alignment horizontal="right" vertical="center"/>
    </xf>
    <xf numFmtId="10" fontId="70" fillId="12" borderId="0" xfId="0" applyNumberFormat="1" applyFont="1" applyFill="1" applyAlignment="1">
      <alignment horizontal="right" vertical="center"/>
    </xf>
    <xf numFmtId="182" fontId="2" fillId="12" borderId="0" xfId="0" applyNumberFormat="1" applyFont="1" applyFill="1" applyAlignment="1">
      <alignment horizontal="right" vertical="center"/>
    </xf>
    <xf numFmtId="182" fontId="2" fillId="2" borderId="13" xfId="0" applyNumberFormat="1" applyFont="1" applyFill="1" applyBorder="1" applyAlignment="1">
      <alignment horizontal="right" vertical="center"/>
    </xf>
    <xf numFmtId="10" fontId="11" fillId="2" borderId="13" xfId="0" applyNumberFormat="1" applyFont="1" applyFill="1" applyBorder="1" applyAlignment="1">
      <alignment horizontal="right" vertical="center"/>
    </xf>
    <xf numFmtId="182" fontId="2" fillId="13" borderId="0" xfId="0" applyNumberFormat="1" applyFont="1" applyFill="1" applyAlignment="1">
      <alignment horizontal="right" vertical="center"/>
    </xf>
    <xf numFmtId="182" fontId="21" fillId="2" borderId="0" xfId="0" applyNumberFormat="1" applyFont="1" applyFill="1" applyAlignment="1">
      <alignment horizontal="right" vertical="center"/>
    </xf>
    <xf numFmtId="10" fontId="78" fillId="2" borderId="0" xfId="0" applyNumberFormat="1" applyFont="1" applyFill="1" applyAlignment="1">
      <alignment horizontal="right" vertical="center"/>
    </xf>
    <xf numFmtId="0" fontId="2" fillId="2" borderId="25" xfId="0" applyFont="1" applyFill="1" applyBorder="1" applyAlignment="1">
      <alignment horizontal="right" vertical="center"/>
    </xf>
    <xf numFmtId="0" fontId="64" fillId="2" borderId="0" xfId="0" applyFont="1" applyFill="1" applyAlignment="1">
      <alignment horizontal="right" vertical="center"/>
    </xf>
    <xf numFmtId="49" fontId="3" fillId="2" borderId="25" xfId="0" applyNumberFormat="1" applyFont="1" applyFill="1" applyBorder="1" applyAlignment="1">
      <alignment horizontal="left" vertical="center"/>
    </xf>
    <xf numFmtId="182" fontId="2" fillId="11" borderId="25" xfId="0" applyNumberFormat="1" applyFont="1" applyFill="1" applyBorder="1" applyAlignment="1">
      <alignment horizontal="right" vertical="center"/>
    </xf>
    <xf numFmtId="182" fontId="70" fillId="2" borderId="0" xfId="0" applyNumberFormat="1" applyFont="1" applyFill="1" applyAlignment="1">
      <alignment horizontal="right" vertical="center"/>
    </xf>
    <xf numFmtId="0" fontId="79" fillId="2" borderId="0" xfId="0" applyFont="1" applyFill="1" applyAlignment="1">
      <alignment vertical="center" wrapText="1"/>
    </xf>
    <xf numFmtId="0" fontId="8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81" fillId="0" borderId="0" xfId="0" applyFont="1" applyAlignment="1">
      <alignment horizontal="left" vertical="center"/>
    </xf>
    <xf numFmtId="181" fontId="82" fillId="4" borderId="0" xfId="0" applyNumberFormat="1" applyFont="1" applyFill="1" applyAlignment="1">
      <alignment horizontal="center" vertical="center"/>
    </xf>
    <xf numFmtId="183" fontId="46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right"/>
    </xf>
    <xf numFmtId="0" fontId="19" fillId="2" borderId="0" xfId="0" applyFont="1" applyFill="1" applyAlignment="1">
      <alignment horizontal="left" vertical="center"/>
    </xf>
    <xf numFmtId="182" fontId="22" fillId="13" borderId="0" xfId="0" applyNumberFormat="1" applyFont="1" applyFill="1" applyAlignment="1">
      <alignment horizontal="right" vertical="center"/>
    </xf>
    <xf numFmtId="182" fontId="15" fillId="2" borderId="0" xfId="0" applyNumberFormat="1" applyFont="1" applyFill="1" applyAlignment="1">
      <alignment horizontal="right" vertical="center"/>
    </xf>
    <xf numFmtId="0" fontId="96" fillId="3" borderId="0" xfId="32" applyNumberFormat="1" applyFont="1" applyFill="1" applyAlignment="1">
      <alignment vertical="center"/>
    </xf>
    <xf numFmtId="0" fontId="96" fillId="3" borderId="0" xfId="32" applyNumberFormat="1" applyFont="1" applyFill="1"/>
    <xf numFmtId="0" fontId="93" fillId="3" borderId="0" xfId="32" applyNumberFormat="1" applyFont="1" applyFill="1" applyAlignment="1">
      <alignment horizontal="left"/>
    </xf>
    <xf numFmtId="0" fontId="93" fillId="3" borderId="0" xfId="32" applyNumberFormat="1" applyFont="1" applyFill="1"/>
    <xf numFmtId="0" fontId="93" fillId="3" borderId="0" xfId="32" applyNumberFormat="1" applyFont="1" applyFill="1" applyAlignment="1" applyProtection="1">
      <alignment horizontal="left"/>
      <protection locked="0"/>
    </xf>
    <xf numFmtId="0" fontId="93" fillId="3" borderId="0" xfId="32" applyNumberFormat="1" applyFont="1" applyFill="1" applyProtection="1">
      <protection locked="0"/>
    </xf>
    <xf numFmtId="0" fontId="97" fillId="2" borderId="0" xfId="32" applyNumberFormat="1" applyFont="1" applyFill="1" applyAlignment="1">
      <alignment vertical="center"/>
    </xf>
    <xf numFmtId="0" fontId="93" fillId="2" borderId="0" xfId="32" applyNumberFormat="1" applyFont="1" applyFill="1"/>
    <xf numFmtId="0" fontId="98" fillId="3" borderId="0" xfId="32" applyNumberFormat="1" applyFont="1" applyFill="1" applyAlignment="1">
      <alignment horizontal="right" vertical="center"/>
    </xf>
    <xf numFmtId="0" fontId="99" fillId="15" borderId="0" xfId="32" applyNumberFormat="1" applyFont="1" applyFill="1" applyAlignment="1">
      <alignment vertical="center"/>
    </xf>
    <xf numFmtId="0" fontId="100" fillId="15" borderId="0" xfId="32" applyNumberFormat="1" applyFont="1" applyFill="1" applyAlignment="1">
      <alignment horizontal="right" vertical="center"/>
    </xf>
    <xf numFmtId="0" fontId="92" fillId="2" borderId="0" xfId="32" applyNumberFormat="1" applyFont="1" applyFill="1" applyAlignment="1">
      <alignment vertical="center"/>
    </xf>
    <xf numFmtId="0" fontId="98" fillId="3" borderId="0" xfId="32" applyNumberFormat="1" applyFont="1" applyFill="1" applyAlignment="1">
      <alignment vertical="center"/>
    </xf>
    <xf numFmtId="0" fontId="92" fillId="2" borderId="0" xfId="32" applyNumberFormat="1" applyFont="1" applyFill="1" applyAlignment="1" applyProtection="1">
      <alignment horizontal="left" vertical="center"/>
      <protection locked="0"/>
    </xf>
    <xf numFmtId="0" fontId="93" fillId="2" borderId="0" xfId="32" applyNumberFormat="1" applyFont="1" applyFill="1" applyProtection="1">
      <protection locked="0"/>
    </xf>
    <xf numFmtId="0" fontId="98" fillId="0" borderId="0" xfId="32" applyNumberFormat="1" applyFont="1" applyAlignment="1">
      <alignment horizontal="right" vertical="center"/>
    </xf>
    <xf numFmtId="0" fontId="101" fillId="15" borderId="0" xfId="32" applyNumberFormat="1" applyFont="1" applyFill="1" applyAlignment="1">
      <alignment vertical="center"/>
    </xf>
    <xf numFmtId="0" fontId="102" fillId="0" borderId="0" xfId="0" applyFont="1" applyAlignment="1">
      <alignment horizontal="left" vertical="center" readingOrder="1"/>
    </xf>
    <xf numFmtId="0" fontId="94" fillId="2" borderId="0" xfId="32" applyNumberFormat="1" applyFont="1" applyFill="1" applyProtection="1">
      <protection locked="0"/>
    </xf>
    <xf numFmtId="0" fontId="103" fillId="3" borderId="0" xfId="32" applyNumberFormat="1" applyFont="1" applyFill="1" applyAlignment="1">
      <alignment vertical="center"/>
    </xf>
    <xf numFmtId="0" fontId="104" fillId="2" borderId="0" xfId="32" applyNumberFormat="1" applyFont="1" applyFill="1" applyAlignment="1">
      <alignment horizontal="left"/>
    </xf>
    <xf numFmtId="0" fontId="94" fillId="3" borderId="0" xfId="32" applyNumberFormat="1" applyFont="1" applyFill="1"/>
    <xf numFmtId="0" fontId="104" fillId="3" borderId="0" xfId="32" applyNumberFormat="1" applyFont="1" applyFill="1" applyAlignment="1">
      <alignment horizontal="left"/>
    </xf>
    <xf numFmtId="194" fontId="94" fillId="2" borderId="0" xfId="2" applyNumberFormat="1" applyFont="1" applyFill="1" applyBorder="1" applyAlignment="1" applyProtection="1">
      <alignment vertical="center"/>
      <protection locked="0"/>
    </xf>
    <xf numFmtId="0" fontId="94" fillId="3" borderId="0" xfId="32" applyNumberFormat="1" applyFont="1" applyFill="1" applyAlignment="1">
      <alignment vertical="center"/>
    </xf>
    <xf numFmtId="0" fontId="104" fillId="2" borderId="0" xfId="32" applyNumberFormat="1" applyFont="1" applyFill="1" applyAlignment="1" applyProtection="1">
      <alignment horizontal="left" vertical="center"/>
      <protection locked="0"/>
    </xf>
    <xf numFmtId="0" fontId="100" fillId="3" borderId="0" xfId="32" applyNumberFormat="1" applyFont="1" applyFill="1" applyAlignment="1">
      <alignment horizontal="center"/>
    </xf>
    <xf numFmtId="0" fontId="105" fillId="2" borderId="0" xfId="32" applyNumberFormat="1" applyFont="1" applyFill="1" applyAlignment="1">
      <alignment horizontal="right" vertical="center"/>
    </xf>
    <xf numFmtId="0" fontId="99" fillId="15" borderId="26" xfId="32" applyNumberFormat="1" applyFont="1" applyFill="1" applyBorder="1" applyAlignment="1">
      <alignment vertical="center"/>
    </xf>
    <xf numFmtId="0" fontId="100" fillId="15" borderId="27" xfId="32" applyNumberFormat="1" applyFont="1" applyFill="1" applyBorder="1"/>
    <xf numFmtId="0" fontId="100" fillId="15" borderId="28" xfId="32" applyNumberFormat="1" applyFont="1" applyFill="1" applyBorder="1" applyAlignment="1">
      <alignment vertical="center"/>
    </xf>
    <xf numFmtId="0" fontId="100" fillId="15" borderId="27" xfId="32" applyNumberFormat="1" applyFont="1" applyFill="1" applyBorder="1" applyAlignment="1">
      <alignment vertical="center"/>
    </xf>
    <xf numFmtId="0" fontId="94" fillId="3" borderId="29" xfId="32" applyNumberFormat="1" applyFont="1" applyFill="1" applyBorder="1" applyAlignment="1">
      <alignment vertical="center"/>
    </xf>
    <xf numFmtId="0" fontId="94" fillId="3" borderId="30" xfId="32" applyNumberFormat="1" applyFont="1" applyFill="1" applyBorder="1"/>
    <xf numFmtId="0" fontId="94" fillId="3" borderId="31" xfId="32" applyNumberFormat="1" applyFont="1" applyFill="1" applyBorder="1" applyAlignment="1">
      <alignment vertical="center"/>
    </xf>
    <xf numFmtId="0" fontId="106" fillId="3" borderId="0" xfId="32" applyNumberFormat="1" applyFont="1" applyFill="1" applyAlignment="1">
      <alignment vertical="center"/>
    </xf>
    <xf numFmtId="0" fontId="106" fillId="3" borderId="32" xfId="32" applyNumberFormat="1" applyFont="1" applyFill="1" applyBorder="1" applyAlignment="1">
      <alignment vertical="center"/>
    </xf>
    <xf numFmtId="0" fontId="106" fillId="3" borderId="30" xfId="32" applyNumberFormat="1" applyFont="1" applyFill="1" applyBorder="1"/>
    <xf numFmtId="0" fontId="106" fillId="3" borderId="0" xfId="32" applyNumberFormat="1" applyFont="1" applyFill="1" applyAlignment="1">
      <alignment horizontal="left" vertical="center"/>
    </xf>
    <xf numFmtId="0" fontId="106" fillId="3" borderId="33" xfId="32" applyNumberFormat="1" applyFont="1" applyFill="1" applyBorder="1"/>
    <xf numFmtId="0" fontId="94" fillId="3" borderId="30" xfId="32" applyNumberFormat="1" applyFont="1" applyFill="1" applyBorder="1" applyAlignment="1">
      <alignment vertical="center"/>
    </xf>
    <xf numFmtId="0" fontId="94" fillId="0" borderId="34" xfId="32" applyNumberFormat="1" applyFont="1" applyBorder="1" applyAlignment="1">
      <alignment vertical="center"/>
    </xf>
    <xf numFmtId="0" fontId="94" fillId="3" borderId="35" xfId="32" applyNumberFormat="1" applyFont="1" applyFill="1" applyBorder="1"/>
    <xf numFmtId="0" fontId="107" fillId="3" borderId="36" xfId="32" applyNumberFormat="1" applyFont="1" applyFill="1" applyBorder="1"/>
    <xf numFmtId="0" fontId="93" fillId="3" borderId="37" xfId="32" applyNumberFormat="1" applyFont="1" applyFill="1" applyBorder="1" applyAlignment="1">
      <alignment horizontal="left"/>
    </xf>
    <xf numFmtId="0" fontId="96" fillId="3" borderId="37" xfId="32" applyNumberFormat="1" applyFont="1" applyFill="1" applyBorder="1"/>
    <xf numFmtId="0" fontId="93" fillId="3" borderId="0" xfId="32" applyNumberFormat="1" applyFont="1" applyFill="1" applyAlignment="1">
      <alignment vertical="center"/>
    </xf>
    <xf numFmtId="0" fontId="108" fillId="3" borderId="0" xfId="3" applyNumberFormat="1" applyFont="1" applyFill="1" applyAlignment="1" applyProtection="1">
      <alignment vertical="center"/>
    </xf>
    <xf numFmtId="0" fontId="97" fillId="3" borderId="0" xfId="32" applyNumberFormat="1" applyFont="1" applyFill="1" applyAlignment="1">
      <alignment horizontal="right" vertical="center" wrapText="1"/>
    </xf>
    <xf numFmtId="0" fontId="93" fillId="12" borderId="0" xfId="32" applyNumberFormat="1" applyFont="1" applyFill="1" applyAlignment="1">
      <alignment horizontal="center" vertical="center" wrapText="1"/>
    </xf>
    <xf numFmtId="0" fontId="93" fillId="3" borderId="13" xfId="32" applyNumberFormat="1" applyFont="1" applyFill="1" applyBorder="1" applyAlignment="1">
      <alignment horizontal="center" vertical="center" wrapText="1"/>
    </xf>
    <xf numFmtId="0" fontId="93" fillId="2" borderId="0" xfId="32" applyNumberFormat="1" applyFont="1" applyFill="1" applyAlignment="1">
      <alignment horizontal="center" vertical="center" wrapText="1"/>
    </xf>
    <xf numFmtId="0" fontId="109" fillId="0" borderId="0" xfId="0" applyFont="1" applyAlignment="1">
      <alignment horizontal="left" vertical="center" readingOrder="1"/>
    </xf>
    <xf numFmtId="0" fontId="110" fillId="3" borderId="0" xfId="21" applyNumberFormat="1" applyFont="1" applyFill="1" applyBorder="1" applyAlignment="1">
      <alignment horizontal="right" vertical="center" wrapText="1"/>
    </xf>
    <xf numFmtId="0" fontId="93" fillId="16" borderId="0" xfId="32" applyNumberFormat="1" applyFont="1" applyFill="1" applyAlignment="1">
      <alignment horizontal="center" vertical="center" wrapText="1"/>
    </xf>
    <xf numFmtId="0" fontId="93" fillId="3" borderId="0" xfId="33" applyNumberFormat="1" applyFont="1" applyFill="1" applyBorder="1" applyAlignment="1">
      <alignment vertical="center"/>
    </xf>
    <xf numFmtId="0" fontId="111" fillId="3" borderId="0" xfId="21" applyNumberFormat="1" applyFont="1" applyFill="1" applyBorder="1" applyAlignment="1">
      <alignment horizontal="right" vertical="center" wrapText="1"/>
    </xf>
    <xf numFmtId="0" fontId="111" fillId="3" borderId="0" xfId="32" applyNumberFormat="1" applyFont="1" applyFill="1" applyAlignment="1">
      <alignment horizontal="right" vertical="center"/>
    </xf>
    <xf numFmtId="0" fontId="112" fillId="3" borderId="0" xfId="3" applyNumberFormat="1" applyFont="1" applyFill="1" applyBorder="1" applyAlignment="1" applyProtection="1">
      <alignment vertical="center"/>
    </xf>
    <xf numFmtId="0" fontId="113" fillId="3" borderId="0" xfId="32" applyNumberFormat="1" applyFont="1" applyFill="1" applyAlignment="1">
      <alignment horizontal="right"/>
    </xf>
    <xf numFmtId="0" fontId="92" fillId="3" borderId="0" xfId="32" applyNumberFormat="1" applyFont="1" applyFill="1" applyAlignment="1">
      <alignment vertical="center"/>
    </xf>
    <xf numFmtId="0" fontId="3" fillId="2" borderId="0" xfId="31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183" fontId="3" fillId="2" borderId="7" xfId="31" applyNumberFormat="1" applyFont="1" applyFill="1" applyBorder="1" applyAlignment="1">
      <alignment horizontal="left" vertical="center"/>
    </xf>
    <xf numFmtId="181" fontId="3" fillId="2" borderId="0" xfId="31" applyNumberFormat="1" applyFont="1" applyFill="1" applyAlignment="1">
      <alignment horizontal="left" vertical="center"/>
    </xf>
    <xf numFmtId="0" fontId="3" fillId="0" borderId="0" xfId="31" applyFont="1" applyAlignment="1">
      <alignment horizontal="left" vertical="center"/>
    </xf>
    <xf numFmtId="0" fontId="7" fillId="4" borderId="0" xfId="31" applyFont="1" applyFill="1" applyAlignment="1">
      <alignment horizontal="left" vertical="center"/>
    </xf>
    <xf numFmtId="49" fontId="9" fillId="2" borderId="0" xfId="31" applyNumberFormat="1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31" applyFont="1" applyBorder="1" applyAlignment="1">
      <alignment horizontal="left" vertical="center"/>
    </xf>
    <xf numFmtId="0" fontId="9" fillId="2" borderId="1" xfId="31" applyFont="1" applyFill="1" applyBorder="1" applyAlignment="1">
      <alignment horizontal="left" vertical="center"/>
    </xf>
    <xf numFmtId="0" fontId="3" fillId="0" borderId="8" xfId="31" applyFont="1" applyBorder="1" applyAlignment="1">
      <alignment horizontal="left" vertical="center"/>
    </xf>
    <xf numFmtId="0" fontId="3" fillId="2" borderId="7" xfId="31" applyFont="1" applyFill="1" applyBorder="1" applyAlignment="1">
      <alignment horizontal="left" vertical="center"/>
    </xf>
    <xf numFmtId="49" fontId="9" fillId="2" borderId="1" xfId="31" applyNumberFormat="1" applyFont="1" applyFill="1" applyBorder="1" applyAlignment="1">
      <alignment horizontal="left" vertical="center"/>
    </xf>
    <xf numFmtId="181" fontId="2" fillId="2" borderId="0" xfId="31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83" fontId="2" fillId="2" borderId="7" xfId="31" applyNumberFormat="1" applyFont="1" applyFill="1" applyBorder="1" applyAlignment="1">
      <alignment horizontal="right" vertical="center"/>
    </xf>
    <xf numFmtId="181" fontId="2" fillId="2" borderId="7" xfId="31" applyNumberFormat="1" applyFont="1" applyFill="1" applyBorder="1" applyAlignment="1">
      <alignment horizontal="right" vertical="center"/>
    </xf>
    <xf numFmtId="181" fontId="2" fillId="2" borderId="3" xfId="31" applyNumberFormat="1" applyFont="1" applyFill="1" applyBorder="1" applyAlignment="1">
      <alignment horizontal="right" vertical="center"/>
    </xf>
    <xf numFmtId="0" fontId="2" fillId="2" borderId="7" xfId="31" applyFont="1" applyFill="1" applyBorder="1" applyAlignment="1">
      <alignment horizontal="right"/>
    </xf>
    <xf numFmtId="181" fontId="2" fillId="2" borderId="12" xfId="31" applyNumberFormat="1" applyFont="1" applyFill="1" applyBorder="1" applyAlignment="1">
      <alignment horizontal="right" vertical="center"/>
    </xf>
    <xf numFmtId="10" fontId="85" fillId="2" borderId="0" xfId="5" applyNumberFormat="1" applyFont="1" applyFill="1" applyBorder="1" applyAlignment="1">
      <alignment horizontal="right" vertical="center"/>
    </xf>
    <xf numFmtId="0" fontId="90" fillId="0" borderId="0" xfId="0" applyFont="1">
      <alignment vertical="center"/>
    </xf>
    <xf numFmtId="0" fontId="80" fillId="2" borderId="0" xfId="0" applyFont="1" applyFill="1">
      <alignment vertical="center"/>
    </xf>
    <xf numFmtId="10" fontId="46" fillId="2" borderId="0" xfId="0" applyNumberFormat="1" applyFont="1" applyFill="1" applyAlignment="1">
      <alignment horizontal="left" vertical="center"/>
    </xf>
    <xf numFmtId="10" fontId="74" fillId="2" borderId="0" xfId="0" applyNumberFormat="1" applyFont="1" applyFill="1">
      <alignment vertical="center"/>
    </xf>
    <xf numFmtId="10" fontId="84" fillId="2" borderId="0" xfId="0" applyNumberFormat="1" applyFont="1" applyFill="1" applyAlignment="1">
      <alignment horizontal="center" vertical="center"/>
    </xf>
    <xf numFmtId="10" fontId="85" fillId="2" borderId="0" xfId="2" applyNumberFormat="1" applyFont="1" applyFill="1" applyBorder="1" applyAlignment="1">
      <alignment horizontal="right" vertical="center"/>
    </xf>
    <xf numFmtId="10" fontId="90" fillId="0" borderId="0" xfId="0" applyNumberFormat="1" applyFont="1">
      <alignment vertical="center"/>
    </xf>
    <xf numFmtId="10" fontId="80" fillId="2" borderId="0" xfId="0" applyNumberFormat="1" applyFont="1" applyFill="1">
      <alignment vertical="center"/>
    </xf>
    <xf numFmtId="0" fontId="46" fillId="2" borderId="0" xfId="0" applyFont="1" applyFill="1" applyAlignment="1">
      <alignment horizontal="left" vertical="center"/>
    </xf>
    <xf numFmtId="0" fontId="82" fillId="2" borderId="0" xfId="0" applyFont="1" applyFill="1" applyAlignment="1">
      <alignment horizontal="centerContinuous" vertical="center"/>
    </xf>
    <xf numFmtId="0" fontId="31" fillId="2" borderId="0" xfId="0" applyFont="1" applyFill="1" applyAlignment="1">
      <alignment horizontal="centerContinuous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7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176" fontId="8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Continuous" vertical="center"/>
    </xf>
    <xf numFmtId="176" fontId="35" fillId="2" borderId="0" xfId="0" applyNumberFormat="1" applyFont="1" applyFill="1" applyAlignment="1">
      <alignment horizontal="center" vertical="center"/>
    </xf>
    <xf numFmtId="176" fontId="25" fillId="2" borderId="0" xfId="2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Continuous" vertical="center"/>
    </xf>
    <xf numFmtId="0" fontId="83" fillId="2" borderId="0" xfId="0" applyFont="1" applyFill="1" applyAlignment="1">
      <alignment horizontal="center" vertical="center"/>
    </xf>
    <xf numFmtId="10" fontId="86" fillId="2" borderId="0" xfId="0" applyNumberFormat="1" applyFont="1" applyFill="1" applyAlignment="1">
      <alignment horizontal="centerContinuous" vertical="center"/>
    </xf>
    <xf numFmtId="0" fontId="74" fillId="2" borderId="0" xfId="0" applyFont="1" applyFill="1" applyAlignment="1">
      <alignment horizontal="left" vertical="center"/>
    </xf>
    <xf numFmtId="0" fontId="86" fillId="2" borderId="0" xfId="0" applyFont="1" applyFill="1" applyAlignment="1">
      <alignment horizontal="centerContinuous" vertical="center"/>
    </xf>
    <xf numFmtId="0" fontId="87" fillId="2" borderId="0" xfId="0" applyFont="1" applyFill="1" applyAlignment="1">
      <alignment horizontal="centerContinuous" vertical="center"/>
    </xf>
    <xf numFmtId="0" fontId="9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Continuous" vertical="center"/>
    </xf>
    <xf numFmtId="10" fontId="22" fillId="2" borderId="0" xfId="0" applyNumberFormat="1" applyFont="1" applyFill="1" applyAlignment="1">
      <alignment horizontal="right" vertical="center"/>
    </xf>
    <xf numFmtId="0" fontId="4" fillId="14" borderId="0" xfId="0" applyFont="1" applyFill="1">
      <alignment vertical="center"/>
    </xf>
    <xf numFmtId="0" fontId="7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91" fillId="2" borderId="0" xfId="0" applyFont="1" applyFill="1" applyAlignment="1">
      <alignment horizontal="right" vertical="center"/>
    </xf>
    <xf numFmtId="0" fontId="39" fillId="2" borderId="0" xfId="0" applyFont="1" applyFill="1" applyAlignment="1">
      <alignment horizontal="left" vertical="center"/>
    </xf>
    <xf numFmtId="0" fontId="85" fillId="2" borderId="0" xfId="0" applyFont="1" applyFill="1">
      <alignment vertical="center"/>
    </xf>
    <xf numFmtId="0" fontId="33" fillId="2" borderId="0" xfId="0" applyFont="1" applyFill="1" applyAlignment="1">
      <alignment horizontal="right" vertical="center"/>
    </xf>
    <xf numFmtId="0" fontId="24" fillId="2" borderId="0" xfId="0" applyFont="1" applyFill="1" applyAlignment="1">
      <alignment horizontal="left" vertical="center"/>
    </xf>
    <xf numFmtId="10" fontId="44" fillId="2" borderId="0" xfId="5" applyNumberFormat="1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10" fontId="21" fillId="2" borderId="0" xfId="5" applyNumberFormat="1" applyFont="1" applyFill="1" applyBorder="1" applyAlignment="1">
      <alignment horizontal="right" vertical="center"/>
    </xf>
    <xf numFmtId="10" fontId="45" fillId="2" borderId="0" xfId="5" applyNumberFormat="1" applyFont="1" applyFill="1" applyBorder="1" applyAlignment="1">
      <alignment horizontal="left" vertical="center"/>
    </xf>
    <xf numFmtId="2" fontId="2" fillId="2" borderId="0" xfId="0" applyNumberFormat="1" applyFont="1" applyFill="1" applyAlignment="1">
      <alignment horizontal="right" vertical="center"/>
    </xf>
    <xf numFmtId="10" fontId="4" fillId="2" borderId="0" xfId="0" applyNumberFormat="1" applyFont="1" applyFill="1">
      <alignment vertical="center"/>
    </xf>
    <xf numFmtId="181" fontId="50" fillId="4" borderId="0" xfId="0" applyNumberFormat="1" applyFont="1" applyFill="1" applyAlignment="1">
      <alignment horizontal="center" vertical="center"/>
    </xf>
    <xf numFmtId="185" fontId="88" fillId="4" borderId="0" xfId="0" applyNumberFormat="1" applyFont="1" applyFill="1" applyAlignment="1">
      <alignment horizontal="center" vertical="center"/>
    </xf>
    <xf numFmtId="185" fontId="88" fillId="2" borderId="0" xfId="0" applyNumberFormat="1" applyFont="1" applyFill="1" applyAlignment="1">
      <alignment horizontal="center" vertical="center"/>
    </xf>
    <xf numFmtId="0" fontId="89" fillId="4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176" fontId="22" fillId="2" borderId="0" xfId="2" applyNumberFormat="1" applyFont="1" applyFill="1" applyBorder="1" applyAlignment="1">
      <alignment horizontal="right" vertical="center"/>
    </xf>
    <xf numFmtId="182" fontId="22" fillId="10" borderId="0" xfId="2" applyNumberFormat="1" applyFont="1" applyFill="1" applyBorder="1" applyAlignment="1">
      <alignment horizontal="right" vertical="center"/>
    </xf>
    <xf numFmtId="182" fontId="22" fillId="2" borderId="0" xfId="2" applyNumberFormat="1" applyFont="1" applyFill="1" applyBorder="1" applyAlignment="1">
      <alignment horizontal="right" vertical="center"/>
    </xf>
    <xf numFmtId="176" fontId="22" fillId="14" borderId="0" xfId="2" applyNumberFormat="1" applyFont="1" applyFill="1" applyBorder="1" applyAlignment="1">
      <alignment horizontal="right" vertical="center"/>
    </xf>
    <xf numFmtId="10" fontId="39" fillId="2" borderId="0" xfId="2" applyNumberFormat="1" applyFont="1" applyFill="1" applyBorder="1" applyAlignment="1">
      <alignment horizontal="right" vertical="center"/>
    </xf>
    <xf numFmtId="10" fontId="39" fillId="2" borderId="0" xfId="5" applyNumberFormat="1" applyFont="1" applyFill="1" applyBorder="1" applyAlignment="1">
      <alignment horizontal="right" vertical="center"/>
    </xf>
    <xf numFmtId="10" fontId="39" fillId="14" borderId="0" xfId="2" applyNumberFormat="1" applyFont="1" applyFill="1" applyBorder="1" applyAlignment="1">
      <alignment horizontal="right" vertical="center"/>
    </xf>
    <xf numFmtId="182" fontId="2" fillId="10" borderId="0" xfId="2" applyNumberFormat="1" applyFont="1" applyFill="1" applyBorder="1" applyAlignment="1">
      <alignment horizontal="right" vertical="center"/>
    </xf>
    <xf numFmtId="176" fontId="2" fillId="14" borderId="0" xfId="2" applyNumberFormat="1" applyFont="1" applyFill="1" applyBorder="1" applyAlignment="1">
      <alignment horizontal="right" vertical="center"/>
    </xf>
    <xf numFmtId="10" fontId="39" fillId="14" borderId="0" xfId="5" applyNumberFormat="1" applyFont="1" applyFill="1" applyBorder="1" applyAlignment="1">
      <alignment horizontal="right" vertical="center"/>
    </xf>
    <xf numFmtId="0" fontId="2" fillId="14" borderId="0" xfId="0" applyFont="1" applyFill="1">
      <alignment vertical="center"/>
    </xf>
    <xf numFmtId="182" fontId="2" fillId="2" borderId="0" xfId="5" applyNumberFormat="1" applyFont="1" applyFill="1" applyBorder="1" applyAlignment="1">
      <alignment horizontal="right" vertical="center"/>
    </xf>
    <xf numFmtId="10" fontId="44" fillId="2" borderId="0" xfId="5" applyNumberFormat="1" applyFont="1" applyFill="1" applyBorder="1" applyAlignment="1">
      <alignment horizontal="right" vertical="center"/>
    </xf>
    <xf numFmtId="10" fontId="44" fillId="10" borderId="0" xfId="5" applyNumberFormat="1" applyFont="1" applyFill="1" applyBorder="1" applyAlignment="1">
      <alignment horizontal="right" vertical="center"/>
    </xf>
    <xf numFmtId="10" fontId="39" fillId="13" borderId="0" xfId="0" applyNumberFormat="1" applyFont="1" applyFill="1" applyAlignment="1">
      <alignment horizontal="right" vertical="center"/>
    </xf>
    <xf numFmtId="182" fontId="39" fillId="2" borderId="0" xfId="0" applyNumberFormat="1" applyFont="1" applyFill="1" applyAlignment="1">
      <alignment horizontal="right" vertical="center"/>
    </xf>
    <xf numFmtId="10" fontId="128" fillId="2" borderId="0" xfId="5" applyNumberFormat="1" applyFont="1" applyFill="1" applyBorder="1" applyAlignment="1">
      <alignment horizontal="right" vertical="center"/>
    </xf>
    <xf numFmtId="188" fontId="95" fillId="10" borderId="0" xfId="2" applyNumberFormat="1" applyFont="1" applyFill="1" applyBorder="1" applyAlignment="1">
      <alignment horizontal="right" vertical="center"/>
    </xf>
    <xf numFmtId="0" fontId="3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182" fontId="30" fillId="2" borderId="0" xfId="0" applyNumberFormat="1" applyFont="1" applyFill="1">
      <alignment vertical="center"/>
    </xf>
    <xf numFmtId="0" fontId="4" fillId="2" borderId="7" xfId="0" applyFont="1" applyFill="1" applyBorder="1" applyAlignment="1">
      <alignment horizontal="right" vertical="center"/>
    </xf>
    <xf numFmtId="182" fontId="2" fillId="2" borderId="7" xfId="0" applyNumberFormat="1" applyFont="1" applyFill="1" applyBorder="1" applyAlignment="1">
      <alignment horizontal="right" vertical="center"/>
    </xf>
    <xf numFmtId="181" fontId="65" fillId="4" borderId="0" xfId="0" applyNumberFormat="1" applyFont="1" applyFill="1" applyAlignment="1">
      <alignment horizontal="center" vertical="center"/>
    </xf>
    <xf numFmtId="181" fontId="31" fillId="4" borderId="0" xfId="0" applyNumberFormat="1" applyFont="1" applyFill="1" applyAlignment="1">
      <alignment horizontal="center" vertical="center"/>
    </xf>
    <xf numFmtId="181" fontId="31" fillId="2" borderId="0" xfId="0" applyNumberFormat="1" applyFont="1" applyFill="1" applyAlignment="1">
      <alignment horizontal="center" vertical="center"/>
    </xf>
    <xf numFmtId="0" fontId="32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2" fillId="2" borderId="24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" vertical="center"/>
    </xf>
    <xf numFmtId="0" fontId="22" fillId="2" borderId="0" xfId="0" applyFont="1" applyFill="1">
      <alignment vertical="center"/>
    </xf>
    <xf numFmtId="176" fontId="2" fillId="2" borderId="0" xfId="0" applyNumberFormat="1" applyFont="1" applyFill="1">
      <alignment vertical="center"/>
    </xf>
    <xf numFmtId="0" fontId="66" fillId="2" borderId="0" xfId="0" applyFont="1" applyFill="1">
      <alignment vertical="center"/>
    </xf>
    <xf numFmtId="0" fontId="67" fillId="2" borderId="0" xfId="0" applyFont="1" applyFill="1">
      <alignment vertical="center"/>
    </xf>
    <xf numFmtId="182" fontId="70" fillId="12" borderId="0" xfId="0" applyNumberFormat="1" applyFont="1" applyFill="1">
      <alignment vertical="center"/>
    </xf>
    <xf numFmtId="0" fontId="71" fillId="2" borderId="0" xfId="0" applyFont="1" applyFill="1">
      <alignment vertical="center"/>
    </xf>
    <xf numFmtId="0" fontId="33" fillId="2" borderId="0" xfId="0" applyFont="1" applyFill="1">
      <alignment vertical="center"/>
    </xf>
    <xf numFmtId="0" fontId="42" fillId="2" borderId="0" xfId="0" applyFont="1" applyFill="1">
      <alignment vertical="center"/>
    </xf>
    <xf numFmtId="187" fontId="21" fillId="2" borderId="0" xfId="5" applyNumberFormat="1" applyFont="1" applyFill="1" applyAlignment="1">
      <alignment horizontal="right" vertical="center"/>
    </xf>
    <xf numFmtId="0" fontId="21" fillId="2" borderId="0" xfId="0" applyFont="1" applyFill="1">
      <alignment vertical="center"/>
    </xf>
    <xf numFmtId="187" fontId="70" fillId="12" borderId="0" xfId="5" applyNumberFormat="1" applyFont="1" applyFill="1" applyAlignment="1">
      <alignment vertical="center"/>
    </xf>
    <xf numFmtId="187" fontId="68" fillId="2" borderId="0" xfId="5" applyNumberFormat="1" applyFont="1" applyFill="1" applyAlignment="1">
      <alignment horizontal="right" vertical="center"/>
    </xf>
    <xf numFmtId="187" fontId="68" fillId="2" borderId="0" xfId="5" applyNumberFormat="1" applyFont="1" applyFill="1" applyAlignment="1">
      <alignment vertical="center"/>
    </xf>
    <xf numFmtId="187" fontId="70" fillId="2" borderId="0" xfId="0" applyNumberFormat="1" applyFont="1" applyFill="1">
      <alignment vertical="center"/>
    </xf>
    <xf numFmtId="187" fontId="70" fillId="2" borderId="0" xfId="5" applyNumberFormat="1" applyFont="1" applyFill="1" applyAlignment="1">
      <alignment vertical="center"/>
    </xf>
    <xf numFmtId="182" fontId="2" fillId="12" borderId="0" xfId="0" applyNumberFormat="1" applyFont="1" applyFill="1">
      <alignment vertical="center"/>
    </xf>
    <xf numFmtId="182" fontId="2" fillId="2" borderId="0" xfId="5" applyNumberFormat="1" applyFont="1" applyFill="1" applyAlignment="1">
      <alignment vertical="center"/>
    </xf>
    <xf numFmtId="187" fontId="21" fillId="2" borderId="0" xfId="0" applyNumberFormat="1" applyFont="1" applyFill="1">
      <alignment vertical="center"/>
    </xf>
    <xf numFmtId="187" fontId="69" fillId="2" borderId="0" xfId="5" applyNumberFormat="1" applyFont="1" applyFill="1" applyAlignment="1">
      <alignment vertical="center"/>
    </xf>
    <xf numFmtId="187" fontId="2" fillId="2" borderId="0" xfId="0" applyNumberFormat="1" applyFont="1" applyFill="1">
      <alignment vertical="center"/>
    </xf>
    <xf numFmtId="187" fontId="2" fillId="2" borderId="0" xfId="5" applyNumberFormat="1" applyFont="1" applyFill="1" applyAlignment="1">
      <alignment vertical="center"/>
    </xf>
    <xf numFmtId="193" fontId="21" fillId="2" borderId="0" xfId="0" applyNumberFormat="1" applyFont="1" applyFill="1">
      <alignment vertical="center"/>
    </xf>
    <xf numFmtId="183" fontId="42" fillId="2" borderId="0" xfId="0" applyNumberFormat="1" applyFont="1" applyFill="1">
      <alignment vertical="center"/>
    </xf>
    <xf numFmtId="182" fontId="21" fillId="2" borderId="0" xfId="0" applyNumberFormat="1" applyFont="1" applyFill="1">
      <alignment vertical="center"/>
    </xf>
    <xf numFmtId="183" fontId="21" fillId="2" borderId="0" xfId="0" applyNumberFormat="1" applyFont="1" applyFill="1">
      <alignment vertical="center"/>
    </xf>
    <xf numFmtId="0" fontId="4" fillId="2" borderId="0" xfId="0" applyFont="1" applyFill="1" applyAlignment="1">
      <alignment horizontal="left" vertical="center"/>
    </xf>
    <xf numFmtId="182" fontId="2" fillId="12" borderId="0" xfId="5" applyNumberFormat="1" applyFont="1" applyFill="1" applyAlignment="1">
      <alignment horizontal="right" vertical="center"/>
    </xf>
    <xf numFmtId="182" fontId="2" fillId="11" borderId="0" xfId="5" applyNumberFormat="1" applyFont="1" applyFill="1" applyAlignment="1">
      <alignment vertical="center"/>
    </xf>
    <xf numFmtId="0" fontId="42" fillId="2" borderId="0" xfId="0" applyFont="1" applyFill="1" applyAlignment="1">
      <alignment horizontal="right" vertical="center"/>
    </xf>
    <xf numFmtId="183" fontId="3" fillId="2" borderId="0" xfId="2" applyNumberFormat="1" applyFont="1" applyFill="1" applyBorder="1" applyAlignment="1">
      <alignment vertical="center"/>
    </xf>
    <xf numFmtId="183" fontId="70" fillId="2" borderId="0" xfId="0" applyNumberFormat="1" applyFont="1" applyFill="1">
      <alignment vertical="center"/>
    </xf>
    <xf numFmtId="183" fontId="66" fillId="2" borderId="0" xfId="0" applyNumberFormat="1" applyFont="1" applyFill="1">
      <alignment vertical="center"/>
    </xf>
    <xf numFmtId="183" fontId="3" fillId="2" borderId="0" xfId="0" applyNumberFormat="1" applyFont="1" applyFill="1">
      <alignment vertical="center"/>
    </xf>
    <xf numFmtId="0" fontId="3" fillId="2" borderId="24" xfId="0" applyFont="1" applyFill="1" applyBorder="1">
      <alignment vertical="center"/>
    </xf>
    <xf numFmtId="0" fontId="22" fillId="2" borderId="24" xfId="0" applyFont="1" applyFill="1" applyBorder="1">
      <alignment vertical="center"/>
    </xf>
    <xf numFmtId="0" fontId="72" fillId="2" borderId="0" xfId="0" applyFont="1" applyFill="1" applyAlignment="1">
      <alignment horizontal="left" vertical="center"/>
    </xf>
    <xf numFmtId="0" fontId="63" fillId="2" borderId="0" xfId="0" applyFont="1" applyFill="1" applyAlignment="1">
      <alignment horizontal="centerContinuous" vertical="center"/>
    </xf>
    <xf numFmtId="0" fontId="41" fillId="2" borderId="0" xfId="0" applyFont="1" applyFill="1" applyAlignment="1">
      <alignment horizontal="right" vertical="center"/>
    </xf>
    <xf numFmtId="0" fontId="63" fillId="2" borderId="0" xfId="0" applyFont="1" applyFill="1" applyAlignment="1">
      <alignment horizontal="center" vertical="center"/>
    </xf>
    <xf numFmtId="0" fontId="73" fillId="2" borderId="0" xfId="0" applyFont="1" applyFill="1">
      <alignment vertical="center"/>
    </xf>
    <xf numFmtId="187" fontId="70" fillId="11" borderId="0" xfId="0" applyNumberFormat="1" applyFont="1" applyFill="1">
      <alignment vertical="center"/>
    </xf>
    <xf numFmtId="176" fontId="2" fillId="2" borderId="0" xfId="2" applyNumberFormat="1" applyFont="1" applyFill="1" applyBorder="1" applyAlignment="1">
      <alignment vertical="center"/>
    </xf>
    <xf numFmtId="0" fontId="74" fillId="2" borderId="0" xfId="0" applyFont="1" applyFill="1">
      <alignment vertical="center"/>
    </xf>
    <xf numFmtId="182" fontId="11" fillId="2" borderId="0" xfId="0" applyNumberFormat="1" applyFont="1" applyFill="1">
      <alignment vertical="center"/>
    </xf>
    <xf numFmtId="187" fontId="21" fillId="2" borderId="0" xfId="5" applyNumberFormat="1" applyFont="1" applyFill="1" applyBorder="1" applyAlignment="1">
      <alignment vertical="center"/>
    </xf>
    <xf numFmtId="182" fontId="11" fillId="12" borderId="0" xfId="0" applyNumberFormat="1" applyFont="1" applyFill="1">
      <alignment vertical="center"/>
    </xf>
    <xf numFmtId="182" fontId="2" fillId="11" borderId="0" xfId="0" applyNumberFormat="1" applyFont="1" applyFill="1">
      <alignment vertical="center"/>
    </xf>
    <xf numFmtId="0" fontId="75" fillId="2" borderId="0" xfId="0" applyFont="1" applyFill="1">
      <alignment vertical="center"/>
    </xf>
    <xf numFmtId="182" fontId="2" fillId="2" borderId="0" xfId="5" applyNumberFormat="1" applyFont="1" applyFill="1" applyBorder="1" applyAlignment="1">
      <alignment vertical="center"/>
    </xf>
    <xf numFmtId="0" fontId="76" fillId="2" borderId="0" xfId="0" applyFont="1" applyFill="1" applyAlignment="1">
      <alignment horizontal="left" vertical="center"/>
    </xf>
    <xf numFmtId="182" fontId="21" fillId="2" borderId="0" xfId="5" applyNumberFormat="1" applyFont="1" applyFill="1" applyBorder="1" applyAlignment="1">
      <alignment vertical="center"/>
    </xf>
    <xf numFmtId="182" fontId="21" fillId="2" borderId="0" xfId="5" applyNumberFormat="1" applyFont="1" applyFill="1" applyBorder="1" applyAlignment="1">
      <alignment horizontal="right" vertical="center"/>
    </xf>
    <xf numFmtId="0" fontId="77" fillId="2" borderId="0" xfId="0" applyFont="1" applyFill="1" applyAlignment="1">
      <alignment horizontal="left" vertical="center"/>
    </xf>
    <xf numFmtId="182" fontId="22" fillId="2" borderId="0" xfId="5" applyNumberFormat="1" applyFont="1" applyFill="1" applyBorder="1" applyAlignment="1">
      <alignment vertical="center"/>
    </xf>
    <xf numFmtId="187" fontId="22" fillId="2" borderId="0" xfId="0" applyNumberFormat="1" applyFont="1" applyFill="1">
      <alignment vertical="center"/>
    </xf>
    <xf numFmtId="0" fontId="33" fillId="2" borderId="25" xfId="0" applyFont="1" applyFill="1" applyBorder="1">
      <alignment vertical="center"/>
    </xf>
    <xf numFmtId="0" fontId="76" fillId="2" borderId="25" xfId="0" applyFont="1" applyFill="1" applyBorder="1" applyAlignment="1">
      <alignment horizontal="left" vertical="center"/>
    </xf>
    <xf numFmtId="182" fontId="2" fillId="2" borderId="25" xfId="5" applyNumberFormat="1" applyFont="1" applyFill="1" applyBorder="1" applyAlignment="1">
      <alignment vertical="center"/>
    </xf>
    <xf numFmtId="187" fontId="64" fillId="2" borderId="0" xfId="0" applyNumberFormat="1" applyFont="1" applyFill="1">
      <alignment vertical="center"/>
    </xf>
    <xf numFmtId="0" fontId="64" fillId="2" borderId="0" xfId="0" applyFont="1" applyFill="1">
      <alignment vertical="center"/>
    </xf>
    <xf numFmtId="184" fontId="3" fillId="10" borderId="0" xfId="0" applyNumberFormat="1" applyFont="1" applyFill="1">
      <alignment vertical="center"/>
    </xf>
    <xf numFmtId="0" fontId="4" fillId="2" borderId="25" xfId="0" applyFont="1" applyFill="1" applyBorder="1">
      <alignment vertical="center"/>
    </xf>
    <xf numFmtId="182" fontId="22" fillId="2" borderId="0" xfId="0" applyNumberFormat="1" applyFont="1" applyFill="1">
      <alignment vertical="center"/>
    </xf>
    <xf numFmtId="0" fontId="79" fillId="2" borderId="0" xfId="0" applyFont="1" applyFill="1">
      <alignment vertical="center"/>
    </xf>
    <xf numFmtId="14" fontId="2" fillId="2" borderId="0" xfId="0" applyNumberFormat="1" applyFont="1" applyFill="1">
      <alignment vertical="center"/>
    </xf>
    <xf numFmtId="14" fontId="2" fillId="2" borderId="0" xfId="0" applyNumberFormat="1" applyFont="1" applyFill="1" applyAlignment="1">
      <alignment horizontal="left" vertical="center"/>
    </xf>
    <xf numFmtId="0" fontId="8" fillId="2" borderId="0" xfId="0" applyFont="1" applyFill="1">
      <alignment vertical="center"/>
    </xf>
    <xf numFmtId="17" fontId="2" fillId="2" borderId="0" xfId="0" applyNumberFormat="1" applyFont="1" applyFill="1">
      <alignment vertical="center"/>
    </xf>
    <xf numFmtId="182" fontId="43" fillId="2" borderId="0" xfId="0" applyNumberFormat="1" applyFont="1" applyFill="1" applyAlignment="1">
      <alignment horizontal="left" vertical="center"/>
    </xf>
    <xf numFmtId="0" fontId="62" fillId="2" borderId="0" xfId="0" applyFont="1" applyFill="1" applyAlignment="1">
      <alignment horizontal="left" vertical="center"/>
    </xf>
    <xf numFmtId="176" fontId="11" fillId="11" borderId="0" xfId="0" applyNumberFormat="1" applyFont="1" applyFill="1" applyAlignment="1">
      <alignment horizontal="right" vertical="center"/>
    </xf>
    <xf numFmtId="188" fontId="2" fillId="2" borderId="0" xfId="0" applyNumberFormat="1" applyFont="1" applyFill="1" applyAlignment="1">
      <alignment horizontal="right" vertical="center"/>
    </xf>
    <xf numFmtId="0" fontId="59" fillId="2" borderId="0" xfId="0" applyFont="1" applyFill="1">
      <alignment vertical="center"/>
    </xf>
    <xf numFmtId="0" fontId="60" fillId="2" borderId="0" xfId="0" applyFont="1" applyFill="1">
      <alignment vertical="center"/>
    </xf>
    <xf numFmtId="0" fontId="61" fillId="2" borderId="0" xfId="0" applyFont="1" applyFill="1">
      <alignment vertical="center"/>
    </xf>
    <xf numFmtId="0" fontId="49" fillId="2" borderId="0" xfId="14" applyFont="1" applyFill="1">
      <alignment vertical="center"/>
    </xf>
    <xf numFmtId="190" fontId="51" fillId="2" borderId="0" xfId="14" applyNumberFormat="1" applyFont="1" applyFill="1" applyAlignment="1">
      <alignment horizontal="right" vertical="center"/>
    </xf>
    <xf numFmtId="0" fontId="50" fillId="2" borderId="7" xfId="14" applyFont="1" applyFill="1" applyBorder="1" applyAlignment="1">
      <alignment horizontal="left" vertical="center"/>
    </xf>
    <xf numFmtId="0" fontId="50" fillId="2" borderId="7" xfId="14" applyFont="1" applyFill="1" applyBorder="1">
      <alignment vertical="center"/>
    </xf>
    <xf numFmtId="0" fontId="2" fillId="2" borderId="7" xfId="14" applyFont="1" applyFill="1" applyBorder="1" applyAlignment="1">
      <alignment horizontal="centerContinuous" vertical="center"/>
    </xf>
    <xf numFmtId="0" fontId="52" fillId="2" borderId="0" xfId="14" applyFont="1" applyFill="1">
      <alignment vertical="center"/>
    </xf>
    <xf numFmtId="189" fontId="51" fillId="2" borderId="0" xfId="14" applyNumberFormat="1" applyFont="1" applyFill="1" applyAlignment="1">
      <alignment horizontal="right" vertical="center"/>
    </xf>
    <xf numFmtId="185" fontId="51" fillId="2" borderId="0" xfId="14" applyNumberFormat="1" applyFont="1" applyFill="1" applyAlignment="1">
      <alignment horizontal="right" vertical="center"/>
    </xf>
    <xf numFmtId="0" fontId="29" fillId="2" borderId="0" xfId="14" applyFont="1" applyFill="1">
      <alignment vertical="center"/>
    </xf>
    <xf numFmtId="178" fontId="51" fillId="2" borderId="0" xfId="14" applyNumberFormat="1" applyFont="1" applyFill="1" applyAlignment="1">
      <alignment horizontal="right" vertical="center"/>
    </xf>
    <xf numFmtId="187" fontId="53" fillId="2" borderId="0" xfId="5" applyNumberFormat="1" applyFont="1" applyFill="1" applyAlignment="1">
      <alignment horizontal="right" vertical="center"/>
    </xf>
    <xf numFmtId="0" fontId="54" fillId="2" borderId="0" xfId="14" applyFont="1" applyFill="1" applyAlignment="1">
      <alignment horizontal="left" vertical="center"/>
    </xf>
    <xf numFmtId="187" fontId="53" fillId="2" borderId="0" xfId="5" applyNumberFormat="1" applyFont="1" applyFill="1" applyBorder="1" applyAlignment="1">
      <alignment horizontal="right" vertical="center"/>
    </xf>
    <xf numFmtId="0" fontId="50" fillId="2" borderId="0" xfId="14" applyFont="1" applyFill="1">
      <alignment vertical="center"/>
    </xf>
    <xf numFmtId="190" fontId="55" fillId="2" borderId="0" xfId="14" applyNumberFormat="1" applyFont="1" applyFill="1" applyAlignment="1">
      <alignment horizontal="right" vertical="center"/>
    </xf>
    <xf numFmtId="0" fontId="50" fillId="2" borderId="0" xfId="14" applyFont="1" applyFill="1" applyAlignment="1">
      <alignment horizontal="left" vertical="center"/>
    </xf>
    <xf numFmtId="190" fontId="55" fillId="2" borderId="0" xfId="5" applyNumberFormat="1" applyFont="1" applyFill="1" applyBorder="1" applyAlignment="1">
      <alignment horizontal="right" vertical="center"/>
    </xf>
    <xf numFmtId="190" fontId="55" fillId="2" borderId="7" xfId="14" applyNumberFormat="1" applyFont="1" applyFill="1" applyBorder="1" applyAlignment="1">
      <alignment horizontal="right" vertical="center"/>
    </xf>
    <xf numFmtId="0" fontId="56" fillId="2" borderId="0" xfId="14" applyFont="1" applyFill="1">
      <alignment vertical="center"/>
    </xf>
    <xf numFmtId="37" fontId="51" fillId="2" borderId="0" xfId="14" applyNumberFormat="1" applyFont="1" applyFill="1" applyAlignment="1">
      <alignment horizontal="right" vertical="center"/>
    </xf>
    <xf numFmtId="0" fontId="2" fillId="2" borderId="7" xfId="14" applyFont="1" applyFill="1" applyBorder="1" applyAlignment="1">
      <alignment horizontal="left" vertical="center"/>
    </xf>
    <xf numFmtId="0" fontId="54" fillId="2" borderId="7" xfId="14" applyFont="1" applyFill="1" applyBorder="1" applyAlignment="1">
      <alignment horizontal="left" vertical="center"/>
    </xf>
    <xf numFmtId="187" fontId="53" fillId="2" borderId="7" xfId="5" applyNumberFormat="1" applyFont="1" applyFill="1" applyBorder="1" applyAlignment="1">
      <alignment horizontal="right" vertical="center"/>
    </xf>
    <xf numFmtId="191" fontId="51" fillId="2" borderId="0" xfId="14" applyNumberFormat="1" applyFont="1" applyFill="1">
      <alignment vertical="center"/>
    </xf>
    <xf numFmtId="0" fontId="29" fillId="2" borderId="7" xfId="14" applyFont="1" applyFill="1" applyBorder="1">
      <alignment vertical="center"/>
    </xf>
    <xf numFmtId="0" fontId="5" fillId="2" borderId="0" xfId="31" applyFont="1" applyFill="1">
      <alignment vertical="center"/>
    </xf>
    <xf numFmtId="0" fontId="2" fillId="2" borderId="0" xfId="31" applyFont="1" applyFill="1">
      <alignment vertical="center"/>
    </xf>
    <xf numFmtId="0" fontId="4" fillId="2" borderId="0" xfId="31" applyFont="1" applyFill="1">
      <alignment vertical="center"/>
    </xf>
    <xf numFmtId="181" fontId="2" fillId="2" borderId="0" xfId="31" applyNumberFormat="1" applyFont="1" applyFill="1">
      <alignment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right" vertical="center"/>
    </xf>
    <xf numFmtId="0" fontId="3" fillId="2" borderId="0" xfId="31" applyFont="1" applyFill="1">
      <alignment vertical="center"/>
    </xf>
    <xf numFmtId="181" fontId="2" fillId="2" borderId="1" xfId="31" applyNumberFormat="1" applyFont="1" applyFill="1" applyBorder="1">
      <alignment vertical="center"/>
    </xf>
    <xf numFmtId="0" fontId="2" fillId="3" borderId="2" xfId="31" applyFont="1" applyFill="1" applyBorder="1">
      <alignment vertical="center"/>
    </xf>
    <xf numFmtId="181" fontId="2" fillId="2" borderId="3" xfId="31" applyNumberFormat="1" applyFont="1" applyFill="1" applyBorder="1">
      <alignment vertical="center"/>
    </xf>
    <xf numFmtId="177" fontId="2" fillId="2" borderId="0" xfId="31" applyNumberFormat="1" applyFont="1" applyFill="1">
      <alignment vertical="center"/>
    </xf>
    <xf numFmtId="0" fontId="3" fillId="0" borderId="0" xfId="31" applyFont="1">
      <alignment vertical="center"/>
    </xf>
    <xf numFmtId="0" fontId="2" fillId="0" borderId="0" xfId="31" applyFont="1">
      <alignment vertical="center"/>
    </xf>
    <xf numFmtId="0" fontId="41" fillId="2" borderId="0" xfId="0" applyFont="1" applyFill="1">
      <alignment vertical="center"/>
    </xf>
    <xf numFmtId="4" fontId="2" fillId="2" borderId="0" xfId="0" applyNumberFormat="1" applyFont="1" applyFill="1" applyAlignment="1">
      <alignment horizontal="right" vertical="center"/>
    </xf>
    <xf numFmtId="4" fontId="16" fillId="2" borderId="0" xfId="0" applyNumberFormat="1" applyFont="1" applyFill="1" applyAlignment="1">
      <alignment horizontal="left" vertical="center"/>
    </xf>
    <xf numFmtId="4" fontId="16" fillId="2" borderId="0" xfId="0" applyNumberFormat="1" applyFont="1" applyFill="1" applyAlignment="1">
      <alignment horizontal="right" vertical="center"/>
    </xf>
    <xf numFmtId="181" fontId="22" fillId="2" borderId="0" xfId="0" applyNumberFormat="1" applyFont="1" applyFill="1">
      <alignment vertical="center"/>
    </xf>
    <xf numFmtId="181" fontId="22" fillId="2" borderId="7" xfId="0" applyNumberFormat="1" applyFont="1" applyFill="1" applyBorder="1">
      <alignment vertical="center"/>
    </xf>
    <xf numFmtId="188" fontId="21" fillId="2" borderId="0" xfId="0" applyNumberFormat="1" applyFont="1" applyFill="1">
      <alignment vertical="center"/>
    </xf>
    <xf numFmtId="0" fontId="131" fillId="4" borderId="0" xfId="2" applyNumberFormat="1" applyFont="1" applyFill="1" applyBorder="1" applyAlignment="1">
      <alignment horizontal="center" vertical="center"/>
    </xf>
    <xf numFmtId="182" fontId="2" fillId="2" borderId="40" xfId="0" applyNumberFormat="1" applyFont="1" applyFill="1" applyBorder="1">
      <alignment vertical="center"/>
    </xf>
    <xf numFmtId="182" fontId="22" fillId="2" borderId="13" xfId="0" applyNumberFormat="1" applyFont="1" applyFill="1" applyBorder="1">
      <alignment vertical="center"/>
    </xf>
    <xf numFmtId="0" fontId="71" fillId="2" borderId="0" xfId="0" applyFont="1" applyFill="1" applyAlignment="1">
      <alignment horizontal="left"/>
    </xf>
    <xf numFmtId="0" fontId="2" fillId="2" borderId="24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185" fontId="38" fillId="2" borderId="24" xfId="0" applyNumberFormat="1" applyFont="1" applyFill="1" applyBorder="1" applyAlignment="1">
      <alignment horizontal="center" vertical="center"/>
    </xf>
    <xf numFmtId="182" fontId="132" fillId="2" borderId="0" xfId="0" applyNumberFormat="1" applyFont="1" applyFill="1" applyAlignment="1">
      <alignment horizontal="right" vertical="center"/>
    </xf>
    <xf numFmtId="0" fontId="2" fillId="19" borderId="0" xfId="0" applyFont="1" applyFill="1">
      <alignment vertical="center"/>
    </xf>
    <xf numFmtId="182" fontId="2" fillId="19" borderId="0" xfId="5" applyNumberFormat="1" applyFont="1" applyFill="1" applyBorder="1" applyAlignment="1">
      <alignment horizontal="right" vertical="center"/>
    </xf>
    <xf numFmtId="10" fontId="44" fillId="19" borderId="0" xfId="5" applyNumberFormat="1" applyFont="1" applyFill="1" applyBorder="1" applyAlignment="1">
      <alignment horizontal="right" vertical="center"/>
    </xf>
    <xf numFmtId="10" fontId="39" fillId="19" borderId="0" xfId="5" applyNumberFormat="1" applyFont="1" applyFill="1" applyBorder="1" applyAlignment="1">
      <alignment horizontal="right" vertical="center"/>
    </xf>
    <xf numFmtId="2" fontId="2" fillId="19" borderId="0" xfId="0" applyNumberFormat="1" applyFont="1" applyFill="1" applyAlignment="1">
      <alignment horizontal="right" vertical="center"/>
    </xf>
    <xf numFmtId="10" fontId="21" fillId="19" borderId="0" xfId="5" applyNumberFormat="1" applyFont="1" applyFill="1" applyBorder="1" applyAlignment="1">
      <alignment horizontal="right" vertical="center"/>
    </xf>
    <xf numFmtId="0" fontId="133" fillId="0" borderId="0" xfId="3" applyFont="1" applyAlignment="1" applyProtection="1">
      <alignment horizontal="left" vertical="center" readingOrder="1"/>
    </xf>
    <xf numFmtId="0" fontId="105" fillId="3" borderId="0" xfId="32" applyNumberFormat="1" applyFont="1" applyFill="1" applyAlignment="1">
      <alignment horizontal="left"/>
    </xf>
    <xf numFmtId="0" fontId="79" fillId="2" borderId="0" xfId="0" applyFont="1" applyFill="1" applyAlignment="1">
      <alignment horizontal="left" vertical="center" wrapText="1"/>
    </xf>
    <xf numFmtId="0" fontId="57" fillId="2" borderId="0" xfId="14" applyFont="1" applyFill="1" applyAlignment="1">
      <alignment horizontal="left" vertical="center" wrapText="1"/>
    </xf>
    <xf numFmtId="0" fontId="3" fillId="0" borderId="14" xfId="0" applyFont="1" applyBorder="1" applyAlignment="1">
      <alignment horizontal="center" vertical="center" textRotation="255"/>
    </xf>
    <xf numFmtId="0" fontId="3" fillId="0" borderId="17" xfId="0" applyFont="1" applyBorder="1" applyAlignment="1">
      <alignment horizontal="center" vertical="center" textRotation="255"/>
    </xf>
    <xf numFmtId="0" fontId="3" fillId="0" borderId="19" xfId="0" applyFont="1" applyBorder="1" applyAlignment="1">
      <alignment horizontal="center" vertical="center" textRotation="255"/>
    </xf>
    <xf numFmtId="0" fontId="3" fillId="2" borderId="0" xfId="0" applyFont="1" applyFill="1" applyAlignment="1">
      <alignment horizontal="left" vertical="center"/>
    </xf>
    <xf numFmtId="181" fontId="18" fillId="6" borderId="0" xfId="0" applyNumberFormat="1" applyFont="1" applyFill="1" applyAlignment="1">
      <alignment horizontal="center"/>
    </xf>
    <xf numFmtId="181" fontId="7" fillId="4" borderId="0" xfId="0" applyNumberFormat="1" applyFont="1" applyFill="1" applyAlignment="1">
      <alignment horizontal="left" vertical="center"/>
    </xf>
    <xf numFmtId="0" fontId="3" fillId="20" borderId="0" xfId="0" applyNumberFormat="1" applyFont="1" applyFill="1" applyBorder="1" applyAlignment="1" applyProtection="1">
      <alignment vertical="center"/>
    </xf>
  </cellXfs>
  <cellStyles count="45">
    <cellStyle name="Bookman Top Border" xfId="1" xr:uid="{00000000-0005-0000-0000-000005000000}"/>
    <cellStyle name="Calc_Title" xfId="4" xr:uid="{00000000-0005-0000-0000-00000C000000}"/>
    <cellStyle name="Comma_Elecsam" xfId="12" xr:uid="{00000000-0005-0000-0000-00002B000000}"/>
    <cellStyle name="Data_1dp" xfId="18" xr:uid="{00000000-0005-0000-0000-00003F000000}"/>
    <cellStyle name="Info_Main" xfId="19" xr:uid="{00000000-0005-0000-0000-000040000000}"/>
    <cellStyle name="Normal_Elecsam" xfId="16" xr:uid="{00000000-0005-0000-0000-000039000000}"/>
    <cellStyle name="百分比" xfId="5" builtinId="5"/>
    <cellStyle name="百分比 2" xfId="6" xr:uid="{00000000-0005-0000-0000-00000F000000}"/>
    <cellStyle name="百分比 2 2" xfId="9" xr:uid="{00000000-0005-0000-0000-000019000000}"/>
    <cellStyle name="百分比 3" xfId="20" xr:uid="{00000000-0005-0000-0000-000041000000}"/>
    <cellStyle name="百分比 3 2" xfId="13" xr:uid="{00000000-0005-0000-0000-00002F000000}"/>
    <cellStyle name="百分比 4" xfId="8" xr:uid="{00000000-0005-0000-0000-000018000000}"/>
    <cellStyle name="百分比 4 2" xfId="10" xr:uid="{00000000-0005-0000-0000-000027000000}"/>
    <cellStyle name="百分比_副本深圳天软科技DCF估值和DDM估值模版-破解" xfId="21" xr:uid="{00000000-0005-0000-0000-000042000000}"/>
    <cellStyle name="常规" xfId="0" builtinId="0"/>
    <cellStyle name="常规 2" xfId="22" xr:uid="{00000000-0005-0000-0000-000043000000}"/>
    <cellStyle name="常规 2 2" xfId="14" xr:uid="{00000000-0005-0000-0000-000036000000}"/>
    <cellStyle name="常规 3" xfId="23" xr:uid="{00000000-0005-0000-0000-000044000000}"/>
    <cellStyle name="常规 3 2" xfId="24" xr:uid="{00000000-0005-0000-0000-000045000000}"/>
    <cellStyle name="常规 4" xfId="25" xr:uid="{00000000-0005-0000-0000-000046000000}"/>
    <cellStyle name="常规 4 2" xfId="26" xr:uid="{00000000-0005-0000-0000-000047000000}"/>
    <cellStyle name="常规 5" xfId="27" xr:uid="{00000000-0005-0000-0000-000048000000}"/>
    <cellStyle name="常规 6" xfId="7" xr:uid="{00000000-0005-0000-0000-000011000000}"/>
    <cellStyle name="常规 7" xfId="28" xr:uid="{00000000-0005-0000-0000-000049000000}"/>
    <cellStyle name="常规 7 2" xfId="29" xr:uid="{00000000-0005-0000-0000-00004A000000}"/>
    <cellStyle name="常规 7 2 2" xfId="30" xr:uid="{00000000-0005-0000-0000-00004B000000}"/>
    <cellStyle name="常规 8" xfId="31" xr:uid="{00000000-0005-0000-0000-00004C000000}"/>
    <cellStyle name="常规 8 2" xfId="11" xr:uid="{00000000-0005-0000-0000-000029000000}"/>
    <cellStyle name="常规_财务基础数据 2" xfId="15" xr:uid="{00000000-0005-0000-0000-000038000000}"/>
    <cellStyle name="常规_副本深圳天软科技DCF估值和DDM估值模版-破解" xfId="32" xr:uid="{00000000-0005-0000-0000-00004D000000}"/>
    <cellStyle name="常规_新会计准则估值模型gtjanew" xfId="33" xr:uid="{00000000-0005-0000-0000-00004E000000}"/>
    <cellStyle name="超链接" xfId="3" builtinId="8"/>
    <cellStyle name="超链接 2" xfId="34" xr:uid="{00000000-0005-0000-0000-00004F000000}"/>
    <cellStyle name="超链接 2 2" xfId="35" xr:uid="{00000000-0005-0000-0000-000050000000}"/>
    <cellStyle name="超链接 3" xfId="36" xr:uid="{00000000-0005-0000-0000-000051000000}"/>
    <cellStyle name="超链接 3 2" xfId="37" xr:uid="{00000000-0005-0000-0000-000052000000}"/>
    <cellStyle name="千位分隔" xfId="2" builtinId="3"/>
    <cellStyle name="千位分隔 2" xfId="38" xr:uid="{00000000-0005-0000-0000-000053000000}"/>
    <cellStyle name="千位分隔 2 2" xfId="17" xr:uid="{00000000-0005-0000-0000-00003E000000}"/>
    <cellStyle name="千位分隔 3" xfId="39" xr:uid="{00000000-0005-0000-0000-000054000000}"/>
    <cellStyle name="千位分隔 3 2" xfId="40" xr:uid="{00000000-0005-0000-0000-000055000000}"/>
    <cellStyle name="千位分隔 4" xfId="41" xr:uid="{00000000-0005-0000-0000-000056000000}"/>
    <cellStyle name="千位分隔 4 2" xfId="42" xr:uid="{00000000-0005-0000-0000-000057000000}"/>
    <cellStyle name="千位分隔 5" xfId="43" xr:uid="{00000000-0005-0000-0000-000058000000}"/>
    <cellStyle name="样式 1" xfId="44" xr:uid="{00000000-0005-0000-0000-000059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7E4F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3366FF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1042638</xdr:colOff>
      <xdr:row>4</xdr:row>
      <xdr:rowOff>53388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90A25A7-E391-4036-A220-38545EAD6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495300"/>
          <a:ext cx="2566638" cy="5486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sirm_dev_tool\trunk\ExcelModel\&#22522;&#26412;&#29256;\&#32858;&#28304;\&#28023;&#36890;&#35777;&#21048;&#26032;&#20250;&#35745;&#20934;&#21017;&#20272;&#20540;&#27169;&#22411;V2.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财务报表输出_海通证券"/>
      <sheetName val="目录"/>
      <sheetName val="销售预测"/>
      <sheetName val="资产预测"/>
      <sheetName val="主要财务摘要"/>
      <sheetName val="模板输出"/>
      <sheetName val="图表输出-各种增长率对比图表"/>
      <sheetName val="杜邦分析"/>
      <sheetName val="图表输出"/>
      <sheetName val="报表摘要"/>
      <sheetName val="西式报表"/>
      <sheetName val="财务基础数据"/>
      <sheetName val="财务基础数据（一季报）"/>
      <sheetName val="财务基础数据（中报）"/>
      <sheetName val="财务基础数据（三季报）"/>
      <sheetName val="财务基础数据（年报）"/>
      <sheetName val="资产负债表"/>
      <sheetName val="Sheet1"/>
      <sheetName val="利润表"/>
      <sheetName val="现金流量表"/>
      <sheetName val="财务分析"/>
      <sheetName val="季报分析"/>
      <sheetName val="现金流"/>
      <sheetName val="估值"/>
      <sheetName val="敏感性APV"/>
      <sheetName val="敏感性WACC"/>
      <sheetName val="敏感性FCFE"/>
      <sheetName val="敏感性AE"/>
      <sheetName val="敏感性DDM"/>
      <sheetName val="敏感性EVA"/>
      <sheetName val="模型导入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>
            <v>2011</v>
          </cell>
          <cell r="C2">
            <v>2012</v>
          </cell>
          <cell r="D2" t="str">
            <v>2013E</v>
          </cell>
          <cell r="E2">
            <v>2014</v>
          </cell>
          <cell r="F2">
            <v>2015</v>
          </cell>
        </row>
        <row r="3">
          <cell r="G3">
            <v>1</v>
          </cell>
        </row>
        <row r="7">
          <cell r="M7" t="str">
            <v>—</v>
          </cell>
          <cell r="N7" t="str">
            <v>—</v>
          </cell>
          <cell r="O7">
            <v>10</v>
          </cell>
          <cell r="P7" t="str">
            <v>—</v>
          </cell>
          <cell r="Q7" t="str">
            <v>—</v>
          </cell>
        </row>
        <row r="8">
          <cell r="M8" t="str">
            <v>—</v>
          </cell>
          <cell r="N8" t="str">
            <v>—</v>
          </cell>
          <cell r="O8">
            <v>10</v>
          </cell>
          <cell r="P8" t="str">
            <v>—</v>
          </cell>
          <cell r="Q8" t="str">
            <v>—</v>
          </cell>
        </row>
        <row r="44">
          <cell r="M44" t="str">
            <v>—</v>
          </cell>
          <cell r="N44" t="str">
            <v>—</v>
          </cell>
          <cell r="O44" t="str">
            <v>—</v>
          </cell>
          <cell r="P44" t="str">
            <v>—</v>
          </cell>
          <cell r="Q44" t="str">
            <v>—</v>
          </cell>
        </row>
        <row r="45">
          <cell r="M45" t="str">
            <v>—</v>
          </cell>
          <cell r="N45" t="str">
            <v>—</v>
          </cell>
          <cell r="O45" t="str">
            <v>—</v>
          </cell>
          <cell r="P45" t="str">
            <v>—</v>
          </cell>
          <cell r="Q45" t="str">
            <v>—</v>
          </cell>
        </row>
        <row r="46">
          <cell r="M46" t="str">
            <v>—</v>
          </cell>
          <cell r="N46" t="str">
            <v>—</v>
          </cell>
          <cell r="O46" t="str">
            <v>—</v>
          </cell>
          <cell r="P46" t="str">
            <v>—</v>
          </cell>
          <cell r="Q46" t="str">
            <v>—</v>
          </cell>
        </row>
        <row r="82">
          <cell r="M82" t="str">
            <v>—</v>
          </cell>
          <cell r="N82" t="str">
            <v>—</v>
          </cell>
          <cell r="O82">
            <v>10</v>
          </cell>
          <cell r="P82" t="str">
            <v>—</v>
          </cell>
          <cell r="Q82" t="str">
            <v>—</v>
          </cell>
        </row>
        <row r="83">
          <cell r="M83" t="str">
            <v>—</v>
          </cell>
          <cell r="N83" t="str">
            <v>—</v>
          </cell>
          <cell r="O83">
            <v>10</v>
          </cell>
          <cell r="P83" t="str">
            <v>—</v>
          </cell>
          <cell r="Q83" t="str">
            <v>—</v>
          </cell>
        </row>
        <row r="84">
          <cell r="M84" t="str">
            <v>—</v>
          </cell>
          <cell r="N84" t="str">
            <v>—</v>
          </cell>
          <cell r="O84" t="str">
            <v>—</v>
          </cell>
          <cell r="P84" t="str">
            <v>—</v>
          </cell>
          <cell r="Q84" t="str">
            <v>—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J28"/>
  <sheetViews>
    <sheetView showGridLines="0" tabSelected="1" workbookViewId="0">
      <selection activeCell="E14" sqref="E14"/>
    </sheetView>
  </sheetViews>
  <sheetFormatPr defaultColWidth="6" defaultRowHeight="20.100000000000001" customHeight="1"/>
  <cols>
    <col min="1" max="1" width="3" style="273" customWidth="1"/>
    <col min="2" max="2" width="20" style="274" customWidth="1"/>
    <col min="3" max="3" width="42.875" style="275" customWidth="1"/>
    <col min="4" max="4" width="7.75" style="275" customWidth="1"/>
    <col min="5" max="5" width="18.375" style="275" customWidth="1"/>
    <col min="6" max="6" width="17.75" style="275" customWidth="1"/>
    <col min="7" max="7" width="19.875" style="275" customWidth="1"/>
    <col min="8" max="8" width="16.25" style="275" customWidth="1"/>
    <col min="9" max="9" width="24.25" style="273" customWidth="1"/>
    <col min="10" max="12" width="10.25" style="273" customWidth="1"/>
    <col min="13" max="16384" width="6" style="273"/>
  </cols>
  <sheetData>
    <row r="1" spans="2:9" ht="20.100000000000001" customHeight="1">
      <c r="B1" s="276"/>
      <c r="C1" s="277"/>
      <c r="D1" s="277"/>
    </row>
    <row r="2" spans="2:9" ht="20.100000000000001" customHeight="1">
      <c r="B2" s="278"/>
      <c r="C2" s="279"/>
      <c r="D2" s="280" t="s">
        <v>0</v>
      </c>
      <c r="E2" s="281" t="s">
        <v>1</v>
      </c>
      <c r="F2" s="282" t="s">
        <v>2</v>
      </c>
      <c r="I2" s="318"/>
    </row>
    <row r="3" spans="2:9" ht="20.100000000000001" customHeight="1">
      <c r="B3" s="283"/>
      <c r="C3" s="278"/>
      <c r="D3" s="284">
        <v>3</v>
      </c>
      <c r="E3" s="281" t="s">
        <v>3</v>
      </c>
      <c r="F3" s="282" t="s">
        <v>4</v>
      </c>
      <c r="I3" s="327"/>
    </row>
    <row r="4" spans="2:9" ht="20.100000000000001" customHeight="1">
      <c r="B4" s="285"/>
      <c r="C4" s="286"/>
      <c r="D4" s="284">
        <v>3</v>
      </c>
      <c r="E4" s="281" t="s">
        <v>5</v>
      </c>
      <c r="F4" s="282" t="s">
        <v>4</v>
      </c>
      <c r="H4" s="283"/>
      <c r="I4" s="330"/>
    </row>
    <row r="5" spans="2:9" ht="20.100000000000001" customHeight="1">
      <c r="C5" s="286"/>
      <c r="D5" s="287" t="s">
        <v>6</v>
      </c>
      <c r="E5" s="288" t="s">
        <v>7</v>
      </c>
      <c r="F5" s="282" t="s">
        <v>4</v>
      </c>
      <c r="I5" s="330"/>
    </row>
    <row r="6" spans="2:9" ht="20.100000000000001" customHeight="1">
      <c r="B6" s="289" t="s">
        <v>8</v>
      </c>
      <c r="C6" s="290"/>
      <c r="D6" s="291">
        <v>9.9999999999999995E-7</v>
      </c>
      <c r="E6" s="281" t="s">
        <v>9</v>
      </c>
      <c r="F6" s="282" t="s">
        <v>2</v>
      </c>
      <c r="G6" s="292"/>
      <c r="H6" s="293"/>
    </row>
    <row r="7" spans="2:9" ht="20.100000000000001" customHeight="1">
      <c r="B7" s="289" t="s">
        <v>10</v>
      </c>
      <c r="C7" s="290"/>
      <c r="D7" s="291" t="str">
        <f>LEFT(D5,LEN(D5)-1)</f>
        <v>百万</v>
      </c>
      <c r="E7" s="281" t="s">
        <v>11</v>
      </c>
      <c r="F7" s="282" t="s">
        <v>2</v>
      </c>
      <c r="G7" s="294"/>
      <c r="H7" s="293"/>
    </row>
    <row r="8" spans="2:9" ht="20.100000000000001" customHeight="1">
      <c r="B8" s="289" t="s">
        <v>12</v>
      </c>
      <c r="C8" s="295"/>
      <c r="D8" s="296"/>
      <c r="E8" s="281" t="s">
        <v>13</v>
      </c>
      <c r="F8" s="282" t="s">
        <v>2</v>
      </c>
      <c r="G8" s="294"/>
      <c r="H8" s="293"/>
    </row>
    <row r="9" spans="2:9" ht="20.100000000000001" customHeight="1">
      <c r="B9" s="289" t="s">
        <v>14</v>
      </c>
      <c r="C9" s="295"/>
      <c r="D9" s="296"/>
      <c r="E9" s="288" t="s">
        <v>15</v>
      </c>
      <c r="F9" s="282" t="s">
        <v>4</v>
      </c>
      <c r="G9" s="568" t="s">
        <v>561</v>
      </c>
      <c r="H9" s="293"/>
    </row>
    <row r="10" spans="2:9" ht="15" customHeight="1">
      <c r="B10" s="567" t="s">
        <v>559</v>
      </c>
      <c r="C10" s="295"/>
      <c r="D10" s="296"/>
      <c r="E10" s="281" t="s">
        <v>16</v>
      </c>
      <c r="F10" s="419"/>
      <c r="G10" s="568" t="s">
        <v>560</v>
      </c>
      <c r="H10" s="293"/>
    </row>
    <row r="11" spans="2:9" ht="20.100000000000001" customHeight="1">
      <c r="B11" s="297"/>
      <c r="C11" s="293"/>
      <c r="D11" s="298"/>
      <c r="E11" s="293"/>
      <c r="F11" s="299"/>
      <c r="G11" s="293"/>
      <c r="H11" s="293"/>
    </row>
    <row r="12" spans="2:9" ht="20.100000000000001" customHeight="1">
      <c r="B12" s="300" t="s">
        <v>17</v>
      </c>
      <c r="C12" s="301"/>
      <c r="D12" s="296"/>
      <c r="E12" s="300" t="s">
        <v>18</v>
      </c>
      <c r="F12" s="302"/>
      <c r="G12" s="303"/>
      <c r="H12" s="303"/>
      <c r="I12" s="331"/>
    </row>
    <row r="13" spans="2:9" ht="20.100000000000001" customHeight="1">
      <c r="B13" s="304" t="s">
        <v>19</v>
      </c>
      <c r="C13" s="305"/>
      <c r="D13" s="296"/>
      <c r="E13" s="306" t="s">
        <v>20</v>
      </c>
      <c r="F13" s="307"/>
      <c r="G13" s="307"/>
      <c r="H13" s="308"/>
    </row>
    <row r="14" spans="2:9" ht="20.100000000000001" customHeight="1">
      <c r="B14" s="304" t="s">
        <v>21</v>
      </c>
      <c r="C14" s="309"/>
      <c r="D14" s="296"/>
      <c r="E14" s="306" t="s">
        <v>22</v>
      </c>
      <c r="F14" s="310"/>
      <c r="G14" s="307"/>
      <c r="H14" s="311"/>
    </row>
    <row r="15" spans="2:9" ht="20.100000000000001" customHeight="1">
      <c r="B15" s="304" t="s">
        <v>23</v>
      </c>
      <c r="C15" s="309"/>
      <c r="D15" s="296"/>
      <c r="E15" s="306" t="s">
        <v>555</v>
      </c>
      <c r="F15" s="296"/>
      <c r="G15" s="307"/>
      <c r="H15" s="311"/>
    </row>
    <row r="16" spans="2:9" ht="20.100000000000001" customHeight="1">
      <c r="B16" s="304" t="s">
        <v>24</v>
      </c>
      <c r="C16" s="309"/>
      <c r="D16" s="296"/>
      <c r="E16" s="306" t="s">
        <v>556</v>
      </c>
      <c r="F16" s="296"/>
      <c r="G16" s="307"/>
      <c r="H16" s="311"/>
    </row>
    <row r="17" spans="2:10" ht="20.100000000000001" customHeight="1">
      <c r="B17" s="304" t="s">
        <v>25</v>
      </c>
      <c r="C17" s="309"/>
      <c r="D17" s="296"/>
      <c r="E17" s="306" t="s">
        <v>558</v>
      </c>
      <c r="F17" s="296"/>
      <c r="G17" s="307"/>
      <c r="H17" s="311"/>
    </row>
    <row r="18" spans="2:10" ht="20.100000000000001" customHeight="1">
      <c r="B18" s="304" t="s">
        <v>26</v>
      </c>
      <c r="C18" s="312"/>
      <c r="D18" s="296"/>
      <c r="E18" s="313" t="s">
        <v>557</v>
      </c>
      <c r="F18" s="314"/>
      <c r="G18" s="314"/>
      <c r="H18" s="315"/>
    </row>
    <row r="19" spans="2:10" ht="15" customHeight="1">
      <c r="B19" s="316"/>
      <c r="C19" s="317"/>
      <c r="D19" s="318"/>
      <c r="H19" s="273"/>
    </row>
    <row r="20" spans="2:10" s="272" customFormat="1" ht="15.95" customHeight="1">
      <c r="B20" s="319" t="s">
        <v>27</v>
      </c>
      <c r="C20" s="318" t="s">
        <v>28</v>
      </c>
      <c r="D20" s="320"/>
      <c r="E20" s="321" t="s">
        <v>29</v>
      </c>
      <c r="F20" s="322" t="s">
        <v>30</v>
      </c>
      <c r="G20" s="323"/>
      <c r="H20" s="324"/>
      <c r="I20" s="332"/>
      <c r="J20" s="332"/>
    </row>
    <row r="21" spans="2:10" s="272" customFormat="1" ht="15.95" customHeight="1">
      <c r="B21" s="319" t="s">
        <v>31</v>
      </c>
      <c r="C21" s="318" t="s">
        <v>28</v>
      </c>
      <c r="D21" s="325"/>
      <c r="E21" s="321" t="s">
        <v>29</v>
      </c>
      <c r="F21" s="322" t="s">
        <v>30</v>
      </c>
      <c r="G21" s="326" t="s">
        <v>32</v>
      </c>
      <c r="H21" s="275"/>
    </row>
    <row r="22" spans="2:10" s="272" customFormat="1" ht="15.95" customHeight="1">
      <c r="B22" s="319" t="s">
        <v>33</v>
      </c>
      <c r="C22" s="327" t="s">
        <v>34</v>
      </c>
      <c r="D22" s="328"/>
      <c r="E22" s="318"/>
      <c r="G22" s="326" t="s">
        <v>32</v>
      </c>
    </row>
    <row r="23" spans="2:10" s="272" customFormat="1" ht="15.95" customHeight="1">
      <c r="B23" s="319" t="s">
        <v>35</v>
      </c>
      <c r="C23" s="327" t="s">
        <v>34</v>
      </c>
      <c r="D23" s="329"/>
      <c r="E23" s="318"/>
      <c r="F23" s="318"/>
    </row>
    <row r="24" spans="2:10" s="272" customFormat="1" ht="15.95" customHeight="1">
      <c r="B24" s="319" t="s">
        <v>36</v>
      </c>
      <c r="C24" s="318" t="s">
        <v>28</v>
      </c>
      <c r="D24" s="329"/>
      <c r="E24" s="321" t="s">
        <v>29</v>
      </c>
      <c r="F24" s="318"/>
    </row>
    <row r="25" spans="2:10" s="272" customFormat="1" ht="15.95" customHeight="1">
      <c r="B25" s="319" t="s">
        <v>37</v>
      </c>
      <c r="C25" s="318" t="s">
        <v>28</v>
      </c>
      <c r="D25" s="329"/>
      <c r="E25" s="321" t="s">
        <v>29</v>
      </c>
      <c r="F25" s="318"/>
    </row>
    <row r="26" spans="2:10" s="272" customFormat="1" ht="15.95" customHeight="1">
      <c r="B26" s="319" t="s">
        <v>38</v>
      </c>
      <c r="C26" s="318" t="s">
        <v>28</v>
      </c>
      <c r="D26" s="329"/>
      <c r="E26" s="321" t="s">
        <v>29</v>
      </c>
      <c r="F26" s="318"/>
    </row>
    <row r="27" spans="2:10" s="272" customFormat="1" ht="15.95" customHeight="1">
      <c r="B27" s="319" t="s">
        <v>39</v>
      </c>
      <c r="C27" s="318" t="s">
        <v>28</v>
      </c>
      <c r="D27" s="329"/>
      <c r="E27" s="321" t="s">
        <v>29</v>
      </c>
      <c r="F27" s="322" t="s">
        <v>30</v>
      </c>
    </row>
    <row r="28" spans="2:10" s="272" customFormat="1" ht="15.95" customHeight="1">
      <c r="B28" s="319" t="s">
        <v>40</v>
      </c>
      <c r="C28" s="318" t="s">
        <v>41</v>
      </c>
      <c r="D28" s="318"/>
      <c r="E28" s="318"/>
      <c r="F28" s="318"/>
      <c r="G28" s="318"/>
    </row>
  </sheetData>
  <phoneticPr fontId="93" type="noConversion"/>
  <hyperlinks>
    <hyperlink ref="B22" location="主要财务摘要!A1" display="主要财务摘要" xr:uid="{00000000-0004-0000-0000-000000000000}"/>
    <hyperlink ref="B23" location="报表摘要!A1" display="报表摘要" xr:uid="{00000000-0004-0000-0000-000001000000}"/>
    <hyperlink ref="B24" location="资产负债表!A1" display="资产负债表" xr:uid="{00000000-0004-0000-0000-000002000000}"/>
    <hyperlink ref="B25" location="利润表!A1" display="利润表" xr:uid="{00000000-0004-0000-0000-000003000000}"/>
    <hyperlink ref="B26" location="现金流量表!A1" display="现金流量表" xr:uid="{00000000-0004-0000-0000-000004000000}"/>
    <hyperlink ref="B28" location="财务基础数据!A1" display="财务基础数据" xr:uid="{00000000-0004-0000-0000-000005000000}"/>
    <hyperlink ref="B20" location="销售预测!A1" display="销售预测" xr:uid="{00000000-0004-0000-0000-000006000000}"/>
    <hyperlink ref="B21" location="资产预测!A1" display="资产预测" xr:uid="{00000000-0004-0000-0000-000007000000}"/>
    <hyperlink ref="B27" location="估值!A1" display="估值" xr:uid="{00000000-0004-0000-0000-000008000000}"/>
  </hyperlinks>
  <pageMargins left="0.7" right="0.7" top="0.75" bottom="0.75" header="0.3" footer="0.3"/>
  <pageSetup paperSize="9" orientation="portrait" horizontalDpi="1200" verticalDpi="1200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"/>
  <dimension ref="A1:CD45"/>
  <sheetViews>
    <sheetView showGridLines="0" zoomScale="85" zoomScaleNormal="85" workbookViewId="0">
      <pane xSplit="2" ySplit="3" topLeftCell="C4" activePane="bottomRight" state="frozen"/>
      <selection pane="topRight"/>
      <selection pane="bottomLeft"/>
      <selection pane="bottomRight" activeCell="T5" sqref="T5"/>
    </sheetView>
  </sheetViews>
  <sheetFormatPr defaultColWidth="9" defaultRowHeight="17.25" outlineLevelCol="1"/>
  <cols>
    <col min="1" max="1" width="11.875" style="19" customWidth="1"/>
    <col min="2" max="2" width="15.125" style="19" customWidth="1"/>
    <col min="3" max="3" width="3" style="132" customWidth="1"/>
    <col min="4" max="6" width="11.125" style="132" hidden="1" customWidth="1"/>
    <col min="7" max="12" width="15.625" style="132" customWidth="1"/>
    <col min="13" max="19" width="15.625" style="132" hidden="1" customWidth="1"/>
    <col min="20" max="20" width="15.625" style="132" customWidth="1"/>
    <col min="21" max="23" width="15.625" style="132" hidden="1" customWidth="1" outlineLevel="1"/>
    <col min="24" max="24" width="15.625" style="132" hidden="1" customWidth="1" outlineLevel="1" collapsed="1"/>
    <col min="25" max="27" width="15.625" style="132" hidden="1" customWidth="1" outlineLevel="1"/>
    <col min="28" max="28" width="15.625" style="132" hidden="1" customWidth="1" outlineLevel="1" collapsed="1"/>
    <col min="29" max="29" width="15.625" style="132" customWidth="1" collapsed="1"/>
    <col min="30" max="47" width="15.625" style="132" customWidth="1"/>
    <col min="48" max="48" width="4.875" style="132" customWidth="1"/>
    <col min="64" max="16384" width="9" style="132"/>
  </cols>
  <sheetData>
    <row r="1" spans="1:82" ht="24" customHeight="1">
      <c r="A1" s="263" t="s">
        <v>152</v>
      </c>
      <c r="B1" s="364"/>
      <c r="C1" s="365"/>
      <c r="D1" s="365"/>
      <c r="E1" s="365"/>
      <c r="F1" s="365"/>
      <c r="G1" s="67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Y1" s="156"/>
      <c r="Z1" s="156"/>
      <c r="AA1" s="156"/>
      <c r="AC1" s="156"/>
      <c r="AD1" s="156"/>
      <c r="AE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</row>
    <row r="2" spans="1:82" ht="18">
      <c r="A2" s="142" t="str">
        <f>主要财务摘要!H2</f>
        <v>单位：港币(百万)</v>
      </c>
      <c r="B2" s="366"/>
      <c r="C2" s="367"/>
      <c r="D2" s="367"/>
      <c r="E2" s="367"/>
      <c r="F2" s="367"/>
      <c r="G2" s="265" t="s">
        <v>153</v>
      </c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368"/>
      <c r="V2" s="368"/>
      <c r="W2" s="368"/>
      <c r="X2" s="368"/>
      <c r="Y2" s="368"/>
      <c r="Z2" s="368"/>
      <c r="AA2" s="368"/>
      <c r="AB2" s="368"/>
      <c r="AC2" s="269"/>
      <c r="AD2" s="368"/>
      <c r="AE2" s="368"/>
      <c r="AF2" s="368"/>
      <c r="AG2" s="156"/>
      <c r="AH2" s="156"/>
      <c r="AI2" s="156"/>
      <c r="AJ2" s="269" t="s">
        <v>553</v>
      </c>
      <c r="AK2" s="156"/>
      <c r="AL2" s="156"/>
      <c r="AM2" s="156"/>
      <c r="AN2" s="156"/>
      <c r="AO2" s="156"/>
      <c r="AP2" s="156"/>
      <c r="AQ2" s="156"/>
      <c r="AR2" s="156"/>
      <c r="AS2" s="156"/>
      <c r="AT2" s="156"/>
      <c r="AU2" s="156"/>
      <c r="AV2" s="156"/>
    </row>
    <row r="3" spans="1:82" ht="18" customHeight="1">
      <c r="A3" s="266" t="s">
        <v>154</v>
      </c>
      <c r="B3" s="266"/>
      <c r="C3" s="397"/>
      <c r="D3" s="397"/>
      <c r="E3" s="397"/>
      <c r="F3" s="397"/>
      <c r="G3" s="226">
        <f>利润表!O4</f>
        <v>2019</v>
      </c>
      <c r="H3" s="226">
        <f>利润表!S4</f>
        <v>2020</v>
      </c>
      <c r="I3" s="226">
        <f>利润表!W4</f>
        <v>2021</v>
      </c>
      <c r="J3" s="398" t="str">
        <f>利润表!AA4</f>
        <v>2022E</v>
      </c>
      <c r="K3" s="398">
        <f>利润表!AB4</f>
        <v>2023</v>
      </c>
      <c r="L3" s="398">
        <f>利润表!AC4</f>
        <v>2024</v>
      </c>
      <c r="M3" s="398">
        <f>利润表!AD4</f>
        <v>2025</v>
      </c>
      <c r="N3" s="398">
        <f>利润表!AE4</f>
        <v>2026</v>
      </c>
      <c r="O3" s="398">
        <f>利润表!AF4</f>
        <v>2027</v>
      </c>
      <c r="P3" s="398">
        <f>利润表!AG4</f>
        <v>2028</v>
      </c>
      <c r="Q3" s="398">
        <f>利润表!AH4</f>
        <v>2029</v>
      </c>
      <c r="R3" s="398">
        <f>利润表!AI4</f>
        <v>2030</v>
      </c>
      <c r="S3" s="398">
        <f>利润表!AJ4</f>
        <v>2031</v>
      </c>
      <c r="T3" s="399"/>
      <c r="U3" s="400" t="str">
        <f>"1Q"&amp;RIGHT(利润表!L4,2)</f>
        <v>1Q19</v>
      </c>
      <c r="V3" s="400" t="str">
        <f>"2Q"&amp;RIGHT(利润表!M4,2)</f>
        <v>2Q19</v>
      </c>
      <c r="W3" s="400" t="str">
        <f>"3Q"&amp;RIGHT(利润表!N4,2)</f>
        <v>3Q19</v>
      </c>
      <c r="X3" s="400" t="str">
        <f>"4Q"&amp;RIGHT(利润表!O4,2)</f>
        <v>4Q19</v>
      </c>
      <c r="Y3" s="400" t="str">
        <f>"1Q"&amp;RIGHT(利润表!P4,2)</f>
        <v>1Q20</v>
      </c>
      <c r="Z3" s="400" t="str">
        <f>"2Q"&amp;RIGHT(利润表!Q4,2)</f>
        <v>2Q20</v>
      </c>
      <c r="AA3" s="400" t="str">
        <f>"3Q"&amp;RIGHT(利润表!R4,2)</f>
        <v>3Q20</v>
      </c>
      <c r="AB3" s="400" t="str">
        <f>"4Q"&amp;RIGHT(利润表!S4,2)</f>
        <v>4Q20</v>
      </c>
      <c r="AC3" s="400" t="str">
        <f>"1Q"&amp;RIGHT(利润表!T4,2)</f>
        <v>1Q21</v>
      </c>
      <c r="AD3" s="400" t="str">
        <f>"2Q"&amp;RIGHT(利润表!U4,2)</f>
        <v>2Q21</v>
      </c>
      <c r="AE3" s="400" t="str">
        <f>"3Q"&amp;RIGHT(利润表!V4,2)</f>
        <v>3Q21</v>
      </c>
      <c r="AF3" s="400" t="str">
        <f>"4Q"&amp;RIGHT(利润表!W4,2)</f>
        <v>4Q21</v>
      </c>
      <c r="AG3" s="400" t="str">
        <f>"1Q"&amp;RIGHT(利润表!X4,2)</f>
        <v>1Q22</v>
      </c>
      <c r="AH3" s="400" t="str">
        <f>"2Q"&amp;RIGHT(利润表!Y4,2)</f>
        <v>2Q22</v>
      </c>
      <c r="AI3" s="400" t="str">
        <f>"3Q"&amp;RIGHT(利润表!Z4,2)</f>
        <v>3Q22</v>
      </c>
      <c r="AJ3" s="398" t="str">
        <f>"1Q"&amp;LEFT(利润表!$AA$4,4)</f>
        <v>1Q2022</v>
      </c>
      <c r="AK3" s="398" t="str">
        <f>"2Q"&amp;LEFT(利润表!$AA$4,4)</f>
        <v>2Q2022</v>
      </c>
      <c r="AL3" s="398" t="str">
        <f>"3Q"&amp;LEFT(利润表!$AA$4,4)</f>
        <v>3Q2022</v>
      </c>
      <c r="AM3" s="398" t="str">
        <f>"4Q"&amp;LEFT(利润表!$AA$4,4)</f>
        <v>4Q2022</v>
      </c>
      <c r="AN3" s="398" t="str">
        <f>"1Q"&amp;LEFT(利润表!$AB$4,4)</f>
        <v>1Q2023</v>
      </c>
      <c r="AO3" s="398" t="str">
        <f>"2Q"&amp;LEFT(利润表!$AB$4,4)</f>
        <v>2Q2023</v>
      </c>
      <c r="AP3" s="398" t="str">
        <f>"3Q"&amp;LEFT(利润表!$AB$4,4)</f>
        <v>3Q2023</v>
      </c>
      <c r="AQ3" s="398" t="str">
        <f>"4Q"&amp;LEFT(利润表!$AB$4,4)</f>
        <v>4Q2023</v>
      </c>
      <c r="AR3" s="398" t="str">
        <f>"1Q"&amp;LEFT(利润表!$AC$4,4)</f>
        <v>1Q2024</v>
      </c>
      <c r="AS3" s="398" t="str">
        <f>"2Q"&amp;LEFT(利润表!$AC$4,4)</f>
        <v>2Q2024</v>
      </c>
      <c r="AT3" s="398" t="str">
        <f>"3Q"&amp;LEFT(利润表!$AC$4,4)</f>
        <v>3Q2024</v>
      </c>
      <c r="AU3" s="398" t="str">
        <f>"4Q"&amp;LEFT(利润表!$AC$4,4)</f>
        <v>4Q2024</v>
      </c>
      <c r="AV3" s="401"/>
    </row>
    <row r="4" spans="1:82" s="131" customFormat="1" ht="15.75">
      <c r="A4" s="369" t="s">
        <v>155</v>
      </c>
      <c r="B4" s="79"/>
      <c r="C4" s="370"/>
      <c r="D4" s="370"/>
      <c r="E4" s="370"/>
      <c r="F4" s="370"/>
      <c r="G4" s="402">
        <f>利润表!O6</f>
        <v>0</v>
      </c>
      <c r="H4" s="402">
        <f>利润表!S6</f>
        <v>0</v>
      </c>
      <c r="I4" s="402">
        <f>利润表!W6</f>
        <v>0</v>
      </c>
      <c r="J4" s="403">
        <f>IF(COUNT(AJ4:AM4)=4,SUM(AJ4:AM4),0)</f>
        <v>0</v>
      </c>
      <c r="K4" s="403">
        <f>IF(COUNT(AN4:AQ4)=4,SUM(AN4:AQ4),0)</f>
        <v>0</v>
      </c>
      <c r="L4" s="403">
        <f>IF(COUNT(AR4:AU4)=4,SUM(AR4:AU4),0)</f>
        <v>0</v>
      </c>
      <c r="M4" s="403"/>
      <c r="N4" s="403"/>
      <c r="O4" s="403"/>
      <c r="P4" s="403"/>
      <c r="Q4" s="403"/>
      <c r="R4" s="403"/>
      <c r="S4" s="403"/>
      <c r="T4" s="404"/>
      <c r="U4" s="402">
        <f>利润表!L6</f>
        <v>0</v>
      </c>
      <c r="V4" s="402">
        <f>利润表!M6-利润表!L6</f>
        <v>0</v>
      </c>
      <c r="W4" s="402">
        <f>利润表!N6-利润表!M6</f>
        <v>0</v>
      </c>
      <c r="X4" s="405">
        <f>利润表!O6-利润表!N6</f>
        <v>0</v>
      </c>
      <c r="Y4" s="402">
        <f>利润表!P6</f>
        <v>0</v>
      </c>
      <c r="Z4" s="402">
        <f>利润表!Q6-利润表!P6</f>
        <v>0</v>
      </c>
      <c r="AA4" s="402">
        <f>利润表!R6-利润表!Q6</f>
        <v>0</v>
      </c>
      <c r="AB4" s="405">
        <f>利润表!S6-利润表!R6</f>
        <v>0</v>
      </c>
      <c r="AC4" s="402">
        <f>利润表!T6</f>
        <v>0</v>
      </c>
      <c r="AD4" s="402">
        <f>利润表!U6-利润表!T6</f>
        <v>0</v>
      </c>
      <c r="AE4" s="402">
        <f>利润表!V6-利润表!U6</f>
        <v>0</v>
      </c>
      <c r="AF4" s="405">
        <f>利润表!W6-利润表!V6</f>
        <v>0</v>
      </c>
      <c r="AG4" s="402">
        <f>IF(财务基础数据!$W$2=0,0,利润表!X6)</f>
        <v>0</v>
      </c>
      <c r="AH4" s="402">
        <f>IF(财务基础数据!$W$2&lt;=1,0,利润表!Y6-利润表!X6)</f>
        <v>0</v>
      </c>
      <c r="AI4" s="402">
        <f>IF(财务基础数据!$W$2&lt;=2,0,利润表!Z6-利润表!Y6)</f>
        <v>0</v>
      </c>
      <c r="AJ4" s="270" t="str">
        <f>IF(财务基础数据!$W$2=0," ",AG4)</f>
        <v xml:space="preserve"> </v>
      </c>
      <c r="AK4" s="270" t="str">
        <f>IF(财务基础数据!$W$2&lt;=1," ",AH4)</f>
        <v xml:space="preserve"> </v>
      </c>
      <c r="AL4" s="270" t="str">
        <f>IF(财务基础数据!$W$2&lt;=2," ",AI4)</f>
        <v xml:space="preserve"> </v>
      </c>
      <c r="AM4" s="270"/>
      <c r="AN4" s="270"/>
      <c r="AO4" s="270"/>
      <c r="AP4" s="270"/>
      <c r="AQ4" s="270"/>
      <c r="AR4" s="270"/>
      <c r="AS4" s="270"/>
      <c r="AT4" s="270"/>
      <c r="AU4" s="270"/>
      <c r="AV4" s="91"/>
    </row>
    <row r="5" spans="1:82" s="362" customFormat="1">
      <c r="A5" s="363" t="s">
        <v>156</v>
      </c>
      <c r="B5" s="358"/>
      <c r="C5" s="359"/>
      <c r="D5" s="359"/>
      <c r="E5" s="359"/>
      <c r="F5" s="359"/>
      <c r="G5" s="406" t="str">
        <f>IF(ISERROR((G4-利润表!K6)/ABS(利润表!K6)),"—",(G4-利润表!K6)/ABS(利润表!K6))</f>
        <v>—</v>
      </c>
      <c r="H5" s="406" t="str">
        <f t="shared" ref="H5:S5" si="0">IF(ISERROR((H4-G4)/ABS(G4)),"—",(H4-G4)/ABS(G4))</f>
        <v>—</v>
      </c>
      <c r="I5" s="406" t="str">
        <f t="shared" si="0"/>
        <v>—</v>
      </c>
      <c r="J5" s="407" t="str">
        <f t="shared" si="0"/>
        <v>—</v>
      </c>
      <c r="K5" s="407" t="str">
        <f t="shared" si="0"/>
        <v>—</v>
      </c>
      <c r="L5" s="407" t="str">
        <f t="shared" si="0"/>
        <v>—</v>
      </c>
      <c r="M5" s="407" t="str">
        <f t="shared" si="0"/>
        <v>—</v>
      </c>
      <c r="N5" s="407" t="str">
        <f t="shared" si="0"/>
        <v>—</v>
      </c>
      <c r="O5" s="407" t="str">
        <f t="shared" si="0"/>
        <v>—</v>
      </c>
      <c r="P5" s="407" t="str">
        <f t="shared" si="0"/>
        <v>—</v>
      </c>
      <c r="Q5" s="407" t="str">
        <f t="shared" si="0"/>
        <v>—</v>
      </c>
      <c r="R5" s="407" t="str">
        <f t="shared" si="0"/>
        <v>—</v>
      </c>
      <c r="S5" s="407" t="str">
        <f t="shared" si="0"/>
        <v>—</v>
      </c>
      <c r="T5" s="407"/>
      <c r="U5" s="406"/>
      <c r="V5" s="406" t="str">
        <f t="shared" ref="V5:AU5" si="1">IF(ISERROR((V4-U4)/ABS(U4)),"—",(V4-U4)/ABS(U4))</f>
        <v>—</v>
      </c>
      <c r="W5" s="406" t="str">
        <f t="shared" si="1"/>
        <v>—</v>
      </c>
      <c r="X5" s="408" t="str">
        <f t="shared" si="1"/>
        <v>—</v>
      </c>
      <c r="Y5" s="406" t="str">
        <f t="shared" si="1"/>
        <v>—</v>
      </c>
      <c r="Z5" s="406" t="str">
        <f t="shared" si="1"/>
        <v>—</v>
      </c>
      <c r="AA5" s="406" t="str">
        <f t="shared" si="1"/>
        <v>—</v>
      </c>
      <c r="AB5" s="408" t="str">
        <f t="shared" si="1"/>
        <v>—</v>
      </c>
      <c r="AC5" s="406" t="str">
        <f t="shared" si="1"/>
        <v>—</v>
      </c>
      <c r="AD5" s="406" t="str">
        <f t="shared" si="1"/>
        <v>—</v>
      </c>
      <c r="AE5" s="406" t="str">
        <f t="shared" si="1"/>
        <v>—</v>
      </c>
      <c r="AF5" s="408" t="str">
        <f t="shared" si="1"/>
        <v>—</v>
      </c>
      <c r="AG5" s="406" t="str">
        <f t="shared" si="1"/>
        <v>—</v>
      </c>
      <c r="AH5" s="406" t="str">
        <f t="shared" si="1"/>
        <v>—</v>
      </c>
      <c r="AI5" s="406" t="str">
        <f t="shared" si="1"/>
        <v>—</v>
      </c>
      <c r="AJ5" s="406" t="str">
        <f>IF(ISERROR((AJ4-AF4)/ABS(AF4)),"—",(AJ4-AF4)/ABS(AF4))</f>
        <v>—</v>
      </c>
      <c r="AK5" s="406" t="str">
        <f>IF(ISERROR((AK4-AJ4)/ABS(AJ4)),"—",(AK4-AJ4)/ABS(AJ4))</f>
        <v>—</v>
      </c>
      <c r="AL5" s="406" t="str">
        <f t="shared" si="1"/>
        <v>—</v>
      </c>
      <c r="AM5" s="406" t="str">
        <f t="shared" si="1"/>
        <v>—</v>
      </c>
      <c r="AN5" s="406" t="str">
        <f t="shared" si="1"/>
        <v>—</v>
      </c>
      <c r="AO5" s="406" t="str">
        <f t="shared" si="1"/>
        <v>—</v>
      </c>
      <c r="AP5" s="406" t="str">
        <f t="shared" si="1"/>
        <v>—</v>
      </c>
      <c r="AQ5" s="406" t="str">
        <f t="shared" si="1"/>
        <v>—</v>
      </c>
      <c r="AR5" s="406" t="str">
        <f t="shared" si="1"/>
        <v>—</v>
      </c>
      <c r="AS5" s="406" t="str">
        <f t="shared" si="1"/>
        <v>—</v>
      </c>
      <c r="AT5" s="406" t="str">
        <f t="shared" si="1"/>
        <v>—</v>
      </c>
      <c r="AU5" s="406" t="str">
        <f t="shared" si="1"/>
        <v>—</v>
      </c>
      <c r="AV5" s="360"/>
      <c r="AW5" s="361"/>
      <c r="AX5" s="361"/>
      <c r="AY5" s="361"/>
      <c r="AZ5" s="361"/>
      <c r="BA5" s="361"/>
      <c r="BB5" s="361"/>
      <c r="BC5" s="361"/>
      <c r="BD5" s="361"/>
      <c r="BE5" s="361"/>
      <c r="BF5" s="361"/>
      <c r="BG5" s="361"/>
      <c r="BH5" s="361"/>
      <c r="BI5" s="361"/>
      <c r="BJ5" s="361"/>
      <c r="BK5" s="361"/>
    </row>
    <row r="6" spans="1:82">
      <c r="A6" s="60" t="s">
        <v>157</v>
      </c>
      <c r="B6" s="371"/>
      <c r="C6" s="372"/>
      <c r="D6" s="372"/>
      <c r="E6" s="372"/>
      <c r="F6" s="372"/>
      <c r="G6" s="210">
        <f>利润表!O7</f>
        <v>0</v>
      </c>
      <c r="H6" s="210">
        <f>利润表!S7</f>
        <v>0</v>
      </c>
      <c r="I6" s="210">
        <f>利润表!W7</f>
        <v>0</v>
      </c>
      <c r="J6" s="409">
        <f>IF(COUNT(AJ6:AM6)=4,SUM(AJ6:AM6),0)</f>
        <v>0</v>
      </c>
      <c r="K6" s="409">
        <f>IF(COUNT(AN6:AQ6)=4,SUM(AN6:AQ6),0)</f>
        <v>0</v>
      </c>
      <c r="L6" s="409">
        <f>IF(COUNT(AR6:AU6)=4,SUM(AR6:AU6),0)</f>
        <v>0</v>
      </c>
      <c r="M6" s="409"/>
      <c r="N6" s="409"/>
      <c r="O6" s="409"/>
      <c r="P6" s="409"/>
      <c r="Q6" s="409"/>
      <c r="R6" s="409"/>
      <c r="S6" s="409"/>
      <c r="T6" s="47"/>
      <c r="U6" s="210">
        <f>利润表!L7</f>
        <v>0</v>
      </c>
      <c r="V6" s="210">
        <f>利润表!M7-利润表!L7</f>
        <v>0</v>
      </c>
      <c r="W6" s="210">
        <f>利润表!N7-利润表!M7</f>
        <v>0</v>
      </c>
      <c r="X6" s="410">
        <f>利润表!O7-利润表!N7</f>
        <v>0</v>
      </c>
      <c r="Y6" s="210">
        <f>利润表!P7</f>
        <v>0</v>
      </c>
      <c r="Z6" s="210">
        <f>利润表!Q7-利润表!P7</f>
        <v>0</v>
      </c>
      <c r="AA6" s="210">
        <f>利润表!R7-利润表!Q7</f>
        <v>0</v>
      </c>
      <c r="AB6" s="410">
        <f>利润表!S7-利润表!R7</f>
        <v>0</v>
      </c>
      <c r="AC6" s="210">
        <f>利润表!T7</f>
        <v>0</v>
      </c>
      <c r="AD6" s="210">
        <f>利润表!U7-利润表!T7</f>
        <v>0</v>
      </c>
      <c r="AE6" s="210">
        <f>利润表!V7-利润表!U7</f>
        <v>0</v>
      </c>
      <c r="AF6" s="410">
        <f>利润表!W7-利润表!V7</f>
        <v>0</v>
      </c>
      <c r="AG6" s="210">
        <f>IF(财务基础数据!$W$2=0,0,利润表!X7)</f>
        <v>0</v>
      </c>
      <c r="AH6" s="210">
        <f>IF(财务基础数据!$W$2&lt;=1,0,利润表!Y7-利润表!X7)</f>
        <v>0</v>
      </c>
      <c r="AI6" s="210">
        <f>IF(财务基础数据!$W$2&lt;=2,0,利润表!Z7-利润表!Y7)</f>
        <v>0</v>
      </c>
      <c r="AJ6" s="254" t="str">
        <f>IF(财务基础数据!$W$2=0,"",AG6)</f>
        <v/>
      </c>
      <c r="AK6" s="254" t="str">
        <f>IF(财务基础数据!$W$2&lt;=1,"",AH6)</f>
        <v/>
      </c>
      <c r="AL6" s="254" t="str">
        <f>IF(财务基础数据!$W$2&lt;=2,"",AI6)</f>
        <v/>
      </c>
      <c r="AM6" s="254"/>
      <c r="AN6" s="254"/>
      <c r="AO6" s="254"/>
      <c r="AP6" s="254"/>
      <c r="AQ6" s="254"/>
      <c r="AR6" s="254"/>
      <c r="AS6" s="254"/>
      <c r="AT6" s="254"/>
      <c r="AU6" s="254"/>
      <c r="AV6" s="75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</row>
    <row r="7" spans="1:82" s="131" customFormat="1" ht="15.75">
      <c r="A7" s="369" t="s">
        <v>158</v>
      </c>
      <c r="B7" s="374"/>
      <c r="C7" s="375"/>
      <c r="D7" s="375"/>
      <c r="E7" s="375"/>
      <c r="F7" s="375"/>
      <c r="G7" s="402">
        <f>利润表!O9</f>
        <v>0</v>
      </c>
      <c r="H7" s="402">
        <f>利润表!S9</f>
        <v>0</v>
      </c>
      <c r="I7" s="402">
        <f>利润表!W9</f>
        <v>0</v>
      </c>
      <c r="J7" s="403">
        <f>IF(COUNT(AJ7:AM7)=4,SUM(AJ7:AM7),0)</f>
        <v>0</v>
      </c>
      <c r="K7" s="403">
        <f>IF(COUNT(AN7:AQ7)=4,SUM(AN7:AQ7),0)</f>
        <v>0</v>
      </c>
      <c r="L7" s="403">
        <f>IF(COUNT(AR7:AU7)=4,SUM(AR7:AU7),0)</f>
        <v>0</v>
      </c>
      <c r="M7" s="403"/>
      <c r="N7" s="403"/>
      <c r="O7" s="403"/>
      <c r="P7" s="403"/>
      <c r="Q7" s="403"/>
      <c r="R7" s="403"/>
      <c r="S7" s="403"/>
      <c r="T7" s="404"/>
      <c r="U7" s="402">
        <f>利润表!L9</f>
        <v>0</v>
      </c>
      <c r="V7" s="402">
        <f>利润表!M9-利润表!L9</f>
        <v>0</v>
      </c>
      <c r="W7" s="402">
        <f>利润表!N9-利润表!M9</f>
        <v>0</v>
      </c>
      <c r="X7" s="405">
        <f>利润表!O9-利润表!N9</f>
        <v>0</v>
      </c>
      <c r="Y7" s="402">
        <f>利润表!P9</f>
        <v>0</v>
      </c>
      <c r="Z7" s="402">
        <f>利润表!Q9-利润表!P9</f>
        <v>0</v>
      </c>
      <c r="AA7" s="402">
        <f>利润表!R9-利润表!Q9</f>
        <v>0</v>
      </c>
      <c r="AB7" s="405">
        <f>利润表!S9-利润表!R9</f>
        <v>0</v>
      </c>
      <c r="AC7" s="402">
        <f>利润表!T9</f>
        <v>0</v>
      </c>
      <c r="AD7" s="402">
        <f>利润表!U9-利润表!T9</f>
        <v>0</v>
      </c>
      <c r="AE7" s="402">
        <f>利润表!V9-利润表!U9</f>
        <v>0</v>
      </c>
      <c r="AF7" s="405">
        <f>利润表!W9-利润表!V9</f>
        <v>0</v>
      </c>
      <c r="AG7" s="402">
        <f>IF(财务基础数据!$W$2=0,0,利润表!X9)</f>
        <v>0</v>
      </c>
      <c r="AH7" s="402">
        <f>IF(财务基础数据!$W$2&lt;=1,0,利润表!Y9-利润表!X9)</f>
        <v>0</v>
      </c>
      <c r="AI7" s="402">
        <f>IF(财务基础数据!$W$2&lt;=2,0,利润表!Z9-利润表!Y9)</f>
        <v>0</v>
      </c>
      <c r="AJ7" s="270" t="str">
        <f>IF(财务基础数据!$W$2=0,"",AG7)</f>
        <v/>
      </c>
      <c r="AK7" s="270" t="str">
        <f>IF(财务基础数据!$W$2&lt;=2,"",AH7)</f>
        <v/>
      </c>
      <c r="AL7" s="270" t="str">
        <f>IF(财务基础数据!$W$2&lt;=2,"",AI7)</f>
        <v/>
      </c>
      <c r="AM7" s="270"/>
      <c r="AN7" s="270"/>
      <c r="AO7" s="270"/>
      <c r="AP7" s="270"/>
      <c r="AQ7" s="270"/>
      <c r="AR7" s="270"/>
      <c r="AS7" s="270"/>
      <c r="AT7" s="270"/>
      <c r="AU7" s="270"/>
      <c r="AV7" s="91"/>
    </row>
    <row r="8" spans="1:82" s="362" customFormat="1">
      <c r="A8" s="357" t="s">
        <v>156</v>
      </c>
      <c r="B8" s="376"/>
      <c r="C8" s="359"/>
      <c r="D8" s="359"/>
      <c r="E8" s="359"/>
      <c r="F8" s="359"/>
      <c r="G8" s="406" t="str">
        <f>IF(ISERROR((G7-利润表!K9)/ABS(利润表!K9)),"—",(G7-利润表!K9)/ABS(利润表!K9))</f>
        <v>—</v>
      </c>
      <c r="H8" s="406" t="str">
        <f>IF(ISERROR((H7-G7)/ABS(G7)),"—",(H7-G7)/ABS(G7))</f>
        <v>—</v>
      </c>
      <c r="I8" s="406" t="str">
        <f>IF(ISERROR((I7-H7)/ABS(H7)),"—",(I7-H7)/ABS(H7))</f>
        <v>—</v>
      </c>
      <c r="J8" s="407" t="str">
        <f t="shared" ref="J8:S8" si="2">IF(ISERROR((J7-I7)/ABS(I7)),"—",(J7-I7)/ABS(I7))</f>
        <v>—</v>
      </c>
      <c r="K8" s="407" t="str">
        <f t="shared" si="2"/>
        <v>—</v>
      </c>
      <c r="L8" s="407" t="str">
        <f t="shared" si="2"/>
        <v>—</v>
      </c>
      <c r="M8" s="407" t="str">
        <f t="shared" si="2"/>
        <v>—</v>
      </c>
      <c r="N8" s="407" t="str">
        <f t="shared" si="2"/>
        <v>—</v>
      </c>
      <c r="O8" s="407" t="str">
        <f t="shared" si="2"/>
        <v>—</v>
      </c>
      <c r="P8" s="407" t="str">
        <f t="shared" si="2"/>
        <v>—</v>
      </c>
      <c r="Q8" s="407" t="str">
        <f t="shared" si="2"/>
        <v>—</v>
      </c>
      <c r="R8" s="407" t="str">
        <f t="shared" si="2"/>
        <v>—</v>
      </c>
      <c r="S8" s="407" t="str">
        <f t="shared" si="2"/>
        <v>—</v>
      </c>
      <c r="T8" s="407"/>
      <c r="U8" s="406"/>
      <c r="V8" s="406" t="str">
        <f t="shared" ref="V8:AU8" si="3">IF(ISERROR((V7-U7)/ABS(U7)),"—",(V7-U7)/ABS(U7))</f>
        <v>—</v>
      </c>
      <c r="W8" s="406" t="str">
        <f t="shared" si="3"/>
        <v>—</v>
      </c>
      <c r="X8" s="408" t="str">
        <f t="shared" si="3"/>
        <v>—</v>
      </c>
      <c r="Y8" s="406" t="str">
        <f t="shared" si="3"/>
        <v>—</v>
      </c>
      <c r="Z8" s="406" t="str">
        <f t="shared" si="3"/>
        <v>—</v>
      </c>
      <c r="AA8" s="406" t="str">
        <f t="shared" si="3"/>
        <v>—</v>
      </c>
      <c r="AB8" s="408" t="str">
        <f t="shared" si="3"/>
        <v>—</v>
      </c>
      <c r="AC8" s="406" t="str">
        <f t="shared" si="3"/>
        <v>—</v>
      </c>
      <c r="AD8" s="406" t="str">
        <f t="shared" si="3"/>
        <v>—</v>
      </c>
      <c r="AE8" s="406" t="str">
        <f t="shared" si="3"/>
        <v>—</v>
      </c>
      <c r="AF8" s="408" t="str">
        <f t="shared" si="3"/>
        <v>—</v>
      </c>
      <c r="AG8" s="406" t="str">
        <f t="shared" si="3"/>
        <v>—</v>
      </c>
      <c r="AH8" s="406" t="str">
        <f t="shared" si="3"/>
        <v>—</v>
      </c>
      <c r="AI8" s="406" t="str">
        <f t="shared" si="3"/>
        <v>—</v>
      </c>
      <c r="AJ8" s="406" t="str">
        <f>IF(ISERROR((AJ7-AF7)/ABS(AF7)),"—",(AJ7-AF7)/ABS(AF7))</f>
        <v>—</v>
      </c>
      <c r="AK8" s="406" t="str">
        <f t="shared" si="3"/>
        <v>—</v>
      </c>
      <c r="AL8" s="406" t="str">
        <f t="shared" si="3"/>
        <v>—</v>
      </c>
      <c r="AM8" s="406" t="str">
        <f t="shared" si="3"/>
        <v>—</v>
      </c>
      <c r="AN8" s="406" t="str">
        <f t="shared" si="3"/>
        <v>—</v>
      </c>
      <c r="AO8" s="406" t="str">
        <f t="shared" si="3"/>
        <v>—</v>
      </c>
      <c r="AP8" s="406" t="str">
        <f t="shared" si="3"/>
        <v>—</v>
      </c>
      <c r="AQ8" s="406" t="str">
        <f t="shared" si="3"/>
        <v>—</v>
      </c>
      <c r="AR8" s="406" t="str">
        <f t="shared" si="3"/>
        <v>—</v>
      </c>
      <c r="AS8" s="406" t="str">
        <f t="shared" si="3"/>
        <v>—</v>
      </c>
      <c r="AT8" s="406" t="str">
        <f t="shared" si="3"/>
        <v>—</v>
      </c>
      <c r="AU8" s="406" t="str">
        <f t="shared" si="3"/>
        <v>—</v>
      </c>
      <c r="AV8" s="360"/>
      <c r="AW8" s="361"/>
      <c r="AX8" s="361"/>
      <c r="AY8" s="361"/>
      <c r="AZ8" s="361"/>
      <c r="BA8" s="361"/>
      <c r="BB8" s="361"/>
      <c r="BC8" s="361"/>
      <c r="BD8" s="361"/>
      <c r="BE8" s="361"/>
      <c r="BF8" s="361"/>
      <c r="BG8" s="361"/>
      <c r="BH8" s="361"/>
      <c r="BI8" s="361"/>
      <c r="BJ8" s="361"/>
      <c r="BK8" s="361"/>
    </row>
    <row r="9" spans="1:82">
      <c r="A9" s="60" t="s">
        <v>113</v>
      </c>
      <c r="B9" s="371"/>
      <c r="C9" s="372"/>
      <c r="D9" s="372"/>
      <c r="E9" s="372"/>
      <c r="F9" s="372"/>
      <c r="G9" s="210">
        <f>利润表!O16</f>
        <v>0</v>
      </c>
      <c r="H9" s="210">
        <f>利润表!S16</f>
        <v>0</v>
      </c>
      <c r="I9" s="210">
        <f>利润表!W16</f>
        <v>0</v>
      </c>
      <c r="J9" s="210">
        <f t="shared" ref="J9:S9" si="4">J4-J7</f>
        <v>0</v>
      </c>
      <c r="K9" s="210">
        <f t="shared" si="4"/>
        <v>0</v>
      </c>
      <c r="L9" s="210">
        <f t="shared" si="4"/>
        <v>0</v>
      </c>
      <c r="M9" s="210">
        <f t="shared" si="4"/>
        <v>0</v>
      </c>
      <c r="N9" s="210">
        <f t="shared" si="4"/>
        <v>0</v>
      </c>
      <c r="O9" s="210">
        <f t="shared" si="4"/>
        <v>0</v>
      </c>
      <c r="P9" s="210">
        <f t="shared" si="4"/>
        <v>0</v>
      </c>
      <c r="Q9" s="210">
        <f t="shared" si="4"/>
        <v>0</v>
      </c>
      <c r="R9" s="210">
        <f t="shared" si="4"/>
        <v>0</v>
      </c>
      <c r="S9" s="210">
        <f t="shared" si="4"/>
        <v>0</v>
      </c>
      <c r="T9" s="210"/>
      <c r="U9" s="210">
        <f>利润表!L16</f>
        <v>0</v>
      </c>
      <c r="V9" s="210">
        <f>利润表!M16-利润表!L16</f>
        <v>0</v>
      </c>
      <c r="W9" s="210">
        <f>利润表!N16-利润表!M16</f>
        <v>0</v>
      </c>
      <c r="X9" s="410">
        <f>利润表!O16-利润表!N16</f>
        <v>0</v>
      </c>
      <c r="Y9" s="210">
        <f>利润表!P16</f>
        <v>0</v>
      </c>
      <c r="Z9" s="210">
        <f>利润表!Q16-利润表!P16</f>
        <v>0</v>
      </c>
      <c r="AA9" s="210">
        <f>利润表!R16-利润表!Q16</f>
        <v>0</v>
      </c>
      <c r="AB9" s="410">
        <f>利润表!S16-利润表!R16</f>
        <v>0</v>
      </c>
      <c r="AC9" s="210">
        <f>利润表!T16</f>
        <v>0</v>
      </c>
      <c r="AD9" s="210">
        <f>利润表!U16-利润表!T16</f>
        <v>0</v>
      </c>
      <c r="AE9" s="210">
        <f>利润表!V16-利润表!U16</f>
        <v>0</v>
      </c>
      <c r="AF9" s="410">
        <f>利润表!W16-利润表!V16</f>
        <v>0</v>
      </c>
      <c r="AG9" s="210">
        <f>IF(财务基础数据!$W$2=0,0,利润表!X16)</f>
        <v>0</v>
      </c>
      <c r="AH9" s="210">
        <f>IF(财务基础数据!$W$2&lt;=1,0,利润表!Y16-利润表!X16)</f>
        <v>0</v>
      </c>
      <c r="AI9" s="210">
        <f>IF(财务基础数据!$W$2&lt;=2,0,利润表!Z16-利润表!Y16)</f>
        <v>0</v>
      </c>
      <c r="AJ9" s="210" t="str">
        <f t="shared" ref="AJ9:AU9" si="5">IF(ISERROR(AJ4-AJ7),"—",AJ4-AJ7)</f>
        <v>—</v>
      </c>
      <c r="AK9" s="210" t="str">
        <f t="shared" si="5"/>
        <v>—</v>
      </c>
      <c r="AL9" s="210" t="str">
        <f t="shared" si="5"/>
        <v>—</v>
      </c>
      <c r="AM9" s="210">
        <f t="shared" si="5"/>
        <v>0</v>
      </c>
      <c r="AN9" s="210">
        <f t="shared" si="5"/>
        <v>0</v>
      </c>
      <c r="AO9" s="210">
        <f t="shared" si="5"/>
        <v>0</v>
      </c>
      <c r="AP9" s="210">
        <f t="shared" si="5"/>
        <v>0</v>
      </c>
      <c r="AQ9" s="210">
        <f t="shared" si="5"/>
        <v>0</v>
      </c>
      <c r="AR9" s="210">
        <f t="shared" si="5"/>
        <v>0</v>
      </c>
      <c r="AS9" s="210">
        <f t="shared" si="5"/>
        <v>0</v>
      </c>
      <c r="AT9" s="210">
        <f t="shared" si="5"/>
        <v>0</v>
      </c>
      <c r="AU9" s="210">
        <f t="shared" si="5"/>
        <v>0</v>
      </c>
      <c r="AV9" s="271"/>
      <c r="AW9" s="132"/>
      <c r="AX9" s="132"/>
      <c r="AY9" s="132"/>
      <c r="AZ9" s="132"/>
      <c r="BA9" s="132"/>
      <c r="BB9" s="132"/>
      <c r="BC9" s="132"/>
      <c r="BD9" s="132"/>
      <c r="BE9" s="132"/>
      <c r="BF9" s="132"/>
      <c r="BG9" s="132"/>
      <c r="BH9" s="132"/>
      <c r="BI9" s="132"/>
      <c r="BJ9" s="132"/>
      <c r="BK9" s="132"/>
      <c r="BL9" s="373"/>
      <c r="BM9" s="373"/>
      <c r="BN9" s="373"/>
      <c r="BO9" s="373"/>
      <c r="BP9" s="373"/>
      <c r="BQ9" s="373"/>
      <c r="BR9" s="373"/>
      <c r="BS9" s="373"/>
      <c r="BT9" s="373"/>
      <c r="BU9" s="373"/>
      <c r="BV9" s="373"/>
      <c r="BW9" s="373"/>
      <c r="BX9" s="373"/>
      <c r="BY9" s="373"/>
      <c r="BZ9" s="373"/>
      <c r="CA9" s="373"/>
      <c r="CB9" s="373"/>
      <c r="CC9" s="373"/>
      <c r="CD9" s="373"/>
    </row>
    <row r="10" spans="1:82" s="356" customFormat="1">
      <c r="A10" s="377" t="s">
        <v>54</v>
      </c>
      <c r="B10" s="378"/>
      <c r="C10" s="379"/>
      <c r="D10" s="379"/>
      <c r="E10" s="379"/>
      <c r="F10" s="379"/>
      <c r="G10" s="407" t="str">
        <f>IF(ISERROR(G9/G4),"—",G9/G4)</f>
        <v>—</v>
      </c>
      <c r="H10" s="407" t="str">
        <f t="shared" ref="H10:S10" si="6">IF(ISERROR(H9/H4),"—",H9/H4)</f>
        <v>—</v>
      </c>
      <c r="I10" s="407" t="str">
        <f t="shared" si="6"/>
        <v>—</v>
      </c>
      <c r="J10" s="407" t="str">
        <f t="shared" si="6"/>
        <v>—</v>
      </c>
      <c r="K10" s="407" t="str">
        <f t="shared" si="6"/>
        <v>—</v>
      </c>
      <c r="L10" s="407" t="str">
        <f t="shared" si="6"/>
        <v>—</v>
      </c>
      <c r="M10" s="407" t="str">
        <f t="shared" si="6"/>
        <v>—</v>
      </c>
      <c r="N10" s="407" t="str">
        <f t="shared" si="6"/>
        <v>—</v>
      </c>
      <c r="O10" s="407" t="str">
        <f t="shared" si="6"/>
        <v>—</v>
      </c>
      <c r="P10" s="407" t="str">
        <f t="shared" si="6"/>
        <v>—</v>
      </c>
      <c r="Q10" s="407" t="str">
        <f t="shared" si="6"/>
        <v>—</v>
      </c>
      <c r="R10" s="407" t="str">
        <f t="shared" si="6"/>
        <v>—</v>
      </c>
      <c r="S10" s="407" t="str">
        <f t="shared" si="6"/>
        <v>—</v>
      </c>
      <c r="T10" s="407"/>
      <c r="U10" s="407" t="str">
        <f>IF(ISERROR(U9/U4),"—",U9/U4)</f>
        <v>—</v>
      </c>
      <c r="V10" s="407" t="str">
        <f t="shared" ref="V10:AU10" si="7">IF(ISERROR(V9/V4),"—",V9/V4)</f>
        <v>—</v>
      </c>
      <c r="W10" s="407" t="str">
        <f t="shared" si="7"/>
        <v>—</v>
      </c>
      <c r="X10" s="411" t="str">
        <f t="shared" si="7"/>
        <v>—</v>
      </c>
      <c r="Y10" s="407" t="str">
        <f t="shared" si="7"/>
        <v>—</v>
      </c>
      <c r="Z10" s="407" t="str">
        <f t="shared" si="7"/>
        <v>—</v>
      </c>
      <c r="AA10" s="407" t="str">
        <f t="shared" si="7"/>
        <v>—</v>
      </c>
      <c r="AB10" s="411" t="str">
        <f t="shared" si="7"/>
        <v>—</v>
      </c>
      <c r="AC10" s="407" t="str">
        <f t="shared" si="7"/>
        <v>—</v>
      </c>
      <c r="AD10" s="407" t="str">
        <f t="shared" si="7"/>
        <v>—</v>
      </c>
      <c r="AE10" s="407" t="str">
        <f t="shared" si="7"/>
        <v>—</v>
      </c>
      <c r="AF10" s="411" t="str">
        <f t="shared" si="7"/>
        <v>—</v>
      </c>
      <c r="AG10" s="407" t="str">
        <f t="shared" si="7"/>
        <v>—</v>
      </c>
      <c r="AH10" s="407" t="str">
        <f t="shared" si="7"/>
        <v>—</v>
      </c>
      <c r="AI10" s="407" t="str">
        <f t="shared" si="7"/>
        <v>—</v>
      </c>
      <c r="AJ10" s="407" t="str">
        <f t="shared" si="7"/>
        <v>—</v>
      </c>
      <c r="AK10" s="407" t="str">
        <f t="shared" si="7"/>
        <v>—</v>
      </c>
      <c r="AL10" s="407" t="str">
        <f t="shared" si="7"/>
        <v>—</v>
      </c>
      <c r="AM10" s="407" t="str">
        <f t="shared" si="7"/>
        <v>—</v>
      </c>
      <c r="AN10" s="407" t="str">
        <f t="shared" si="7"/>
        <v>—</v>
      </c>
      <c r="AO10" s="407" t="str">
        <f t="shared" si="7"/>
        <v>—</v>
      </c>
      <c r="AP10" s="407" t="str">
        <f t="shared" si="7"/>
        <v>—</v>
      </c>
      <c r="AQ10" s="407" t="str">
        <f t="shared" si="7"/>
        <v>—</v>
      </c>
      <c r="AR10" s="407" t="str">
        <f t="shared" si="7"/>
        <v>—</v>
      </c>
      <c r="AS10" s="407" t="str">
        <f t="shared" si="7"/>
        <v>—</v>
      </c>
      <c r="AT10" s="407" t="str">
        <f t="shared" si="7"/>
        <v>—</v>
      </c>
      <c r="AU10" s="407" t="str">
        <f t="shared" si="7"/>
        <v>—</v>
      </c>
      <c r="AV10" s="354"/>
      <c r="AW10" s="355"/>
      <c r="AX10" s="355"/>
      <c r="AY10" s="355"/>
      <c r="AZ10" s="355"/>
      <c r="BA10" s="355"/>
      <c r="BB10" s="355"/>
      <c r="BC10" s="355"/>
      <c r="BD10" s="355"/>
      <c r="BE10" s="355"/>
      <c r="BF10" s="355"/>
      <c r="BG10" s="355"/>
      <c r="BH10" s="355"/>
      <c r="BI10" s="355"/>
      <c r="BJ10" s="355"/>
      <c r="BK10" s="355"/>
    </row>
    <row r="11" spans="1:82" ht="15.75">
      <c r="A11" s="380"/>
      <c r="B11" s="374"/>
      <c r="C11" s="381"/>
      <c r="D11" s="381"/>
      <c r="E11" s="381"/>
      <c r="F11" s="381"/>
      <c r="G11" s="381"/>
      <c r="H11" s="381"/>
      <c r="I11" s="381"/>
      <c r="J11" s="382"/>
      <c r="K11" s="382"/>
      <c r="L11" s="382"/>
      <c r="M11" s="382"/>
      <c r="N11" s="382"/>
      <c r="O11" s="382"/>
      <c r="P11" s="382"/>
      <c r="Q11" s="382"/>
      <c r="R11" s="382"/>
      <c r="S11" s="382"/>
      <c r="T11" s="382"/>
      <c r="U11" s="381"/>
      <c r="V11" s="381"/>
      <c r="W11" s="381"/>
      <c r="X11" s="412"/>
      <c r="Y11" s="381"/>
      <c r="Z11" s="381"/>
      <c r="AA11" s="381"/>
      <c r="AB11" s="412"/>
      <c r="AC11" s="381"/>
      <c r="AD11" s="381"/>
      <c r="AE11" s="381"/>
      <c r="AF11" s="412"/>
      <c r="AG11" s="381"/>
      <c r="AH11" s="381"/>
      <c r="AI11" s="381"/>
      <c r="AJ11" s="381"/>
      <c r="AK11" s="381"/>
      <c r="AL11" s="381"/>
      <c r="AM11" s="381"/>
      <c r="AN11" s="381"/>
      <c r="AO11" s="381"/>
      <c r="AP11" s="381"/>
      <c r="AQ11" s="381"/>
      <c r="AR11" s="381"/>
      <c r="AS11" s="381"/>
      <c r="AT11" s="381"/>
      <c r="AU11" s="381"/>
      <c r="AV11" s="381"/>
    </row>
    <row r="12" spans="1:82" ht="18">
      <c r="A12" s="263" t="s">
        <v>159</v>
      </c>
      <c r="B12" s="364"/>
      <c r="C12" s="365"/>
      <c r="D12" s="365"/>
      <c r="E12" s="365"/>
      <c r="F12" s="365"/>
      <c r="G12" s="265" t="s">
        <v>160</v>
      </c>
      <c r="H12" s="365"/>
      <c r="I12" s="36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365"/>
      <c r="V12" s="365"/>
      <c r="W12" s="365"/>
      <c r="X12" s="383"/>
      <c r="Y12" s="365"/>
      <c r="Z12" s="365"/>
      <c r="AA12" s="365"/>
      <c r="AB12" s="383"/>
      <c r="AC12" s="365"/>
      <c r="AD12" s="365"/>
      <c r="AE12" s="365"/>
      <c r="AF12" s="383"/>
      <c r="AG12" s="365"/>
      <c r="AH12" s="365"/>
      <c r="AI12" s="365"/>
      <c r="AJ12" s="365"/>
      <c r="AK12" s="365"/>
      <c r="AL12" s="365"/>
      <c r="AM12" s="365"/>
      <c r="AN12" s="365"/>
      <c r="AO12" s="365"/>
      <c r="AP12" s="365"/>
      <c r="AQ12" s="365"/>
      <c r="AR12" s="365"/>
      <c r="AS12" s="365"/>
      <c r="AT12" s="365"/>
      <c r="AU12" s="365"/>
      <c r="AV12" s="365"/>
    </row>
    <row r="13" spans="1:82" ht="18" customHeight="1">
      <c r="A13" s="266" t="s">
        <v>154</v>
      </c>
      <c r="B13" s="266"/>
      <c r="C13" s="397"/>
      <c r="D13" s="397"/>
      <c r="E13" s="397"/>
      <c r="F13" s="397"/>
      <c r="G13" s="226">
        <f t="shared" ref="G13:S13" si="8">G3</f>
        <v>2019</v>
      </c>
      <c r="H13" s="226">
        <f t="shared" si="8"/>
        <v>2020</v>
      </c>
      <c r="I13" s="226">
        <f t="shared" si="8"/>
        <v>2021</v>
      </c>
      <c r="J13" s="398" t="str">
        <f t="shared" si="8"/>
        <v>2022E</v>
      </c>
      <c r="K13" s="398">
        <f t="shared" si="8"/>
        <v>2023</v>
      </c>
      <c r="L13" s="398">
        <f t="shared" si="8"/>
        <v>2024</v>
      </c>
      <c r="M13" s="398">
        <f t="shared" si="8"/>
        <v>2025</v>
      </c>
      <c r="N13" s="398">
        <f t="shared" si="8"/>
        <v>2026</v>
      </c>
      <c r="O13" s="398">
        <f t="shared" si="8"/>
        <v>2027</v>
      </c>
      <c r="P13" s="398">
        <f t="shared" si="8"/>
        <v>2028</v>
      </c>
      <c r="Q13" s="398">
        <f t="shared" si="8"/>
        <v>2029</v>
      </c>
      <c r="R13" s="398">
        <f t="shared" si="8"/>
        <v>2030</v>
      </c>
      <c r="S13" s="398">
        <f t="shared" si="8"/>
        <v>2031</v>
      </c>
      <c r="T13" s="399"/>
      <c r="U13" s="400" t="str">
        <f t="shared" ref="U13:AU13" si="9">U3</f>
        <v>1Q19</v>
      </c>
      <c r="V13" s="400" t="str">
        <f t="shared" si="9"/>
        <v>2Q19</v>
      </c>
      <c r="W13" s="400" t="str">
        <f t="shared" si="9"/>
        <v>3Q19</v>
      </c>
      <c r="X13" s="400" t="str">
        <f t="shared" si="9"/>
        <v>4Q19</v>
      </c>
      <c r="Y13" s="400" t="str">
        <f t="shared" si="9"/>
        <v>1Q20</v>
      </c>
      <c r="Z13" s="400" t="str">
        <f t="shared" si="9"/>
        <v>2Q20</v>
      </c>
      <c r="AA13" s="400" t="str">
        <f t="shared" si="9"/>
        <v>3Q20</v>
      </c>
      <c r="AB13" s="400" t="str">
        <f t="shared" si="9"/>
        <v>4Q20</v>
      </c>
      <c r="AC13" s="400" t="str">
        <f t="shared" si="9"/>
        <v>1Q21</v>
      </c>
      <c r="AD13" s="400" t="str">
        <f t="shared" si="9"/>
        <v>2Q21</v>
      </c>
      <c r="AE13" s="400" t="str">
        <f t="shared" si="9"/>
        <v>3Q21</v>
      </c>
      <c r="AF13" s="400" t="str">
        <f t="shared" si="9"/>
        <v>4Q21</v>
      </c>
      <c r="AG13" s="400" t="str">
        <f t="shared" si="9"/>
        <v>1Q22</v>
      </c>
      <c r="AH13" s="400" t="str">
        <f t="shared" si="9"/>
        <v>2Q22</v>
      </c>
      <c r="AI13" s="400" t="str">
        <f t="shared" si="9"/>
        <v>3Q22</v>
      </c>
      <c r="AJ13" s="398" t="str">
        <f t="shared" si="9"/>
        <v>1Q2022</v>
      </c>
      <c r="AK13" s="398" t="str">
        <f t="shared" si="9"/>
        <v>2Q2022</v>
      </c>
      <c r="AL13" s="398" t="str">
        <f t="shared" si="9"/>
        <v>3Q2022</v>
      </c>
      <c r="AM13" s="398" t="str">
        <f t="shared" si="9"/>
        <v>4Q2022</v>
      </c>
      <c r="AN13" s="398" t="str">
        <f t="shared" si="9"/>
        <v>1Q2023</v>
      </c>
      <c r="AO13" s="398" t="str">
        <f t="shared" si="9"/>
        <v>2Q2023</v>
      </c>
      <c r="AP13" s="398" t="str">
        <f t="shared" si="9"/>
        <v>3Q2023</v>
      </c>
      <c r="AQ13" s="398" t="str">
        <f t="shared" si="9"/>
        <v>4Q2023</v>
      </c>
      <c r="AR13" s="398" t="str">
        <f t="shared" si="9"/>
        <v>1Q2024</v>
      </c>
      <c r="AS13" s="398" t="str">
        <f t="shared" si="9"/>
        <v>2Q2024</v>
      </c>
      <c r="AT13" s="398" t="str">
        <f t="shared" si="9"/>
        <v>3Q2024</v>
      </c>
      <c r="AU13" s="398" t="str">
        <f t="shared" si="9"/>
        <v>4Q2024</v>
      </c>
      <c r="AV13" s="401"/>
    </row>
    <row r="14" spans="1:82">
      <c r="A14" s="366"/>
      <c r="B14" s="366"/>
      <c r="C14" s="384"/>
      <c r="D14" s="384"/>
      <c r="E14" s="384"/>
      <c r="F14" s="384"/>
      <c r="G14" s="156"/>
      <c r="H14" s="156"/>
      <c r="I14" s="156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56"/>
      <c r="V14" s="156"/>
      <c r="W14" s="156"/>
      <c r="X14" s="561"/>
      <c r="Y14" s="156"/>
      <c r="Z14" s="156"/>
      <c r="AA14" s="156"/>
      <c r="AB14" s="561"/>
      <c r="AC14" s="156"/>
      <c r="AD14" s="156"/>
      <c r="AE14" s="156"/>
      <c r="AF14" s="561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</row>
    <row r="15" spans="1:82">
      <c r="A15" s="60" t="s">
        <v>161</v>
      </c>
      <c r="B15" s="60"/>
      <c r="C15" s="385"/>
      <c r="D15" s="385"/>
      <c r="E15" s="385"/>
      <c r="F15" s="385"/>
      <c r="G15" s="413">
        <f>利润表!O12</f>
        <v>0</v>
      </c>
      <c r="H15" s="413">
        <f>利润表!S12</f>
        <v>0</v>
      </c>
      <c r="I15" s="413">
        <f>利润表!W12</f>
        <v>0</v>
      </c>
      <c r="J15" s="413">
        <f>IF(COUNT(AJ16:AM16)=4,SUM(AJ15:AM15),J4*J16)</f>
        <v>0</v>
      </c>
      <c r="K15" s="413">
        <f>IF(COUNT(AN16:AQ16)=4,SUM(AN15:AQ15),K4*K16)</f>
        <v>0</v>
      </c>
      <c r="L15" s="413">
        <f>IF(COUNT(AR16:AU16)=4,SUM(AR15:AU15),L4*L16)</f>
        <v>0</v>
      </c>
      <c r="M15" s="413">
        <f>IF(ISERROR(M4*M16),"—",M4*M16)</f>
        <v>0</v>
      </c>
      <c r="N15" s="413">
        <f t="shared" ref="N15:S15" si="10">IF(ISERROR(N4*N16),"—",N4*N16)</f>
        <v>0</v>
      </c>
      <c r="O15" s="413">
        <f t="shared" si="10"/>
        <v>0</v>
      </c>
      <c r="P15" s="413">
        <f t="shared" si="10"/>
        <v>0</v>
      </c>
      <c r="Q15" s="413">
        <f t="shared" si="10"/>
        <v>0</v>
      </c>
      <c r="R15" s="413">
        <f t="shared" si="10"/>
        <v>0</v>
      </c>
      <c r="S15" s="413">
        <f t="shared" si="10"/>
        <v>0</v>
      </c>
      <c r="T15" s="413"/>
      <c r="U15" s="413">
        <f>利润表!L12</f>
        <v>0</v>
      </c>
      <c r="V15" s="413">
        <f>利润表!M12-利润表!L12</f>
        <v>0</v>
      </c>
      <c r="W15" s="413">
        <f>利润表!N12-利润表!M12</f>
        <v>0</v>
      </c>
      <c r="X15" s="562">
        <f>利润表!O12-利润表!N12</f>
        <v>0</v>
      </c>
      <c r="Y15" s="413">
        <f>利润表!P12</f>
        <v>0</v>
      </c>
      <c r="Z15" s="413">
        <f>利润表!Q12-利润表!P12</f>
        <v>0</v>
      </c>
      <c r="AA15" s="413">
        <f>利润表!R12-利润表!Q12</f>
        <v>0</v>
      </c>
      <c r="AB15" s="562">
        <f>利润表!S12-利润表!R12</f>
        <v>0</v>
      </c>
      <c r="AC15" s="413">
        <f>利润表!T12</f>
        <v>0</v>
      </c>
      <c r="AD15" s="413">
        <f>利润表!U12-利润表!T12</f>
        <v>0</v>
      </c>
      <c r="AE15" s="413">
        <f>利润表!V12-利润表!U12</f>
        <v>0</v>
      </c>
      <c r="AF15" s="562">
        <f>利润表!W12-利润表!V12</f>
        <v>0</v>
      </c>
      <c r="AG15" s="413">
        <f>IF(财务基础数据!$W$2=0,0,利润表!X12)</f>
        <v>0</v>
      </c>
      <c r="AH15" s="413">
        <f>IF(财务基础数据!$W$2&lt;=1,0,利润表!Y12-利润表!X12)</f>
        <v>0</v>
      </c>
      <c r="AI15" s="413">
        <f>IF(财务基础数据!$W$2&lt;=2,0,利润表!Z12-利润表!Y12)</f>
        <v>0</v>
      </c>
      <c r="AJ15" s="75" t="str">
        <f t="shared" ref="AJ15:AU15" si="11">IF(ISERROR(AJ16*AJ4),"—",AJ16*AJ4)</f>
        <v>—</v>
      </c>
      <c r="AK15" s="75" t="str">
        <f t="shared" si="11"/>
        <v>—</v>
      </c>
      <c r="AL15" s="75" t="str">
        <f t="shared" si="11"/>
        <v>—</v>
      </c>
      <c r="AM15" s="75">
        <f t="shared" si="11"/>
        <v>0</v>
      </c>
      <c r="AN15" s="75">
        <f t="shared" si="11"/>
        <v>0</v>
      </c>
      <c r="AO15" s="75">
        <f t="shared" si="11"/>
        <v>0</v>
      </c>
      <c r="AP15" s="75">
        <f t="shared" si="11"/>
        <v>0</v>
      </c>
      <c r="AQ15" s="75">
        <f t="shared" si="11"/>
        <v>0</v>
      </c>
      <c r="AR15" s="75">
        <f t="shared" si="11"/>
        <v>0</v>
      </c>
      <c r="AS15" s="75">
        <f t="shared" si="11"/>
        <v>0</v>
      </c>
      <c r="AT15" s="75">
        <f t="shared" si="11"/>
        <v>0</v>
      </c>
      <c r="AU15" s="75">
        <f t="shared" si="11"/>
        <v>0</v>
      </c>
      <c r="AV15" s="75"/>
      <c r="BL15" s="386"/>
      <c r="BM15" s="246"/>
    </row>
    <row r="16" spans="1:82" s="356" customFormat="1">
      <c r="A16" s="267" t="s">
        <v>162</v>
      </c>
      <c r="B16" s="377"/>
      <c r="C16" s="387"/>
      <c r="D16" s="387"/>
      <c r="E16" s="387"/>
      <c r="F16" s="387"/>
      <c r="G16" s="414" t="str">
        <f>IF(ISERROR(G15/G4),"—",G15/G4)</f>
        <v>—</v>
      </c>
      <c r="H16" s="414" t="str">
        <f>IF(ISERROR(H15/H4),"—",H15/H4)</f>
        <v>—</v>
      </c>
      <c r="I16" s="414" t="str">
        <f>IF(ISERROR(I15/I4),"—",I15/I4)</f>
        <v>—</v>
      </c>
      <c r="J16" s="415"/>
      <c r="K16" s="415"/>
      <c r="L16" s="415"/>
      <c r="M16" s="415"/>
      <c r="N16" s="415"/>
      <c r="O16" s="415"/>
      <c r="P16" s="415"/>
      <c r="Q16" s="415"/>
      <c r="R16" s="415"/>
      <c r="S16" s="415"/>
      <c r="T16" s="414"/>
      <c r="U16" s="414" t="str">
        <f t="shared" ref="U16:AI16" si="12">IF(ISERROR(U15/U4),"—",U15/U4)</f>
        <v>—</v>
      </c>
      <c r="V16" s="414" t="str">
        <f t="shared" si="12"/>
        <v>—</v>
      </c>
      <c r="W16" s="414" t="str">
        <f t="shared" si="12"/>
        <v>—</v>
      </c>
      <c r="X16" s="563" t="str">
        <f t="shared" si="12"/>
        <v>—</v>
      </c>
      <c r="Y16" s="414" t="str">
        <f t="shared" si="12"/>
        <v>—</v>
      </c>
      <c r="Z16" s="414" t="str">
        <f t="shared" si="12"/>
        <v>—</v>
      </c>
      <c r="AA16" s="414" t="str">
        <f t="shared" si="12"/>
        <v>—</v>
      </c>
      <c r="AB16" s="563" t="str">
        <f t="shared" si="12"/>
        <v>—</v>
      </c>
      <c r="AC16" s="414" t="str">
        <f t="shared" si="12"/>
        <v>—</v>
      </c>
      <c r="AD16" s="414" t="str">
        <f t="shared" si="12"/>
        <v>—</v>
      </c>
      <c r="AE16" s="414" t="str">
        <f t="shared" si="12"/>
        <v>—</v>
      </c>
      <c r="AF16" s="563" t="str">
        <f t="shared" si="12"/>
        <v>—</v>
      </c>
      <c r="AG16" s="414" t="str">
        <f t="shared" si="12"/>
        <v>—</v>
      </c>
      <c r="AH16" s="414" t="str">
        <f t="shared" si="12"/>
        <v>—</v>
      </c>
      <c r="AI16" s="414" t="str">
        <f t="shared" si="12"/>
        <v>—</v>
      </c>
      <c r="AJ16" s="416" t="str">
        <f>IF(财务基础数据!$W$2=0," ",AG16)</f>
        <v xml:space="preserve"> </v>
      </c>
      <c r="AK16" s="416" t="str">
        <f>IF(财务基础数据!$W$2&lt;=1," ",AH16)</f>
        <v xml:space="preserve"> </v>
      </c>
      <c r="AL16" s="416" t="str">
        <f>IF(财务基础数据!$W$2&lt;=2," ",AI16)</f>
        <v xml:space="preserve"> </v>
      </c>
      <c r="AM16" s="416"/>
      <c r="AN16" s="416"/>
      <c r="AO16" s="416"/>
      <c r="AP16" s="416"/>
      <c r="AQ16" s="416"/>
      <c r="AR16" s="416"/>
      <c r="AS16" s="416"/>
      <c r="AT16" s="416"/>
      <c r="AU16" s="416"/>
      <c r="AV16" s="249"/>
      <c r="AW16" s="355"/>
      <c r="AX16" s="355"/>
      <c r="AY16" s="355"/>
      <c r="AZ16" s="355"/>
      <c r="BA16" s="355"/>
      <c r="BB16" s="355"/>
      <c r="BC16" s="355"/>
      <c r="BD16" s="355"/>
      <c r="BE16" s="355"/>
      <c r="BF16" s="355"/>
      <c r="BG16" s="355"/>
      <c r="BH16" s="355"/>
      <c r="BI16" s="355"/>
      <c r="BJ16" s="355"/>
      <c r="BK16" s="355"/>
      <c r="BL16" s="388"/>
      <c r="BM16" s="388"/>
    </row>
    <row r="17" spans="1:65">
      <c r="A17" s="389"/>
      <c r="B17" s="60"/>
      <c r="C17" s="385"/>
      <c r="D17" s="385"/>
      <c r="E17" s="385"/>
      <c r="F17" s="385"/>
      <c r="G17" s="413"/>
      <c r="H17" s="413"/>
      <c r="I17" s="413"/>
      <c r="J17" s="156"/>
      <c r="K17" s="413"/>
      <c r="L17" s="413"/>
      <c r="M17" s="413"/>
      <c r="N17" s="413"/>
      <c r="O17" s="413"/>
      <c r="P17" s="413"/>
      <c r="Q17" s="413"/>
      <c r="R17" s="413"/>
      <c r="S17" s="413"/>
      <c r="T17" s="413"/>
      <c r="U17" s="413"/>
      <c r="V17" s="413"/>
      <c r="W17" s="413"/>
      <c r="X17" s="562"/>
      <c r="Y17" s="413"/>
      <c r="Z17" s="413"/>
      <c r="AA17" s="413"/>
      <c r="AB17" s="562"/>
      <c r="AC17" s="413"/>
      <c r="AD17" s="413"/>
      <c r="AE17" s="413"/>
      <c r="AF17" s="562"/>
      <c r="AG17" s="413"/>
      <c r="AH17" s="413"/>
      <c r="AI17" s="413"/>
      <c r="AJ17" s="413"/>
      <c r="AK17" s="413"/>
      <c r="AL17" s="413"/>
      <c r="AM17" s="413"/>
      <c r="AN17" s="413"/>
      <c r="AO17" s="413"/>
      <c r="AP17" s="413"/>
      <c r="AQ17" s="413"/>
      <c r="AR17" s="413"/>
      <c r="AS17" s="413"/>
      <c r="AT17" s="413"/>
      <c r="AU17" s="413"/>
      <c r="AV17" s="413"/>
      <c r="BL17" s="246"/>
      <c r="BM17" s="246"/>
    </row>
    <row r="18" spans="1:65">
      <c r="A18" s="60" t="s">
        <v>49</v>
      </c>
      <c r="B18" s="60"/>
      <c r="C18" s="385"/>
      <c r="D18" s="385"/>
      <c r="E18" s="385"/>
      <c r="F18" s="385"/>
      <c r="G18" s="413">
        <f>利润表!O13</f>
        <v>0</v>
      </c>
      <c r="H18" s="413">
        <f>利润表!S13</f>
        <v>0</v>
      </c>
      <c r="I18" s="413">
        <f>利润表!W13</f>
        <v>0</v>
      </c>
      <c r="J18" s="413">
        <f>IF(COUNT(AJ19:AM19)=4,SUM(AJ18:AM18),J4*J19)</f>
        <v>0</v>
      </c>
      <c r="K18" s="413">
        <f>IF(COUNT(AN19:AQ19)=4,SUM(AN18:AQ18),K4*K19)</f>
        <v>0</v>
      </c>
      <c r="L18" s="413">
        <f>IF(COUNT(AR19:AU19)=4,SUM(AR18:AU18),L4*L19)</f>
        <v>0</v>
      </c>
      <c r="M18" s="413">
        <f t="shared" ref="M18:S18" si="13">IF(ISERROR(M4*M19),"—",M4*M19)</f>
        <v>0</v>
      </c>
      <c r="N18" s="413">
        <f t="shared" si="13"/>
        <v>0</v>
      </c>
      <c r="O18" s="413">
        <f t="shared" si="13"/>
        <v>0</v>
      </c>
      <c r="P18" s="413">
        <f t="shared" si="13"/>
        <v>0</v>
      </c>
      <c r="Q18" s="413">
        <f t="shared" si="13"/>
        <v>0</v>
      </c>
      <c r="R18" s="413">
        <f t="shared" si="13"/>
        <v>0</v>
      </c>
      <c r="S18" s="413">
        <f t="shared" si="13"/>
        <v>0</v>
      </c>
      <c r="T18" s="413"/>
      <c r="U18" s="413">
        <f>利润表!L13</f>
        <v>0</v>
      </c>
      <c r="V18" s="413">
        <f>利润表!M13-利润表!L13</f>
        <v>0</v>
      </c>
      <c r="W18" s="413">
        <f>利润表!N13-利润表!M13</f>
        <v>0</v>
      </c>
      <c r="X18" s="562">
        <f>利润表!O13-利润表!N13</f>
        <v>0</v>
      </c>
      <c r="Y18" s="413">
        <f>利润表!P13</f>
        <v>0</v>
      </c>
      <c r="Z18" s="413">
        <f>利润表!Q13-利润表!P13</f>
        <v>0</v>
      </c>
      <c r="AA18" s="413">
        <f>利润表!R13-利润表!Q13</f>
        <v>0</v>
      </c>
      <c r="AB18" s="562">
        <f>利润表!S13-利润表!R13</f>
        <v>0</v>
      </c>
      <c r="AC18" s="413">
        <f>利润表!T13</f>
        <v>0</v>
      </c>
      <c r="AD18" s="413">
        <f>利润表!U13-利润表!T13</f>
        <v>0</v>
      </c>
      <c r="AE18" s="413">
        <f>利润表!V13-利润表!U13</f>
        <v>0</v>
      </c>
      <c r="AF18" s="562">
        <f>利润表!W13-利润表!V13</f>
        <v>0</v>
      </c>
      <c r="AG18" s="413">
        <f>IF(财务基础数据!$W$2=0,0,利润表!X13)</f>
        <v>0</v>
      </c>
      <c r="AH18" s="413">
        <f>IF(财务基础数据!$W$2&lt;=1,0,利润表!Y13-利润表!X12)</f>
        <v>0</v>
      </c>
      <c r="AI18" s="413">
        <f>IF(财务基础数据!$W$2&lt;=2,0,利润表!Z13-利润表!Y12)</f>
        <v>0</v>
      </c>
      <c r="AJ18" s="75" t="str">
        <f t="shared" ref="AJ18:AU18" si="14">IF(ISERROR(AJ19*AJ4),"—",AJ19*AJ4)</f>
        <v>—</v>
      </c>
      <c r="AK18" s="75" t="str">
        <f t="shared" si="14"/>
        <v>—</v>
      </c>
      <c r="AL18" s="75" t="str">
        <f t="shared" si="14"/>
        <v>—</v>
      </c>
      <c r="AM18" s="75">
        <f t="shared" si="14"/>
        <v>0</v>
      </c>
      <c r="AN18" s="75">
        <f t="shared" si="14"/>
        <v>0</v>
      </c>
      <c r="AO18" s="75">
        <f t="shared" si="14"/>
        <v>0</v>
      </c>
      <c r="AP18" s="75">
        <f t="shared" si="14"/>
        <v>0</v>
      </c>
      <c r="AQ18" s="75">
        <f t="shared" si="14"/>
        <v>0</v>
      </c>
      <c r="AR18" s="75">
        <f t="shared" si="14"/>
        <v>0</v>
      </c>
      <c r="AS18" s="75">
        <f t="shared" si="14"/>
        <v>0</v>
      </c>
      <c r="AT18" s="75">
        <f t="shared" si="14"/>
        <v>0</v>
      </c>
      <c r="AU18" s="75">
        <f t="shared" si="14"/>
        <v>0</v>
      </c>
      <c r="AV18" s="75"/>
      <c r="BL18" s="246"/>
      <c r="BM18" s="246"/>
    </row>
    <row r="19" spans="1:65" s="356" customFormat="1">
      <c r="A19" s="267" t="s">
        <v>162</v>
      </c>
      <c r="B19" s="377"/>
      <c r="C19" s="387"/>
      <c r="D19" s="387"/>
      <c r="E19" s="387"/>
      <c r="F19" s="387"/>
      <c r="G19" s="414" t="str">
        <f>IF(ISERROR(G18/G4),"—",G18/G4)</f>
        <v>—</v>
      </c>
      <c r="H19" s="414" t="str">
        <f>IF(ISERROR(H18/H4),"—",H18/H4)</f>
        <v>—</v>
      </c>
      <c r="I19" s="414" t="str">
        <f>IF(ISERROR(I18/I4),"—",I18/I4)</f>
        <v>—</v>
      </c>
      <c r="J19" s="415"/>
      <c r="K19" s="415"/>
      <c r="L19" s="415"/>
      <c r="M19" s="415"/>
      <c r="N19" s="415"/>
      <c r="O19" s="415"/>
      <c r="P19" s="415"/>
      <c r="Q19" s="415"/>
      <c r="R19" s="415"/>
      <c r="S19" s="415"/>
      <c r="T19" s="414"/>
      <c r="U19" s="414" t="str">
        <f t="shared" ref="U19:AI19" si="15">IF(ISERROR(U18/U4),"—",U18/U4)</f>
        <v>—</v>
      </c>
      <c r="V19" s="414" t="str">
        <f t="shared" si="15"/>
        <v>—</v>
      </c>
      <c r="W19" s="414" t="str">
        <f t="shared" si="15"/>
        <v>—</v>
      </c>
      <c r="X19" s="563" t="str">
        <f t="shared" si="15"/>
        <v>—</v>
      </c>
      <c r="Y19" s="414" t="str">
        <f t="shared" si="15"/>
        <v>—</v>
      </c>
      <c r="Z19" s="414" t="str">
        <f t="shared" si="15"/>
        <v>—</v>
      </c>
      <c r="AA19" s="414" t="str">
        <f t="shared" si="15"/>
        <v>—</v>
      </c>
      <c r="AB19" s="563" t="str">
        <f t="shared" si="15"/>
        <v>—</v>
      </c>
      <c r="AC19" s="414" t="str">
        <f t="shared" si="15"/>
        <v>—</v>
      </c>
      <c r="AD19" s="414" t="str">
        <f t="shared" si="15"/>
        <v>—</v>
      </c>
      <c r="AE19" s="414" t="str">
        <f t="shared" si="15"/>
        <v>—</v>
      </c>
      <c r="AF19" s="563" t="str">
        <f t="shared" si="15"/>
        <v>—</v>
      </c>
      <c r="AG19" s="414" t="str">
        <f t="shared" si="15"/>
        <v>—</v>
      </c>
      <c r="AH19" s="414" t="str">
        <f t="shared" si="15"/>
        <v>—</v>
      </c>
      <c r="AI19" s="414" t="str">
        <f t="shared" si="15"/>
        <v>—</v>
      </c>
      <c r="AJ19" s="416" t="str">
        <f>IF(财务基础数据!$W$2=0," ",AG19)</f>
        <v xml:space="preserve"> </v>
      </c>
      <c r="AK19" s="416" t="str">
        <f>IF(财务基础数据!$W$2&lt;=1," ",AH19)</f>
        <v xml:space="preserve"> </v>
      </c>
      <c r="AL19" s="416" t="str">
        <f>IF(财务基础数据!$W$2&lt;=2," ",AI19)</f>
        <v xml:space="preserve"> </v>
      </c>
      <c r="AM19" s="416"/>
      <c r="AN19" s="416"/>
      <c r="AO19" s="416"/>
      <c r="AP19" s="416"/>
      <c r="AQ19" s="416"/>
      <c r="AR19" s="416"/>
      <c r="AS19" s="416"/>
      <c r="AT19" s="416"/>
      <c r="AU19" s="416"/>
      <c r="AV19" s="249"/>
      <c r="AW19" s="355"/>
      <c r="AX19" s="355"/>
      <c r="AY19" s="355"/>
      <c r="AZ19" s="355"/>
      <c r="BA19" s="355"/>
      <c r="BB19" s="355"/>
      <c r="BC19" s="355"/>
      <c r="BD19" s="355"/>
      <c r="BE19" s="355"/>
      <c r="BF19" s="355"/>
      <c r="BG19" s="355"/>
      <c r="BH19" s="355"/>
      <c r="BI19" s="355"/>
      <c r="BJ19" s="355"/>
      <c r="BK19" s="355"/>
      <c r="BL19" s="388"/>
      <c r="BM19" s="388"/>
    </row>
    <row r="20" spans="1:65">
      <c r="A20" s="60"/>
      <c r="B20" s="60"/>
      <c r="C20" s="385"/>
      <c r="D20" s="385"/>
      <c r="E20" s="385"/>
      <c r="F20" s="385"/>
      <c r="G20" s="413"/>
      <c r="H20" s="413"/>
      <c r="I20" s="413"/>
      <c r="J20" s="156"/>
      <c r="K20" s="413"/>
      <c r="L20" s="413"/>
      <c r="M20" s="413"/>
      <c r="N20" s="413"/>
      <c r="O20" s="413"/>
      <c r="P20" s="413"/>
      <c r="Q20" s="413"/>
      <c r="R20" s="413"/>
      <c r="S20" s="413"/>
      <c r="T20" s="413"/>
      <c r="U20" s="413"/>
      <c r="V20" s="413"/>
      <c r="W20" s="413"/>
      <c r="X20" s="562"/>
      <c r="Y20" s="413"/>
      <c r="Z20" s="413"/>
      <c r="AA20" s="413"/>
      <c r="AB20" s="562"/>
      <c r="AC20" s="413"/>
      <c r="AD20" s="413"/>
      <c r="AE20" s="413"/>
      <c r="AF20" s="562"/>
      <c r="AG20" s="413"/>
      <c r="AH20" s="413"/>
      <c r="AI20" s="413"/>
      <c r="AJ20" s="413"/>
      <c r="AK20" s="413"/>
      <c r="AL20" s="413"/>
      <c r="AM20" s="413"/>
      <c r="AN20" s="413"/>
      <c r="AO20" s="413"/>
      <c r="AP20" s="413"/>
      <c r="AQ20" s="413"/>
      <c r="AR20" s="413"/>
      <c r="AS20" s="413"/>
      <c r="AT20" s="413"/>
      <c r="AU20" s="413"/>
      <c r="AV20" s="413"/>
      <c r="BL20" s="246"/>
      <c r="BM20" s="246"/>
    </row>
    <row r="21" spans="1:65">
      <c r="A21" s="60" t="s">
        <v>52</v>
      </c>
      <c r="B21" s="60"/>
      <c r="C21" s="390"/>
      <c r="D21" s="390"/>
      <c r="E21" s="390"/>
      <c r="F21" s="390"/>
      <c r="G21" s="413">
        <f>利润表!O14</f>
        <v>0</v>
      </c>
      <c r="H21" s="413">
        <f>利润表!S14</f>
        <v>0</v>
      </c>
      <c r="I21" s="413">
        <f>利润表!W14</f>
        <v>0</v>
      </c>
      <c r="J21" s="413">
        <f>IF(COUNT(AJ22:AM22)=4,SUM(AJ21:AM21),J4*J22)</f>
        <v>0</v>
      </c>
      <c r="K21" s="413">
        <f>IF(COUNT(AN22:AQ22)=4,SUM(AN21:AQ21),K4*K22)</f>
        <v>0</v>
      </c>
      <c r="L21" s="413">
        <f>IF(COUNT(AR22:AU22)=4,SUM(AR21:AU21),L4*L22)</f>
        <v>0</v>
      </c>
      <c r="M21" s="413">
        <f t="shared" ref="M21:S21" si="16">IF(ISERROR(M4*M22),"—",M4*M22)</f>
        <v>0</v>
      </c>
      <c r="N21" s="413">
        <f t="shared" si="16"/>
        <v>0</v>
      </c>
      <c r="O21" s="413">
        <f t="shared" si="16"/>
        <v>0</v>
      </c>
      <c r="P21" s="413">
        <f t="shared" si="16"/>
        <v>0</v>
      </c>
      <c r="Q21" s="413">
        <f t="shared" si="16"/>
        <v>0</v>
      </c>
      <c r="R21" s="413">
        <f t="shared" si="16"/>
        <v>0</v>
      </c>
      <c r="S21" s="413">
        <f t="shared" si="16"/>
        <v>0</v>
      </c>
      <c r="T21" s="413"/>
      <c r="U21" s="413">
        <f>利润表!L14</f>
        <v>0</v>
      </c>
      <c r="V21" s="413">
        <f>利润表!M14-利润表!L14</f>
        <v>0</v>
      </c>
      <c r="W21" s="413">
        <f>利润表!N14-利润表!M14</f>
        <v>0</v>
      </c>
      <c r="X21" s="562">
        <f>利润表!O14-利润表!N14</f>
        <v>0</v>
      </c>
      <c r="Y21" s="413">
        <f>利润表!P14</f>
        <v>0</v>
      </c>
      <c r="Z21" s="413">
        <f>利润表!Q14-利润表!P14</f>
        <v>0</v>
      </c>
      <c r="AA21" s="413">
        <f>利润表!R14-利润表!Q14</f>
        <v>0</v>
      </c>
      <c r="AB21" s="562">
        <f>利润表!S14-利润表!R14</f>
        <v>0</v>
      </c>
      <c r="AC21" s="413">
        <f>利润表!T14</f>
        <v>0</v>
      </c>
      <c r="AD21" s="413">
        <f>利润表!U14-利润表!T14</f>
        <v>0</v>
      </c>
      <c r="AE21" s="413">
        <f>利润表!V14-利润表!U14</f>
        <v>0</v>
      </c>
      <c r="AF21" s="562">
        <f>利润表!W14-利润表!V14</f>
        <v>0</v>
      </c>
      <c r="AG21" s="413">
        <f>IF(财务基础数据!$W$2=0,0,利润表!X14)</f>
        <v>0</v>
      </c>
      <c r="AH21" s="413">
        <f>IF(财务基础数据!$W$2&lt;=1,0,利润表!Y14-利润表!X14)</f>
        <v>0</v>
      </c>
      <c r="AI21" s="413">
        <f>IF(财务基础数据!$W$2&lt;=2,0,利润表!Z14-利润表!Y14)</f>
        <v>0</v>
      </c>
      <c r="AJ21" s="75" t="str">
        <f t="shared" ref="AJ21:AU21" si="17">IF(ISERROR(AJ22*AJ4),"—",AJ22*AJ4)</f>
        <v>—</v>
      </c>
      <c r="AK21" s="75" t="str">
        <f t="shared" si="17"/>
        <v>—</v>
      </c>
      <c r="AL21" s="75" t="str">
        <f t="shared" si="17"/>
        <v>—</v>
      </c>
      <c r="AM21" s="75">
        <f t="shared" si="17"/>
        <v>0</v>
      </c>
      <c r="AN21" s="75">
        <f t="shared" si="17"/>
        <v>0</v>
      </c>
      <c r="AO21" s="75">
        <f t="shared" si="17"/>
        <v>0</v>
      </c>
      <c r="AP21" s="75">
        <f t="shared" si="17"/>
        <v>0</v>
      </c>
      <c r="AQ21" s="75">
        <f t="shared" si="17"/>
        <v>0</v>
      </c>
      <c r="AR21" s="75">
        <f t="shared" si="17"/>
        <v>0</v>
      </c>
      <c r="AS21" s="75">
        <f t="shared" si="17"/>
        <v>0</v>
      </c>
      <c r="AT21" s="75">
        <f t="shared" si="17"/>
        <v>0</v>
      </c>
      <c r="AU21" s="75">
        <f t="shared" si="17"/>
        <v>0</v>
      </c>
      <c r="AV21" s="75"/>
      <c r="BL21" s="246"/>
      <c r="BM21" s="246"/>
    </row>
    <row r="22" spans="1:65" s="356" customFormat="1">
      <c r="A22" s="267" t="s">
        <v>162</v>
      </c>
      <c r="B22" s="377"/>
      <c r="C22" s="387"/>
      <c r="D22" s="387"/>
      <c r="E22" s="387"/>
      <c r="F22" s="387"/>
      <c r="G22" s="407" t="str">
        <f>IF(ISERROR(G21/G4),"—",G21/G4)</f>
        <v>—</v>
      </c>
      <c r="H22" s="407" t="str">
        <f>IF(ISERROR(H21/H4),"—",H21/H4)</f>
        <v>—</v>
      </c>
      <c r="I22" s="407" t="str">
        <f>IF(ISERROR(I21/I4),"—",I21/I4)</f>
        <v>—</v>
      </c>
      <c r="J22" s="415"/>
      <c r="K22" s="415"/>
      <c r="L22" s="415"/>
      <c r="M22" s="415"/>
      <c r="N22" s="415"/>
      <c r="O22" s="415"/>
      <c r="P22" s="415"/>
      <c r="Q22" s="415"/>
      <c r="R22" s="415"/>
      <c r="S22" s="415"/>
      <c r="T22" s="414"/>
      <c r="U22" s="407" t="str">
        <f t="shared" ref="U22:AI22" si="18">IF(ISERROR(U21/U4),"—",U21/U4)</f>
        <v>—</v>
      </c>
      <c r="V22" s="407" t="str">
        <f t="shared" si="18"/>
        <v>—</v>
      </c>
      <c r="W22" s="407" t="str">
        <f t="shared" si="18"/>
        <v>—</v>
      </c>
      <c r="X22" s="564" t="str">
        <f t="shared" si="18"/>
        <v>—</v>
      </c>
      <c r="Y22" s="407" t="str">
        <f t="shared" si="18"/>
        <v>—</v>
      </c>
      <c r="Z22" s="407" t="str">
        <f t="shared" si="18"/>
        <v>—</v>
      </c>
      <c r="AA22" s="407" t="str">
        <f t="shared" si="18"/>
        <v>—</v>
      </c>
      <c r="AB22" s="564" t="str">
        <f t="shared" si="18"/>
        <v>—</v>
      </c>
      <c r="AC22" s="407" t="str">
        <f t="shared" si="18"/>
        <v>—</v>
      </c>
      <c r="AD22" s="407" t="str">
        <f t="shared" si="18"/>
        <v>—</v>
      </c>
      <c r="AE22" s="407" t="str">
        <f t="shared" si="18"/>
        <v>—</v>
      </c>
      <c r="AF22" s="564" t="str">
        <f t="shared" si="18"/>
        <v>—</v>
      </c>
      <c r="AG22" s="407" t="str">
        <f t="shared" si="18"/>
        <v>—</v>
      </c>
      <c r="AH22" s="407" t="str">
        <f t="shared" si="18"/>
        <v>—</v>
      </c>
      <c r="AI22" s="407" t="str">
        <f t="shared" si="18"/>
        <v>—</v>
      </c>
      <c r="AJ22" s="416" t="str">
        <f>IF(财务基础数据!$W$2=0," ",AG22)</f>
        <v xml:space="preserve"> </v>
      </c>
      <c r="AK22" s="416" t="str">
        <f>IF(财务基础数据!$W$2&lt;=1," ",AH22)</f>
        <v xml:space="preserve"> </v>
      </c>
      <c r="AL22" s="416" t="str">
        <f>IF(财务基础数据!$W$2&lt;=2," ",AI22)</f>
        <v xml:space="preserve"> </v>
      </c>
      <c r="AM22" s="416"/>
      <c r="AN22" s="416"/>
      <c r="AO22" s="416"/>
      <c r="AP22" s="416"/>
      <c r="AQ22" s="416"/>
      <c r="AR22" s="416"/>
      <c r="AS22" s="416"/>
      <c r="AT22" s="416"/>
      <c r="AU22" s="416"/>
      <c r="AV22" s="249"/>
      <c r="AW22" s="355"/>
      <c r="AX22" s="355"/>
      <c r="AY22" s="355"/>
      <c r="AZ22" s="355"/>
      <c r="BA22" s="355"/>
      <c r="BB22" s="355"/>
      <c r="BC22" s="355"/>
      <c r="BD22" s="355"/>
      <c r="BE22" s="355"/>
      <c r="BF22" s="355"/>
      <c r="BG22" s="355"/>
      <c r="BH22" s="355"/>
      <c r="BI22" s="355"/>
      <c r="BJ22" s="355"/>
      <c r="BK22" s="355"/>
      <c r="BL22" s="388"/>
      <c r="BM22" s="388"/>
    </row>
    <row r="23" spans="1:65">
      <c r="A23" s="60"/>
      <c r="B23" s="60"/>
      <c r="C23" s="385"/>
      <c r="D23" s="385"/>
      <c r="E23" s="385"/>
      <c r="F23" s="385"/>
      <c r="G23" s="413"/>
      <c r="H23" s="413"/>
      <c r="I23" s="413"/>
      <c r="J23" s="413"/>
      <c r="K23" s="413"/>
      <c r="L23" s="413"/>
      <c r="M23" s="413"/>
      <c r="N23" s="413"/>
      <c r="O23" s="413"/>
      <c r="P23" s="413"/>
      <c r="Q23" s="413"/>
      <c r="R23" s="413"/>
      <c r="S23" s="413"/>
      <c r="T23" s="413"/>
      <c r="U23" s="413"/>
      <c r="V23" s="413"/>
      <c r="W23" s="413"/>
      <c r="X23" s="562"/>
      <c r="Y23" s="413"/>
      <c r="Z23" s="413"/>
      <c r="AA23" s="413"/>
      <c r="AB23" s="562"/>
      <c r="AC23" s="413"/>
      <c r="AD23" s="413"/>
      <c r="AE23" s="413"/>
      <c r="AF23" s="562"/>
      <c r="AG23" s="413"/>
      <c r="AH23" s="413"/>
      <c r="AI23" s="413"/>
      <c r="AJ23" s="413"/>
      <c r="AK23" s="413"/>
      <c r="AL23" s="413"/>
      <c r="AM23" s="413"/>
      <c r="AN23" s="413"/>
      <c r="AO23" s="413"/>
      <c r="AP23" s="413"/>
      <c r="AQ23" s="413"/>
      <c r="AR23" s="413"/>
      <c r="AS23" s="413"/>
      <c r="AT23" s="413"/>
      <c r="AU23" s="413"/>
      <c r="AV23" s="413"/>
      <c r="BL23" s="246"/>
      <c r="BM23" s="246"/>
    </row>
    <row r="24" spans="1:65">
      <c r="A24" s="60" t="s">
        <v>97</v>
      </c>
      <c r="B24" s="60"/>
      <c r="C24" s="390"/>
      <c r="D24" s="390"/>
      <c r="E24" s="390"/>
      <c r="F24" s="390"/>
      <c r="G24" s="413">
        <f>利润表!O15</f>
        <v>0</v>
      </c>
      <c r="H24" s="413">
        <f>利润表!S15</f>
        <v>0</v>
      </c>
      <c r="I24" s="413">
        <f>利润表!W15</f>
        <v>0</v>
      </c>
      <c r="J24" s="413">
        <f>IF(COUNT(AJ25:AM25)=4,SUM(AJ24:AM24),J4*J25)</f>
        <v>0</v>
      </c>
      <c r="K24" s="413">
        <f>IF(COUNT(AN25:AQ25)=4,SUM(AN24:AQ24),K4*K25)</f>
        <v>0</v>
      </c>
      <c r="L24" s="413">
        <f>IF(COUNT(AR25:AU25)=4,SUM(AR24:AU24),L4*L25)</f>
        <v>0</v>
      </c>
      <c r="M24" s="413">
        <f t="shared" ref="M24:S24" si="19">IF(ISERROR(M4*M25),"—",M4*M25)</f>
        <v>0</v>
      </c>
      <c r="N24" s="413">
        <f t="shared" si="19"/>
        <v>0</v>
      </c>
      <c r="O24" s="413">
        <f t="shared" si="19"/>
        <v>0</v>
      </c>
      <c r="P24" s="413">
        <f t="shared" si="19"/>
        <v>0</v>
      </c>
      <c r="Q24" s="413">
        <f t="shared" si="19"/>
        <v>0</v>
      </c>
      <c r="R24" s="413">
        <f t="shared" si="19"/>
        <v>0</v>
      </c>
      <c r="S24" s="413">
        <f t="shared" si="19"/>
        <v>0</v>
      </c>
      <c r="T24" s="413"/>
      <c r="U24" s="413">
        <f>利润表!L15</f>
        <v>0</v>
      </c>
      <c r="V24" s="413">
        <f>利润表!M15-利润表!L15</f>
        <v>0</v>
      </c>
      <c r="W24" s="413">
        <f>利润表!N15-利润表!M15</f>
        <v>0</v>
      </c>
      <c r="X24" s="562">
        <f>利润表!O15-利润表!N15</f>
        <v>0</v>
      </c>
      <c r="Y24" s="413">
        <f>利润表!P15</f>
        <v>0</v>
      </c>
      <c r="Z24" s="413">
        <f>利润表!Q15-利润表!P15</f>
        <v>0</v>
      </c>
      <c r="AA24" s="413">
        <f>利润表!R15-利润表!Q15</f>
        <v>0</v>
      </c>
      <c r="AB24" s="562">
        <f>利润表!S15-利润表!R15</f>
        <v>0</v>
      </c>
      <c r="AC24" s="413">
        <f>利润表!T15</f>
        <v>0</v>
      </c>
      <c r="AD24" s="413">
        <f>利润表!U15-利润表!T15</f>
        <v>0</v>
      </c>
      <c r="AE24" s="413">
        <f>利润表!V15-利润表!U15</f>
        <v>0</v>
      </c>
      <c r="AF24" s="562">
        <f>利润表!W15-利润表!V15</f>
        <v>0</v>
      </c>
      <c r="AG24" s="413">
        <f>IF(财务基础数据!$W$2=0,0,利润表!X15)</f>
        <v>0</v>
      </c>
      <c r="AH24" s="413">
        <f>IF(财务基础数据!$W$2&lt;=1,0,利润表!Y15-利润表!X15)</f>
        <v>0</v>
      </c>
      <c r="AI24" s="413">
        <f>IF(财务基础数据!$W$2&lt;=2,0,利润表!Z15-利润表!Y15)</f>
        <v>0</v>
      </c>
      <c r="AJ24" s="75" t="str">
        <f>IF(ISERROR(AJ25*AJ4),"—",AJ25*AJ4)</f>
        <v>—</v>
      </c>
      <c r="AK24" s="75" t="str">
        <f t="shared" ref="AK24:AU24" si="20">IF(ISERROR(AK25*AK4),"—",AK25*AK4)</f>
        <v>—</v>
      </c>
      <c r="AL24" s="75" t="str">
        <f t="shared" si="20"/>
        <v>—</v>
      </c>
      <c r="AM24" s="75">
        <f t="shared" si="20"/>
        <v>0</v>
      </c>
      <c r="AN24" s="75">
        <f t="shared" si="20"/>
        <v>0</v>
      </c>
      <c r="AO24" s="75">
        <f t="shared" si="20"/>
        <v>0</v>
      </c>
      <c r="AP24" s="75">
        <f t="shared" si="20"/>
        <v>0</v>
      </c>
      <c r="AQ24" s="75">
        <f t="shared" si="20"/>
        <v>0</v>
      </c>
      <c r="AR24" s="75">
        <f t="shared" si="20"/>
        <v>0</v>
      </c>
      <c r="AS24" s="75">
        <f t="shared" si="20"/>
        <v>0</v>
      </c>
      <c r="AT24" s="75">
        <f t="shared" si="20"/>
        <v>0</v>
      </c>
      <c r="AU24" s="75">
        <f t="shared" si="20"/>
        <v>0</v>
      </c>
      <c r="AV24" s="75"/>
      <c r="BL24" s="246"/>
      <c r="BM24" s="246"/>
    </row>
    <row r="25" spans="1:65" s="356" customFormat="1">
      <c r="A25" s="267" t="s">
        <v>162</v>
      </c>
      <c r="B25" s="377"/>
      <c r="C25" s="387"/>
      <c r="D25" s="387"/>
      <c r="E25" s="387"/>
      <c r="F25" s="387"/>
      <c r="G25" s="407" t="str">
        <f>IF(ISERROR(G24/G4),"—",G24/G4)</f>
        <v>—</v>
      </c>
      <c r="H25" s="407" t="str">
        <f>IF(ISERROR(H24/H4),"—",H24/H4)</f>
        <v>—</v>
      </c>
      <c r="I25" s="407" t="str">
        <f>IF(ISERROR(I24/I4),"—",I24/I4)</f>
        <v>—</v>
      </c>
      <c r="J25" s="415"/>
      <c r="K25" s="415"/>
      <c r="L25" s="415"/>
      <c r="M25" s="415"/>
      <c r="N25" s="415"/>
      <c r="O25" s="415"/>
      <c r="P25" s="415"/>
      <c r="Q25" s="415"/>
      <c r="R25" s="415"/>
      <c r="S25" s="415"/>
      <c r="T25" s="414"/>
      <c r="U25" s="407" t="str">
        <f t="shared" ref="U25:AI25" si="21">IF(ISERROR(U24/U4),"—",U24/U4)</f>
        <v>—</v>
      </c>
      <c r="V25" s="407" t="str">
        <f t="shared" si="21"/>
        <v>—</v>
      </c>
      <c r="W25" s="407" t="str">
        <f t="shared" si="21"/>
        <v>—</v>
      </c>
      <c r="X25" s="564" t="str">
        <f t="shared" si="21"/>
        <v>—</v>
      </c>
      <c r="Y25" s="407" t="str">
        <f t="shared" si="21"/>
        <v>—</v>
      </c>
      <c r="Z25" s="407" t="str">
        <f t="shared" si="21"/>
        <v>—</v>
      </c>
      <c r="AA25" s="407" t="str">
        <f t="shared" si="21"/>
        <v>—</v>
      </c>
      <c r="AB25" s="564" t="str">
        <f t="shared" si="21"/>
        <v>—</v>
      </c>
      <c r="AC25" s="407" t="str">
        <f t="shared" si="21"/>
        <v>—</v>
      </c>
      <c r="AD25" s="407" t="str">
        <f t="shared" si="21"/>
        <v>—</v>
      </c>
      <c r="AE25" s="407" t="str">
        <f t="shared" si="21"/>
        <v>—</v>
      </c>
      <c r="AF25" s="564" t="str">
        <f t="shared" si="21"/>
        <v>—</v>
      </c>
      <c r="AG25" s="407" t="str">
        <f t="shared" si="21"/>
        <v>—</v>
      </c>
      <c r="AH25" s="407" t="str">
        <f t="shared" si="21"/>
        <v>—</v>
      </c>
      <c r="AI25" s="407" t="str">
        <f t="shared" si="21"/>
        <v>—</v>
      </c>
      <c r="AJ25" s="416" t="str">
        <f>IF(财务基础数据!$W$2=0," ",AG25)</f>
        <v xml:space="preserve"> </v>
      </c>
      <c r="AK25" s="416" t="str">
        <f>IF(财务基础数据!$W$2&lt;=1," ",AH25)</f>
        <v xml:space="preserve"> </v>
      </c>
      <c r="AL25" s="416" t="str">
        <f>IF(财务基础数据!$W$2&lt;=2," ",AI25)</f>
        <v xml:space="preserve"> </v>
      </c>
      <c r="AM25" s="416"/>
      <c r="AN25" s="416"/>
      <c r="AO25" s="416"/>
      <c r="AP25" s="416"/>
      <c r="AQ25" s="416"/>
      <c r="AR25" s="416"/>
      <c r="AS25" s="416"/>
      <c r="AT25" s="416"/>
      <c r="AU25" s="416"/>
      <c r="AV25" s="249"/>
      <c r="AW25" s="355"/>
      <c r="AX25" s="355"/>
      <c r="AY25" s="355"/>
      <c r="AZ25" s="355"/>
      <c r="BA25" s="355"/>
      <c r="BB25" s="355"/>
      <c r="BC25" s="355"/>
      <c r="BD25" s="355"/>
      <c r="BE25" s="355"/>
      <c r="BF25" s="355"/>
      <c r="BG25" s="355"/>
      <c r="BH25" s="355"/>
      <c r="BI25" s="355"/>
      <c r="BJ25" s="355"/>
      <c r="BK25" s="355"/>
      <c r="BL25" s="388"/>
      <c r="BM25" s="388"/>
    </row>
    <row r="26" spans="1:65">
      <c r="A26" s="60"/>
      <c r="B26" s="60"/>
      <c r="C26" s="385"/>
      <c r="D26" s="385"/>
      <c r="E26" s="385"/>
      <c r="F26" s="385"/>
      <c r="G26" s="413"/>
      <c r="H26" s="413"/>
      <c r="I26" s="413"/>
      <c r="J26" s="413"/>
      <c r="K26" s="413"/>
      <c r="L26" s="413"/>
      <c r="M26" s="413"/>
      <c r="N26" s="413"/>
      <c r="O26" s="413"/>
      <c r="P26" s="413"/>
      <c r="Q26" s="413"/>
      <c r="R26" s="413"/>
      <c r="S26" s="413"/>
      <c r="T26" s="413"/>
      <c r="U26" s="413"/>
      <c r="V26" s="413"/>
      <c r="W26" s="413"/>
      <c r="X26" s="562"/>
      <c r="Y26" s="413"/>
      <c r="Z26" s="413"/>
      <c r="AA26" s="413"/>
      <c r="AB26" s="562"/>
      <c r="AC26" s="413"/>
      <c r="AD26" s="413"/>
      <c r="AE26" s="413"/>
      <c r="AF26" s="562"/>
      <c r="AG26" s="413"/>
      <c r="AH26" s="413"/>
      <c r="AI26" s="413"/>
      <c r="AJ26" s="413"/>
      <c r="AK26" s="413"/>
      <c r="AL26" s="413"/>
      <c r="AM26" s="413"/>
      <c r="AN26" s="413"/>
      <c r="AO26" s="413"/>
      <c r="AP26" s="413"/>
      <c r="AQ26" s="413"/>
      <c r="AR26" s="413"/>
      <c r="AS26" s="413"/>
      <c r="AT26" s="413"/>
      <c r="AU26" s="413"/>
      <c r="AV26" s="413"/>
      <c r="BL26" s="246"/>
      <c r="BM26" s="246"/>
    </row>
    <row r="27" spans="1:65">
      <c r="A27" s="60" t="s">
        <v>163</v>
      </c>
      <c r="B27" s="60"/>
      <c r="C27" s="385"/>
      <c r="D27" s="385"/>
      <c r="E27" s="385"/>
      <c r="F27" s="385"/>
      <c r="G27" s="413">
        <f>利润表!O20</f>
        <v>0</v>
      </c>
      <c r="H27" s="413">
        <f>利润表!S20</f>
        <v>0</v>
      </c>
      <c r="I27" s="413">
        <f>利润表!W20</f>
        <v>0</v>
      </c>
      <c r="J27" s="252">
        <f>IF(COUNT(AJ28:AM28)=4,SUM(AJ27:AM27),资产负债表!AA16*J28)</f>
        <v>0</v>
      </c>
      <c r="K27" s="252">
        <f>IF(COUNT(AN28:AQ28)=4,SUM(AN27:AQ27),资产负债表!AB16*K28)</f>
        <v>0</v>
      </c>
      <c r="L27" s="252">
        <f>IF(COUNT(AR28:AU28)=4,SUM(AR27:AU27),资产负债表!AC16*L28)</f>
        <v>0</v>
      </c>
      <c r="M27" s="252">
        <f>IF(ISERROR(资产负债表!AD16*M28),"—",资产负债表!AD16*M28)</f>
        <v>0</v>
      </c>
      <c r="N27" s="252">
        <f>IF(ISERROR(资产负债表!AE16*N28),"—",资产负债表!AE16*N28)</f>
        <v>0</v>
      </c>
      <c r="O27" s="252">
        <f>IF(ISERROR(资产负债表!AF16*O28),"—",资产负债表!AF16*O28)</f>
        <v>0</v>
      </c>
      <c r="P27" s="252">
        <f>IF(ISERROR(资产负债表!AG16*P28),"—",资产负债表!AG16*P28)</f>
        <v>0</v>
      </c>
      <c r="Q27" s="252">
        <f>IF(ISERROR(资产负债表!AH16*Q28),"—",资产负债表!AH16*Q28)</f>
        <v>0</v>
      </c>
      <c r="R27" s="252">
        <f>IF(ISERROR(资产负债表!AI16*R28),"—",资产负债表!AI16*R28)</f>
        <v>0</v>
      </c>
      <c r="S27" s="252">
        <f>IF(ISERROR(资产负债表!AJ16*S28),"—",资产负债表!AJ16*S28)</f>
        <v>0</v>
      </c>
      <c r="T27" s="413"/>
      <c r="U27" s="413">
        <f>利润表!L20</f>
        <v>0</v>
      </c>
      <c r="V27" s="413">
        <f>利润表!M20-利润表!L20</f>
        <v>0</v>
      </c>
      <c r="W27" s="413">
        <f>利润表!N20-利润表!M20</f>
        <v>0</v>
      </c>
      <c r="X27" s="562">
        <f>利润表!O20-利润表!N20</f>
        <v>0</v>
      </c>
      <c r="Y27" s="413">
        <f>利润表!P20</f>
        <v>0</v>
      </c>
      <c r="Z27" s="413">
        <f>利润表!Q20-利润表!P20</f>
        <v>0</v>
      </c>
      <c r="AA27" s="413">
        <f>利润表!R20-利润表!Q20</f>
        <v>0</v>
      </c>
      <c r="AB27" s="562">
        <f>利润表!S20-利润表!R20</f>
        <v>0</v>
      </c>
      <c r="AC27" s="413">
        <f>利润表!T20</f>
        <v>0</v>
      </c>
      <c r="AD27" s="413">
        <f>利润表!U20-利润表!T20</f>
        <v>0</v>
      </c>
      <c r="AE27" s="413">
        <f>利润表!V20-利润表!U20</f>
        <v>0</v>
      </c>
      <c r="AF27" s="562">
        <f>利润表!W20-利润表!V20</f>
        <v>0</v>
      </c>
      <c r="AG27" s="413">
        <f>IF(财务基础数据!$W$2=0,0,利润表!X20)</f>
        <v>0</v>
      </c>
      <c r="AH27" s="413">
        <f>IF(财务基础数据!$W$2&lt;=1,0,利润表!Y20-利润表!X20)</f>
        <v>0</v>
      </c>
      <c r="AI27" s="413">
        <f>IF(财务基础数据!$W$2&lt;=2,0,利润表!Z20-利润表!Y20)</f>
        <v>0</v>
      </c>
      <c r="AJ27" s="75" t="str">
        <f>IF(ISERROR(AJ28*资产负债表!$AA$16),"—",AJ28*资产负债表!$AA$16)</f>
        <v>—</v>
      </c>
      <c r="AK27" s="75" t="str">
        <f>IF(ISERROR(AK28*资产负债表!$AA$16),"—",AK28*资产负债表!$AA$16)</f>
        <v>—</v>
      </c>
      <c r="AL27" s="75" t="str">
        <f>IF(ISERROR(AL28*资产负债表!$AA$16),"—",AL28*资产负债表!$AA$16)</f>
        <v>—</v>
      </c>
      <c r="AM27" s="75">
        <f>IF(ISERROR(AM28*资产负债表!$AA$16),"—",AM28*资产负债表!$AA$16)</f>
        <v>0</v>
      </c>
      <c r="AN27" s="75">
        <f>IF(ISERROR(AN28*资产负债表!$AB$16),"—",AN28*资产负债表!$AB$16)</f>
        <v>0</v>
      </c>
      <c r="AO27" s="75">
        <f>IF(ISERROR(AO28*资产负债表!$AB$16),"—",AO28*资产负债表!$AB$16)</f>
        <v>0</v>
      </c>
      <c r="AP27" s="75">
        <f>IF(ISERROR(AP28*资产负债表!$AB$16),"—",AP28*资产负债表!$AB$16)</f>
        <v>0</v>
      </c>
      <c r="AQ27" s="75">
        <f>IF(ISERROR(AQ28*资产负债表!$AB$16),"—",AQ28*资产负债表!$AB$16)</f>
        <v>0</v>
      </c>
      <c r="AR27" s="75">
        <f>IF(ISERROR(AR28*资产负债表!$AC$16),"—",AR28*资产负债表!$AC$16)</f>
        <v>0</v>
      </c>
      <c r="AS27" s="75">
        <f>IF(ISERROR(AS28*资产负债表!$AC$16),"—",AS28*资产负债表!$AC$16)</f>
        <v>0</v>
      </c>
      <c r="AT27" s="75">
        <f>IF(ISERROR(AT28*资产负债表!$AC$16),"—",AT28*资产负债表!$AC$16)</f>
        <v>0</v>
      </c>
      <c r="AU27" s="75">
        <f>IF(ISERROR(AU28*资产负债表!$AC$16),"—",AU28*资产负债表!$AC$16)</f>
        <v>0</v>
      </c>
      <c r="AV27" s="75"/>
      <c r="BL27" s="246"/>
      <c r="BM27" s="246"/>
    </row>
    <row r="28" spans="1:65" s="356" customFormat="1">
      <c r="A28" s="267" t="s">
        <v>164</v>
      </c>
      <c r="B28" s="377"/>
      <c r="C28" s="391"/>
      <c r="D28" s="391"/>
      <c r="E28" s="391"/>
      <c r="F28" s="391"/>
      <c r="G28" s="407">
        <f>IF(ISERROR(G27/资产负债表!O16),0,G27/资产负债表!O16)</f>
        <v>0</v>
      </c>
      <c r="H28" s="407">
        <f>IF(ISERROR(H27/资产负债表!S16),0,H27/资产负债表!S16)</f>
        <v>0</v>
      </c>
      <c r="I28" s="407">
        <f>IF(ISERROR(I27/资产负债表!W16),0,I27/资产负债表!W16)</f>
        <v>0</v>
      </c>
      <c r="J28" s="415"/>
      <c r="K28" s="415"/>
      <c r="L28" s="415"/>
      <c r="M28" s="415"/>
      <c r="N28" s="415"/>
      <c r="O28" s="415"/>
      <c r="P28" s="415"/>
      <c r="Q28" s="415"/>
      <c r="R28" s="415"/>
      <c r="S28" s="415"/>
      <c r="T28" s="414"/>
      <c r="U28" s="407" t="str">
        <f>IF(ISERROR(U27/资产负债表!$O$16),"—",U27/资产负债表!$O$16)</f>
        <v>—</v>
      </c>
      <c r="V28" s="407" t="str">
        <f>IF(ISERROR(V27/资产负债表!$O$16),"—",V27/资产负债表!$O$16)</f>
        <v>—</v>
      </c>
      <c r="W28" s="407" t="str">
        <f>IF(ISERROR(W27/资产负债表!$O$16),"—",W27/资产负债表!$O$16)</f>
        <v>—</v>
      </c>
      <c r="X28" s="564" t="str">
        <f>IF(ISERROR(X27/资产负债表!$O$16),"—",X27/资产负债表!$O$16)</f>
        <v>—</v>
      </c>
      <c r="Y28" s="407" t="str">
        <f>IF(ISERROR(Y27/资产负债表!$S$16),"—",Y27/资产负债表!$S$16)</f>
        <v>—</v>
      </c>
      <c r="Z28" s="407" t="str">
        <f>IF(ISERROR(Z27/资产负债表!$S$16),"—",Z27/资产负债表!$S$16)</f>
        <v>—</v>
      </c>
      <c r="AA28" s="407" t="str">
        <f>IF(ISERROR(AA27/资产负债表!$S$16),"—",AA27/资产负债表!$S$16)</f>
        <v>—</v>
      </c>
      <c r="AB28" s="564" t="str">
        <f>IF(ISERROR(AB27/资产负债表!$S$16),"—",AB27/资产负债表!$S$16)</f>
        <v>—</v>
      </c>
      <c r="AC28" s="407" t="str">
        <f>IF(ISERROR(AC27/资产负债表!$W$16),"—",AC27/资产负债表!$W$16)</f>
        <v>—</v>
      </c>
      <c r="AD28" s="407" t="str">
        <f>IF(ISERROR(AD27/资产负债表!$W$16),"—",AD27/资产负债表!$W$16)</f>
        <v>—</v>
      </c>
      <c r="AE28" s="407" t="str">
        <f>IF(ISERROR(AE27/资产负债表!$W$16),"—",AE27/资产负债表!$W$16)</f>
        <v>—</v>
      </c>
      <c r="AF28" s="564" t="str">
        <f>IF(ISERROR(AF27/资产负债表!$W$16),"—",AF27/资产负债表!$W$16)</f>
        <v>—</v>
      </c>
      <c r="AG28" s="407" t="str">
        <f>IF(ISERROR(AG27/资产负债表!$AA$16),"—",AG27/资产负债表!$AA$16)</f>
        <v>—</v>
      </c>
      <c r="AH28" s="407" t="str">
        <f>IF(ISERROR(AH27/资产负债表!$AA$16),"—",AH27/资产负债表!$AA$16)</f>
        <v>—</v>
      </c>
      <c r="AI28" s="407" t="str">
        <f>IF(ISERROR(AI27/资产负债表!$AA$16),"—",AI27/资产负债表!$AA$16)</f>
        <v>—</v>
      </c>
      <c r="AJ28" s="416" t="str">
        <f>IF(财务基础数据!$W$2=0," ",AG28)</f>
        <v xml:space="preserve"> </v>
      </c>
      <c r="AK28" s="416" t="str">
        <f>IF(财务基础数据!$W$2&lt;=1," ",AH28)</f>
        <v xml:space="preserve"> </v>
      </c>
      <c r="AL28" s="416" t="str">
        <f>IF(财务基础数据!$W$2&lt;=2," ",AI28)</f>
        <v xml:space="preserve"> </v>
      </c>
      <c r="AM28" s="416"/>
      <c r="AN28" s="416"/>
      <c r="AO28" s="416"/>
      <c r="AP28" s="416"/>
      <c r="AQ28" s="416"/>
      <c r="AR28" s="416"/>
      <c r="AS28" s="416"/>
      <c r="AT28" s="416"/>
      <c r="AU28" s="416"/>
      <c r="AV28" s="417"/>
      <c r="AW28" s="355"/>
      <c r="AX28" s="355"/>
      <c r="AY28" s="355"/>
      <c r="AZ28" s="355"/>
      <c r="BA28" s="355"/>
      <c r="BB28" s="355"/>
      <c r="BC28" s="355"/>
      <c r="BD28" s="355"/>
      <c r="BE28" s="355"/>
      <c r="BF28" s="355"/>
      <c r="BG28" s="355"/>
      <c r="BH28" s="355"/>
      <c r="BI28" s="355"/>
      <c r="BJ28" s="355"/>
      <c r="BK28" s="355"/>
      <c r="BL28" s="388"/>
      <c r="BM28" s="388"/>
    </row>
    <row r="29" spans="1:65">
      <c r="A29" s="60"/>
      <c r="B29" s="60"/>
      <c r="C29" s="385"/>
      <c r="D29" s="385"/>
      <c r="E29" s="385"/>
      <c r="F29" s="385"/>
      <c r="G29" s="413"/>
      <c r="H29" s="413"/>
      <c r="I29" s="413"/>
      <c r="J29" s="413"/>
      <c r="K29" s="413"/>
      <c r="L29" s="413"/>
      <c r="M29" s="413"/>
      <c r="N29" s="413"/>
      <c r="O29" s="413"/>
      <c r="P29" s="413"/>
      <c r="Q29" s="413"/>
      <c r="R29" s="413"/>
      <c r="S29" s="413"/>
      <c r="T29" s="413"/>
      <c r="U29" s="413"/>
      <c r="V29" s="413"/>
      <c r="W29" s="413"/>
      <c r="X29" s="562"/>
      <c r="Y29" s="413"/>
      <c r="Z29" s="413"/>
      <c r="AA29" s="413"/>
      <c r="AB29" s="562"/>
      <c r="AC29" s="413"/>
      <c r="AD29" s="413"/>
      <c r="AE29" s="413"/>
      <c r="AF29" s="562"/>
      <c r="AG29" s="413"/>
      <c r="AH29" s="413"/>
      <c r="AI29" s="413"/>
      <c r="AJ29" s="413"/>
      <c r="AK29" s="413"/>
      <c r="AL29" s="413"/>
      <c r="AM29" s="413"/>
      <c r="AN29" s="413"/>
      <c r="AO29" s="413"/>
      <c r="AP29" s="413"/>
      <c r="AQ29" s="413"/>
      <c r="AR29" s="413"/>
      <c r="AS29" s="413"/>
      <c r="AT29" s="413"/>
      <c r="AU29" s="413"/>
      <c r="AV29" s="413"/>
      <c r="BL29" s="246"/>
      <c r="BM29" s="246"/>
    </row>
    <row r="30" spans="1:65">
      <c r="A30" s="60" t="s">
        <v>554</v>
      </c>
      <c r="B30" s="60"/>
      <c r="C30" s="385"/>
      <c r="D30" s="385"/>
      <c r="E30" s="385"/>
      <c r="F30" s="385"/>
      <c r="G30" s="413">
        <f>利润表!O21</f>
        <v>0</v>
      </c>
      <c r="H30" s="413">
        <f>利润表!S21</f>
        <v>0</v>
      </c>
      <c r="I30" s="413">
        <f>利润表!W21</f>
        <v>0</v>
      </c>
      <c r="J30" s="413">
        <f>IF(COUNT(AJ31:AM31)=4,SUM(AJ30:AM30),J4*J31)</f>
        <v>0</v>
      </c>
      <c r="K30" s="413">
        <f>IF(COUNT(AN31:AQ31)=4,SUM(AN30:AQ30),K4*K31)</f>
        <v>0</v>
      </c>
      <c r="L30" s="413">
        <f>IF(COUNT(AR31:AU31)=4,SUM(AR30:AU30),L4*L31)</f>
        <v>0</v>
      </c>
      <c r="M30" s="413">
        <f t="shared" ref="M30:S30" si="22">IF(ISERROR(M4*M31),"—",M4*M31)</f>
        <v>0</v>
      </c>
      <c r="N30" s="413">
        <f t="shared" si="22"/>
        <v>0</v>
      </c>
      <c r="O30" s="413">
        <f t="shared" si="22"/>
        <v>0</v>
      </c>
      <c r="P30" s="413">
        <f t="shared" si="22"/>
        <v>0</v>
      </c>
      <c r="Q30" s="413">
        <f t="shared" si="22"/>
        <v>0</v>
      </c>
      <c r="R30" s="413">
        <f t="shared" si="22"/>
        <v>0</v>
      </c>
      <c r="S30" s="413">
        <f t="shared" si="22"/>
        <v>0</v>
      </c>
      <c r="T30" s="413"/>
      <c r="U30" s="413">
        <f>利润表!L21</f>
        <v>0</v>
      </c>
      <c r="V30" s="413">
        <f>利润表!M21-利润表!L21</f>
        <v>0</v>
      </c>
      <c r="W30" s="413">
        <f>利润表!N21-利润表!M21</f>
        <v>0</v>
      </c>
      <c r="X30" s="562">
        <f>利润表!O21-利润表!N21</f>
        <v>0</v>
      </c>
      <c r="Y30" s="413">
        <f>利润表!P21</f>
        <v>0</v>
      </c>
      <c r="Z30" s="413">
        <f>利润表!Q21-利润表!P21</f>
        <v>0</v>
      </c>
      <c r="AA30" s="413">
        <f>利润表!R21-利润表!Q21</f>
        <v>0</v>
      </c>
      <c r="AB30" s="562">
        <f>利润表!S21-利润表!R21</f>
        <v>0</v>
      </c>
      <c r="AC30" s="413">
        <f>利润表!T21</f>
        <v>0</v>
      </c>
      <c r="AD30" s="413">
        <f>利润表!U21-利润表!T21</f>
        <v>0</v>
      </c>
      <c r="AE30" s="413">
        <f>利润表!V21-利润表!U21</f>
        <v>0</v>
      </c>
      <c r="AF30" s="562">
        <f>利润表!W21-利润表!V21</f>
        <v>0</v>
      </c>
      <c r="AG30" s="413">
        <f>IF(财务基础数据!$W$2=0,0,利润表!X21)</f>
        <v>0</v>
      </c>
      <c r="AH30" s="413">
        <f>IF(财务基础数据!$W$2&lt;=1,0,利润表!Y21-利润表!X21)</f>
        <v>0</v>
      </c>
      <c r="AI30" s="413">
        <f>IF(财务基础数据!$W$2&lt;=2,0,利润表!Z21-利润表!Y21)</f>
        <v>0</v>
      </c>
      <c r="AJ30" s="75" t="str">
        <f t="shared" ref="AJ30:AU30" si="23">IF(ISERROR(AJ31*AJ4),"—",AJ31*AJ4)</f>
        <v>—</v>
      </c>
      <c r="AK30" s="75" t="str">
        <f t="shared" si="23"/>
        <v>—</v>
      </c>
      <c r="AL30" s="75" t="str">
        <f t="shared" si="23"/>
        <v>—</v>
      </c>
      <c r="AM30" s="75">
        <f t="shared" si="23"/>
        <v>0</v>
      </c>
      <c r="AN30" s="75">
        <f t="shared" si="23"/>
        <v>0</v>
      </c>
      <c r="AO30" s="75">
        <f t="shared" si="23"/>
        <v>0</v>
      </c>
      <c r="AP30" s="75">
        <f t="shared" si="23"/>
        <v>0</v>
      </c>
      <c r="AQ30" s="75">
        <f t="shared" si="23"/>
        <v>0</v>
      </c>
      <c r="AR30" s="75">
        <f t="shared" si="23"/>
        <v>0</v>
      </c>
      <c r="AS30" s="75">
        <f t="shared" si="23"/>
        <v>0</v>
      </c>
      <c r="AT30" s="75">
        <f t="shared" si="23"/>
        <v>0</v>
      </c>
      <c r="AU30" s="75">
        <f t="shared" si="23"/>
        <v>0</v>
      </c>
      <c r="AV30" s="75"/>
      <c r="BL30" s="246"/>
      <c r="BM30" s="246"/>
    </row>
    <row r="31" spans="1:65" s="356" customFormat="1">
      <c r="A31" s="267" t="s">
        <v>162</v>
      </c>
      <c r="B31" s="377"/>
      <c r="C31" s="387"/>
      <c r="D31" s="387"/>
      <c r="E31" s="387"/>
      <c r="F31" s="387"/>
      <c r="G31" s="407" t="str">
        <f>IF(ISERROR(G30/G4),"—",G30/G4)</f>
        <v>—</v>
      </c>
      <c r="H31" s="407" t="str">
        <f>IF(ISERROR(H30/H4),"—",H30/H4)</f>
        <v>—</v>
      </c>
      <c r="I31" s="407" t="str">
        <f>IF(ISERROR(I30/I4),"—",I30/I4)</f>
        <v>—</v>
      </c>
      <c r="J31" s="415"/>
      <c r="K31" s="415"/>
      <c r="L31" s="415"/>
      <c r="M31" s="415"/>
      <c r="N31" s="415"/>
      <c r="O31" s="415"/>
      <c r="P31" s="415"/>
      <c r="Q31" s="415"/>
      <c r="R31" s="415"/>
      <c r="S31" s="415"/>
      <c r="T31" s="414"/>
      <c r="U31" s="407" t="str">
        <f t="shared" ref="U31:AI31" si="24">IF(ISERROR(U30/U4),"—",U30/U4)</f>
        <v>—</v>
      </c>
      <c r="V31" s="407" t="str">
        <f t="shared" si="24"/>
        <v>—</v>
      </c>
      <c r="W31" s="407" t="str">
        <f t="shared" si="24"/>
        <v>—</v>
      </c>
      <c r="X31" s="564" t="str">
        <f t="shared" si="24"/>
        <v>—</v>
      </c>
      <c r="Y31" s="407" t="str">
        <f t="shared" si="24"/>
        <v>—</v>
      </c>
      <c r="Z31" s="407" t="str">
        <f t="shared" si="24"/>
        <v>—</v>
      </c>
      <c r="AA31" s="407" t="str">
        <f t="shared" si="24"/>
        <v>—</v>
      </c>
      <c r="AB31" s="564" t="str">
        <f t="shared" si="24"/>
        <v>—</v>
      </c>
      <c r="AC31" s="407" t="str">
        <f t="shared" si="24"/>
        <v>—</v>
      </c>
      <c r="AD31" s="407" t="str">
        <f t="shared" si="24"/>
        <v>—</v>
      </c>
      <c r="AE31" s="407" t="str">
        <f t="shared" si="24"/>
        <v>—</v>
      </c>
      <c r="AF31" s="564" t="str">
        <f>IF(ISERROR(AF30/AF4),"—",AF30/AF4)</f>
        <v>—</v>
      </c>
      <c r="AG31" s="407" t="str">
        <f t="shared" si="24"/>
        <v>—</v>
      </c>
      <c r="AH31" s="407" t="str">
        <f t="shared" si="24"/>
        <v>—</v>
      </c>
      <c r="AI31" s="407" t="str">
        <f t="shared" si="24"/>
        <v>—</v>
      </c>
      <c r="AJ31" s="416" t="str">
        <f>IF(财务基础数据!$W$2=0," ",AG31)</f>
        <v xml:space="preserve"> </v>
      </c>
      <c r="AK31" s="416" t="str">
        <f>IF(财务基础数据!$W$2&lt;=1," ",AH31)</f>
        <v xml:space="preserve"> </v>
      </c>
      <c r="AL31" s="416" t="str">
        <f>IF(财务基础数据!$W$2&lt;=2," ",AI31)</f>
        <v xml:space="preserve"> </v>
      </c>
      <c r="AM31" s="416"/>
      <c r="AN31" s="416"/>
      <c r="AO31" s="416"/>
      <c r="AP31" s="416"/>
      <c r="AQ31" s="416"/>
      <c r="AR31" s="416"/>
      <c r="AS31" s="416"/>
      <c r="AT31" s="416"/>
      <c r="AU31" s="416"/>
      <c r="AV31" s="249"/>
      <c r="AW31" s="355"/>
      <c r="AX31" s="355"/>
      <c r="AY31" s="355"/>
      <c r="AZ31" s="355"/>
      <c r="BA31" s="355"/>
      <c r="BB31" s="355"/>
      <c r="BC31" s="355"/>
      <c r="BD31" s="355"/>
      <c r="BE31" s="355"/>
      <c r="BF31" s="355"/>
      <c r="BG31" s="355"/>
      <c r="BH31" s="355"/>
      <c r="BI31" s="355"/>
      <c r="BJ31" s="355"/>
      <c r="BK31" s="355"/>
      <c r="BL31" s="388"/>
      <c r="BM31" s="388"/>
    </row>
    <row r="32" spans="1:65">
      <c r="A32" s="60"/>
      <c r="B32" s="60"/>
      <c r="C32" s="385"/>
      <c r="D32" s="385"/>
      <c r="E32" s="385"/>
      <c r="F32" s="385"/>
      <c r="G32" s="413"/>
      <c r="H32" s="413"/>
      <c r="I32" s="413"/>
      <c r="J32" s="413"/>
      <c r="K32" s="413"/>
      <c r="L32" s="413"/>
      <c r="M32" s="413"/>
      <c r="N32" s="413"/>
      <c r="O32" s="413"/>
      <c r="P32" s="413"/>
      <c r="Q32" s="413"/>
      <c r="R32" s="413"/>
      <c r="S32" s="413"/>
      <c r="T32" s="413"/>
      <c r="U32" s="413"/>
      <c r="V32" s="413"/>
      <c r="W32" s="413"/>
      <c r="X32" s="562"/>
      <c r="Y32" s="413"/>
      <c r="Z32" s="413"/>
      <c r="AA32" s="413"/>
      <c r="AB32" s="562"/>
      <c r="AC32" s="413"/>
      <c r="AD32" s="413"/>
      <c r="AE32" s="413"/>
      <c r="AF32" s="562"/>
      <c r="AG32" s="413"/>
      <c r="AH32" s="413"/>
      <c r="AI32" s="413"/>
      <c r="AJ32" s="413"/>
      <c r="AK32" s="413"/>
      <c r="AL32" s="413"/>
      <c r="AM32" s="413"/>
      <c r="AN32" s="413"/>
      <c r="AO32" s="413"/>
      <c r="AP32" s="413"/>
      <c r="AQ32" s="413"/>
      <c r="AR32" s="413"/>
      <c r="AS32" s="413"/>
      <c r="AT32" s="413"/>
      <c r="AU32" s="413"/>
      <c r="AV32" s="413"/>
      <c r="BL32" s="246"/>
      <c r="BM32" s="246"/>
    </row>
    <row r="33" spans="1:65">
      <c r="A33" s="60" t="s">
        <v>165</v>
      </c>
      <c r="B33" s="60"/>
      <c r="C33" s="385"/>
      <c r="D33" s="385"/>
      <c r="E33" s="385"/>
      <c r="F33" s="385"/>
      <c r="G33" s="395">
        <f>利润表!O25</f>
        <v>0</v>
      </c>
      <c r="H33" s="395">
        <f>利润表!S25</f>
        <v>0</v>
      </c>
      <c r="I33" s="395">
        <f>利润表!W25</f>
        <v>0</v>
      </c>
      <c r="J33" s="413">
        <f>IF(COUNT(AJ33:AM33)=4,SUM(AJ33:AM33),J34*利润表!AA24)</f>
        <v>0</v>
      </c>
      <c r="K33" s="413">
        <f>IF(COUNT(AN33:AQ33)=4,SUM(AN33:AQ33),K34*利润表!AB24)</f>
        <v>0</v>
      </c>
      <c r="L33" s="413">
        <f>IF(COUNT(AR33:AU33)=4,SUM(AR33:AU33),L34*利润表!AC24)</f>
        <v>0</v>
      </c>
      <c r="M33" s="413">
        <f>IF(ISERROR(M34*利润表!AD24),"0",M34*利润表!AD24)</f>
        <v>0</v>
      </c>
      <c r="N33" s="413">
        <f>IF(ISERROR(N34*利润表!AE24),"0",N34*利润表!AE24)</f>
        <v>0</v>
      </c>
      <c r="O33" s="413">
        <f>IF(ISERROR(O34*利润表!AF24),"0",O34*利润表!AF24)</f>
        <v>0</v>
      </c>
      <c r="P33" s="413">
        <f>IF(ISERROR(P34*利润表!AG24),"0",P34*利润表!AG24)</f>
        <v>0</v>
      </c>
      <c r="Q33" s="413">
        <f>IF(ISERROR(Q34*利润表!AH24),"0",Q34*利润表!AH24)</f>
        <v>0</v>
      </c>
      <c r="R33" s="413">
        <f>IF(ISERROR(R34*利润表!AI24),"0",R34*利润表!AI24)</f>
        <v>0</v>
      </c>
      <c r="S33" s="413">
        <f>IF(ISERROR(S34*利润表!AJ24),"0",S34*利润表!AJ24)</f>
        <v>0</v>
      </c>
      <c r="T33" s="413"/>
      <c r="U33" s="395">
        <f>利润表!L25</f>
        <v>0</v>
      </c>
      <c r="V33" s="395">
        <f>利润表!M25-利润表!L25</f>
        <v>0</v>
      </c>
      <c r="W33" s="395">
        <f>利润表!N25-利润表!M25</f>
        <v>0</v>
      </c>
      <c r="X33" s="565">
        <f>利润表!O25-利润表!N25</f>
        <v>0</v>
      </c>
      <c r="Y33" s="395">
        <f>利润表!P25</f>
        <v>0</v>
      </c>
      <c r="Z33" s="395">
        <f>利润表!Q25-利润表!P25</f>
        <v>0</v>
      </c>
      <c r="AA33" s="395">
        <f>利润表!R25-利润表!Q25</f>
        <v>0</v>
      </c>
      <c r="AB33" s="565">
        <f>利润表!S25-利润表!R25</f>
        <v>0</v>
      </c>
      <c r="AC33" s="395">
        <f>利润表!T25</f>
        <v>0</v>
      </c>
      <c r="AD33" s="395">
        <f>利润表!U25-利润表!T25</f>
        <v>0</v>
      </c>
      <c r="AE33" s="395">
        <f>利润表!V25-利润表!U25</f>
        <v>0</v>
      </c>
      <c r="AF33" s="565">
        <f>利润表!W25-利润表!V25</f>
        <v>0</v>
      </c>
      <c r="AG33" s="395">
        <f>IF(财务基础数据!$W$2=0,0,利润表!X25)</f>
        <v>0</v>
      </c>
      <c r="AH33" s="395">
        <f>IF(财务基础数据!$W$2&lt;=1,0,利润表!Y25-利润表!X25)</f>
        <v>0</v>
      </c>
      <c r="AI33" s="395">
        <f>IF(财务基础数据!$W$2&lt;=2,0,利润表!Z25-利润表!Y25)</f>
        <v>0</v>
      </c>
      <c r="AJ33" s="254" t="str">
        <f>IF(财务基础数据!$W$2=0,"",AG33)</f>
        <v/>
      </c>
      <c r="AK33" s="254" t="str">
        <f>IF(财务基础数据!$W$2&lt;=1,"",AH33)</f>
        <v/>
      </c>
      <c r="AL33" s="254" t="str">
        <f>IF(财务基础数据!$W$2&lt;=2,"",AI33)</f>
        <v/>
      </c>
      <c r="AM33" s="254"/>
      <c r="AN33" s="254"/>
      <c r="AO33" s="254"/>
      <c r="AP33" s="254"/>
      <c r="AQ33" s="254"/>
      <c r="AR33" s="254"/>
      <c r="AS33" s="254"/>
      <c r="AT33" s="254"/>
      <c r="AU33" s="254"/>
      <c r="AV33" s="75"/>
      <c r="BL33" s="246"/>
      <c r="BM33" s="246"/>
    </row>
    <row r="34" spans="1:65" s="356" customFormat="1">
      <c r="A34" s="267" t="s">
        <v>166</v>
      </c>
      <c r="B34" s="377"/>
      <c r="C34" s="387"/>
      <c r="D34" s="387"/>
      <c r="E34" s="387"/>
      <c r="F34" s="387"/>
      <c r="G34" s="414" t="str">
        <f>IF(ISERROR(G33/利润表!O24),"—",G33/利润表!O24)</f>
        <v>—</v>
      </c>
      <c r="H34" s="414" t="str">
        <f>IF(ISERROR(H33/利润表!S24),"—",H33/利润表!S24)</f>
        <v>—</v>
      </c>
      <c r="I34" s="414" t="str">
        <f>IF(ISERROR(I33/利润表!W24),"—",I33/利润表!W24)</f>
        <v>—</v>
      </c>
      <c r="J34" s="415"/>
      <c r="K34" s="415"/>
      <c r="L34" s="415"/>
      <c r="M34" s="415"/>
      <c r="N34" s="415"/>
      <c r="O34" s="415"/>
      <c r="P34" s="415"/>
      <c r="Q34" s="415"/>
      <c r="R34" s="415"/>
      <c r="S34" s="415"/>
      <c r="T34" s="414"/>
      <c r="U34" s="414"/>
      <c r="V34" s="414"/>
      <c r="W34" s="414"/>
      <c r="X34" s="563"/>
      <c r="Y34" s="414"/>
      <c r="Z34" s="414"/>
      <c r="AA34" s="414"/>
      <c r="AB34" s="563"/>
      <c r="AC34" s="414"/>
      <c r="AD34" s="414"/>
      <c r="AE34" s="414"/>
      <c r="AF34" s="563"/>
      <c r="AG34" s="414"/>
      <c r="AH34" s="414"/>
      <c r="AI34" s="414"/>
      <c r="AJ34" s="417"/>
      <c r="AK34" s="417"/>
      <c r="AL34" s="417"/>
      <c r="AM34" s="417"/>
      <c r="AN34" s="417"/>
      <c r="AO34" s="417"/>
      <c r="AP34" s="417"/>
      <c r="AQ34" s="417"/>
      <c r="AR34" s="417"/>
      <c r="AS34" s="417"/>
      <c r="AT34" s="417"/>
      <c r="AU34" s="417"/>
      <c r="AV34" s="417"/>
      <c r="AW34" s="355"/>
      <c r="AX34" s="355"/>
      <c r="AY34" s="355"/>
      <c r="AZ34" s="355"/>
      <c r="BA34" s="355"/>
      <c r="BB34" s="355"/>
      <c r="BC34" s="355"/>
      <c r="BD34" s="355"/>
      <c r="BE34" s="355"/>
      <c r="BF34" s="355"/>
      <c r="BG34" s="355"/>
      <c r="BH34" s="355"/>
      <c r="BI34" s="355"/>
      <c r="BJ34" s="355"/>
      <c r="BK34" s="355"/>
      <c r="BL34" s="388"/>
      <c r="BM34" s="388"/>
    </row>
    <row r="35" spans="1:65">
      <c r="A35" s="392"/>
      <c r="B35" s="60"/>
      <c r="C35" s="385"/>
      <c r="D35" s="385"/>
      <c r="E35" s="385"/>
      <c r="F35" s="385"/>
      <c r="G35" s="393"/>
      <c r="H35" s="393"/>
      <c r="I35" s="393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393"/>
      <c r="V35" s="393"/>
      <c r="W35" s="393"/>
      <c r="X35" s="566"/>
      <c r="Y35" s="393"/>
      <c r="Z35" s="393"/>
      <c r="AA35" s="393"/>
      <c r="AB35" s="566"/>
      <c r="AC35" s="393"/>
      <c r="AD35" s="393"/>
      <c r="AE35" s="393"/>
      <c r="AF35" s="566"/>
      <c r="AG35" s="393"/>
      <c r="AH35" s="393"/>
      <c r="AI35" s="393"/>
      <c r="AJ35" s="393"/>
      <c r="AK35" s="393"/>
      <c r="AL35" s="393"/>
      <c r="AM35" s="393"/>
      <c r="AN35" s="393"/>
      <c r="AO35" s="393"/>
      <c r="AP35" s="393"/>
      <c r="AQ35" s="393"/>
      <c r="AR35" s="393"/>
      <c r="AS35" s="393"/>
      <c r="AT35" s="393"/>
      <c r="AU35" s="393"/>
      <c r="AV35" s="393"/>
      <c r="BL35" s="246"/>
      <c r="BM35" s="246"/>
    </row>
    <row r="36" spans="1:65">
      <c r="A36" s="60" t="s">
        <v>65</v>
      </c>
      <c r="B36" s="60"/>
      <c r="C36" s="385"/>
      <c r="D36" s="385"/>
      <c r="E36" s="385"/>
      <c r="F36" s="385"/>
      <c r="G36" s="413">
        <f>利润表!O27</f>
        <v>0</v>
      </c>
      <c r="H36" s="413">
        <f>利润表!S27</f>
        <v>0</v>
      </c>
      <c r="I36" s="413">
        <f>利润表!W27</f>
        <v>0</v>
      </c>
      <c r="J36" s="413">
        <f>IF(COUNT(AJ36:AM36)=4,SUM(AJ36:AM36),J37*(利润表!AA26))</f>
        <v>0</v>
      </c>
      <c r="K36" s="413">
        <f>IF(COUNT(AN36:AQ36)=4,SUM(AN36:AQ36),K37*(利润表!AB26))</f>
        <v>0</v>
      </c>
      <c r="L36" s="413">
        <f>IF(COUNT(AR36:AU36)=4,SUM(AR36:AU36),L37*(利润表!AC26))</f>
        <v>0</v>
      </c>
      <c r="M36" s="413">
        <f>IF(ISERROR(M37*(利润表!AD26)),"—",M37*(利润表!AD26))</f>
        <v>0</v>
      </c>
      <c r="N36" s="413">
        <f>IF(ISERROR(N37*(利润表!AE26)),"—",N37*(利润表!AE26))</f>
        <v>0</v>
      </c>
      <c r="O36" s="413">
        <f>IF(ISERROR(O37*(利润表!AF26)),"—",O37*(利润表!AF26))</f>
        <v>0</v>
      </c>
      <c r="P36" s="413">
        <f>IF(ISERROR(P37*(利润表!AG26)),"—",P37*(利润表!AG26))</f>
        <v>0</v>
      </c>
      <c r="Q36" s="413">
        <f>IF(ISERROR(Q37*(利润表!AH26)),"—",Q37*(利润表!AH26))</f>
        <v>0</v>
      </c>
      <c r="R36" s="413">
        <f>IF(ISERROR(R37*(利润表!AI26)),"—",R37*(利润表!AI26))</f>
        <v>0</v>
      </c>
      <c r="S36" s="413">
        <f>IF(ISERROR(S37*(利润表!AJ26)),"—",S37*(利润表!AJ26))</f>
        <v>0</v>
      </c>
      <c r="T36" s="413"/>
      <c r="U36" s="413">
        <f>利润表!L27</f>
        <v>0</v>
      </c>
      <c r="V36" s="413">
        <f>利润表!M27-利润表!L27</f>
        <v>0</v>
      </c>
      <c r="W36" s="413">
        <f>利润表!N27-利润表!M27</f>
        <v>0</v>
      </c>
      <c r="X36" s="562">
        <f>利润表!O27-利润表!N27</f>
        <v>0</v>
      </c>
      <c r="Y36" s="413">
        <f>利润表!P27</f>
        <v>0</v>
      </c>
      <c r="Z36" s="413">
        <f>利润表!Q27-利润表!P27</f>
        <v>0</v>
      </c>
      <c r="AA36" s="413">
        <f>利润表!R27-利润表!Q27</f>
        <v>0</v>
      </c>
      <c r="AB36" s="562">
        <f>利润表!S27-利润表!R27</f>
        <v>0</v>
      </c>
      <c r="AC36" s="413">
        <f>利润表!T27</f>
        <v>0</v>
      </c>
      <c r="AD36" s="413">
        <f>利润表!U27-利润表!T27</f>
        <v>0</v>
      </c>
      <c r="AE36" s="413">
        <f>利润表!V27-利润表!U27</f>
        <v>0</v>
      </c>
      <c r="AF36" s="562">
        <f>利润表!W27-利润表!V27</f>
        <v>0</v>
      </c>
      <c r="AG36" s="413">
        <f>IF(财务基础数据!$W$2=0,0,利润表!X27)</f>
        <v>0</v>
      </c>
      <c r="AH36" s="413">
        <f>IF(财务基础数据!$W$2&lt;=1,0,利润表!Y27-利润表!X27)</f>
        <v>0</v>
      </c>
      <c r="AI36" s="413">
        <f>IF(财务基础数据!$W$2&lt;=2,0,利润表!Z27-利润表!Y27)</f>
        <v>0</v>
      </c>
      <c r="AJ36" s="254" t="str">
        <f>IF(财务基础数据!$W$2=0,"",AG36)</f>
        <v/>
      </c>
      <c r="AK36" s="254" t="str">
        <f>IF(财务基础数据!$W$2&lt;=1,"",AH36)</f>
        <v/>
      </c>
      <c r="AL36" s="254" t="str">
        <f>IF(财务基础数据!$W$2&lt;=2,"",AI36)</f>
        <v/>
      </c>
      <c r="AM36" s="254"/>
      <c r="AN36" s="254"/>
      <c r="AO36" s="254"/>
      <c r="AP36" s="254"/>
      <c r="AQ36" s="254"/>
      <c r="AR36" s="254"/>
      <c r="AS36" s="254"/>
      <c r="AT36" s="254"/>
      <c r="AU36" s="254"/>
      <c r="AV36" s="75"/>
      <c r="BL36" s="246"/>
      <c r="BM36" s="246"/>
    </row>
    <row r="37" spans="1:65" s="356" customFormat="1">
      <c r="A37" s="267" t="s">
        <v>167</v>
      </c>
      <c r="B37" s="377"/>
      <c r="C37" s="387"/>
      <c r="D37" s="387"/>
      <c r="E37" s="387"/>
      <c r="F37" s="387"/>
      <c r="G37" s="414" t="str">
        <f>IF(ISERROR(G36/(利润表!O26)),"—",G36/(利润表!O26))</f>
        <v>—</v>
      </c>
      <c r="H37" s="414" t="str">
        <f>IF(ISERROR(H36/(利润表!S26)),"—",H36/(利润表!S26))</f>
        <v>—</v>
      </c>
      <c r="I37" s="414" t="str">
        <f>IF(ISERROR(I36/(利润表!W26)),"—",I36/(利润表!W26))</f>
        <v>—</v>
      </c>
      <c r="J37" s="415"/>
      <c r="K37" s="415"/>
      <c r="L37" s="415"/>
      <c r="M37" s="415"/>
      <c r="N37" s="415"/>
      <c r="O37" s="415"/>
      <c r="P37" s="415"/>
      <c r="Q37" s="415"/>
      <c r="R37" s="415"/>
      <c r="S37" s="415"/>
      <c r="T37" s="414"/>
      <c r="U37" s="414"/>
      <c r="V37" s="414"/>
      <c r="W37" s="414"/>
      <c r="X37" s="563"/>
      <c r="Y37" s="414"/>
      <c r="Z37" s="414"/>
      <c r="AA37" s="414"/>
      <c r="AB37" s="563"/>
      <c r="AC37" s="414"/>
      <c r="AD37" s="414"/>
      <c r="AE37" s="414"/>
      <c r="AF37" s="563"/>
      <c r="AG37" s="414"/>
      <c r="AH37" s="414"/>
      <c r="AI37" s="414"/>
      <c r="AJ37" s="414"/>
      <c r="AK37" s="414"/>
      <c r="AL37" s="414"/>
      <c r="AM37" s="414"/>
      <c r="AN37" s="414"/>
      <c r="AO37" s="414"/>
      <c r="AP37" s="414"/>
      <c r="AQ37" s="414"/>
      <c r="AR37" s="414"/>
      <c r="AS37" s="414"/>
      <c r="AT37" s="414"/>
      <c r="AU37" s="414"/>
      <c r="AV37" s="414"/>
      <c r="AW37" s="355"/>
      <c r="AX37" s="355"/>
      <c r="AY37" s="355"/>
      <c r="AZ37" s="355"/>
      <c r="BA37" s="355"/>
      <c r="BB37" s="355"/>
      <c r="BC37" s="355"/>
      <c r="BD37" s="355"/>
      <c r="BE37" s="355"/>
      <c r="BF37" s="355"/>
      <c r="BG37" s="355"/>
      <c r="BH37" s="355"/>
      <c r="BI37" s="355"/>
      <c r="BJ37" s="355"/>
      <c r="BK37" s="355"/>
      <c r="BL37" s="388"/>
      <c r="BM37" s="388"/>
    </row>
    <row r="38" spans="1:65">
      <c r="A38" s="247"/>
      <c r="B38" s="60"/>
      <c r="C38" s="385"/>
      <c r="D38" s="385"/>
      <c r="E38" s="385"/>
      <c r="F38" s="385"/>
      <c r="G38" s="393"/>
      <c r="H38" s="393"/>
      <c r="I38" s="393"/>
      <c r="J38" s="393"/>
      <c r="K38" s="393"/>
      <c r="L38" s="393"/>
      <c r="M38" s="393"/>
      <c r="N38" s="393"/>
      <c r="O38" s="393"/>
      <c r="P38" s="393"/>
      <c r="Q38" s="393"/>
      <c r="R38" s="393"/>
      <c r="S38" s="393"/>
      <c r="T38" s="393"/>
      <c r="U38" s="393"/>
      <c r="V38" s="393"/>
      <c r="W38" s="393"/>
      <c r="X38" s="20"/>
      <c r="Y38" s="393"/>
      <c r="Z38" s="393"/>
      <c r="AA38" s="393"/>
      <c r="AB38" s="20"/>
      <c r="AC38" s="393"/>
      <c r="AD38" s="393"/>
      <c r="AE38" s="393"/>
      <c r="AF38" s="20"/>
      <c r="AG38" s="393"/>
      <c r="AH38" s="393"/>
      <c r="AI38" s="393"/>
      <c r="AJ38" s="393"/>
      <c r="AK38" s="393"/>
      <c r="AL38" s="393"/>
      <c r="AM38" s="393"/>
      <c r="AN38" s="393"/>
      <c r="AO38" s="393"/>
      <c r="AP38" s="393"/>
      <c r="AQ38" s="393"/>
      <c r="AR38" s="393"/>
      <c r="AS38" s="393"/>
      <c r="AT38" s="393"/>
      <c r="AU38" s="393"/>
      <c r="AV38" s="393"/>
    </row>
    <row r="39" spans="1:65">
      <c r="A39" s="394"/>
      <c r="B39" s="60"/>
      <c r="C39" s="385"/>
      <c r="D39" s="385"/>
      <c r="E39" s="385"/>
      <c r="F39" s="385"/>
      <c r="J39" s="393"/>
      <c r="K39" s="393"/>
      <c r="L39" s="393"/>
      <c r="M39" s="393"/>
      <c r="N39" s="393"/>
      <c r="O39" s="393"/>
      <c r="P39" s="393"/>
      <c r="Q39" s="393"/>
      <c r="R39" s="393"/>
      <c r="S39" s="393"/>
      <c r="T39" s="393"/>
    </row>
    <row r="40" spans="1:65">
      <c r="A40" s="60"/>
      <c r="B40" s="60"/>
      <c r="C40" s="385"/>
      <c r="D40" s="385"/>
      <c r="E40" s="385"/>
      <c r="F40" s="385"/>
      <c r="G40" s="395"/>
      <c r="H40" s="395"/>
      <c r="I40" s="395"/>
      <c r="J40" s="395"/>
      <c r="K40" s="395"/>
      <c r="L40" s="395"/>
      <c r="M40" s="395"/>
      <c r="N40" s="395"/>
      <c r="O40" s="395"/>
      <c r="P40" s="395"/>
      <c r="Q40" s="395"/>
      <c r="R40" s="395"/>
      <c r="S40" s="395"/>
      <c r="T40" s="395"/>
      <c r="U40" s="395"/>
      <c r="V40" s="395"/>
      <c r="W40" s="395"/>
      <c r="Y40" s="395"/>
      <c r="Z40" s="395"/>
      <c r="AA40" s="395"/>
      <c r="AC40" s="395"/>
      <c r="AD40" s="395"/>
      <c r="AE40" s="395"/>
      <c r="AG40" s="395"/>
      <c r="AH40" s="395"/>
      <c r="AI40" s="395"/>
      <c r="AJ40" s="395"/>
      <c r="AK40" s="395"/>
      <c r="AL40" s="395"/>
      <c r="AM40" s="395"/>
      <c r="AN40" s="395"/>
      <c r="AO40" s="395"/>
      <c r="AP40" s="395"/>
      <c r="AQ40" s="395"/>
      <c r="AR40" s="395"/>
      <c r="AS40" s="395"/>
      <c r="AT40" s="395"/>
      <c r="AU40" s="395"/>
      <c r="AV40" s="395"/>
    </row>
    <row r="41" spans="1:65">
      <c r="A41" s="247"/>
      <c r="B41" s="182"/>
      <c r="C41" s="385"/>
      <c r="D41" s="385"/>
      <c r="E41" s="385"/>
      <c r="F41" s="385"/>
      <c r="G41" s="393"/>
      <c r="H41" s="393"/>
      <c r="I41" s="393"/>
      <c r="J41" s="393"/>
      <c r="K41" s="393"/>
      <c r="L41" s="393"/>
      <c r="M41" s="393"/>
      <c r="N41" s="393"/>
      <c r="O41" s="393"/>
      <c r="P41" s="393"/>
      <c r="Q41" s="393"/>
      <c r="R41" s="393"/>
      <c r="S41" s="393"/>
      <c r="T41" s="393"/>
      <c r="U41" s="393"/>
      <c r="V41" s="393"/>
      <c r="W41" s="393"/>
      <c r="Y41" s="393"/>
      <c r="Z41" s="393"/>
      <c r="AA41" s="393"/>
      <c r="AC41" s="393"/>
      <c r="AD41" s="393"/>
      <c r="AE41" s="393"/>
      <c r="AG41" s="393"/>
      <c r="AH41" s="393"/>
      <c r="AI41" s="393"/>
      <c r="AJ41" s="393"/>
      <c r="AK41" s="393"/>
      <c r="AL41" s="393"/>
      <c r="AM41" s="393"/>
      <c r="AN41" s="393"/>
      <c r="AO41" s="393"/>
      <c r="AP41" s="393"/>
      <c r="AQ41" s="393"/>
      <c r="AR41" s="393"/>
      <c r="AS41" s="393"/>
      <c r="AT41" s="393"/>
      <c r="AU41" s="393"/>
      <c r="AV41" s="393"/>
    </row>
    <row r="42" spans="1:65">
      <c r="A42" s="60"/>
      <c r="B42" s="60"/>
      <c r="C42" s="385"/>
      <c r="D42" s="385"/>
      <c r="E42" s="385"/>
      <c r="F42" s="385"/>
      <c r="G42" s="393"/>
      <c r="H42" s="393"/>
      <c r="I42" s="393"/>
      <c r="J42" s="248"/>
      <c r="K42" s="248"/>
      <c r="L42" s="248"/>
      <c r="M42" s="248"/>
      <c r="N42" s="248"/>
      <c r="O42" s="248"/>
      <c r="P42" s="248"/>
      <c r="Q42" s="248"/>
      <c r="R42" s="248"/>
      <c r="S42" s="248"/>
      <c r="T42" s="248"/>
      <c r="U42" s="393"/>
      <c r="V42" s="393"/>
      <c r="W42" s="393"/>
      <c r="Y42" s="393"/>
      <c r="Z42" s="393"/>
      <c r="AA42" s="393"/>
      <c r="AC42" s="393"/>
      <c r="AD42" s="393"/>
      <c r="AE42" s="393"/>
      <c r="AG42" s="393"/>
      <c r="AH42" s="393"/>
      <c r="AI42" s="393"/>
      <c r="AJ42" s="393"/>
      <c r="AK42" s="393"/>
      <c r="AL42" s="393"/>
      <c r="AM42" s="393"/>
      <c r="AN42" s="393"/>
      <c r="AO42" s="393"/>
      <c r="AP42" s="393"/>
      <c r="AQ42" s="393"/>
      <c r="AR42" s="393"/>
      <c r="AS42" s="393"/>
      <c r="AT42" s="393"/>
      <c r="AU42" s="393"/>
      <c r="AV42" s="393"/>
    </row>
    <row r="45" spans="1:65">
      <c r="U45" s="396"/>
    </row>
  </sheetData>
  <phoneticPr fontId="93" type="noConversion"/>
  <pageMargins left="0.7" right="0.7" top="0.75" bottom="0.75" header="0.3" footer="0.3"/>
  <pageSetup paperSize="9" orientation="portrait"/>
  <ignoredErrors>
    <ignoredError sqref="AJ5 AJ8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"/>
  <dimension ref="A1:AU144"/>
  <sheetViews>
    <sheetView zoomScaleNormal="100" workbookViewId="0">
      <pane xSplit="2" ySplit="4" topLeftCell="C5" activePane="bottomRight" state="frozen"/>
      <selection pane="topRight"/>
      <selection pane="bottomLeft"/>
      <selection pane="bottomRight" activeCell="J10" sqref="J10"/>
    </sheetView>
  </sheetViews>
  <sheetFormatPr defaultColWidth="9" defaultRowHeight="15.95" customHeight="1"/>
  <cols>
    <col min="1" max="1" width="18.875" style="19" customWidth="1"/>
    <col min="2" max="2" width="9.75" style="195" customWidth="1"/>
    <col min="3" max="3" width="2.25" style="20" customWidth="1"/>
    <col min="4" max="6" width="14.375" style="20" customWidth="1"/>
    <col min="7" max="9" width="14.375" style="20" hidden="1" customWidth="1"/>
    <col min="10" max="12" width="14.375" style="20" customWidth="1"/>
    <col min="13" max="19" width="14.375" style="20" hidden="1" customWidth="1"/>
    <col min="20" max="20" width="29" style="20" customWidth="1"/>
    <col min="21" max="16384" width="9" style="20"/>
  </cols>
  <sheetData>
    <row r="1" spans="1:20" ht="15.95" hidden="1" customHeight="1"/>
    <row r="2" spans="1:20" s="428" customFormat="1" ht="15.95" customHeight="1">
      <c r="A2" s="59" t="s">
        <v>168</v>
      </c>
      <c r="B2" s="236"/>
      <c r="C2" s="426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</row>
    <row r="3" spans="1:20" ht="15.95" customHeight="1">
      <c r="A3" s="429" t="str">
        <f>主要财务摘要!H2</f>
        <v>单位：港币(百万)</v>
      </c>
      <c r="B3" s="237"/>
      <c r="C3" s="430"/>
    </row>
    <row r="4" spans="1:20" s="432" customFormat="1" ht="15.95" customHeight="1">
      <c r="A4" s="193" t="s">
        <v>169</v>
      </c>
      <c r="B4" s="238"/>
      <c r="C4" s="431"/>
      <c r="D4" s="159">
        <f>资产负债表!O4</f>
        <v>2019</v>
      </c>
      <c r="E4" s="159">
        <f>资产负债表!S4</f>
        <v>2020</v>
      </c>
      <c r="F4" s="159">
        <f>资产负债表!W4</f>
        <v>2021</v>
      </c>
      <c r="G4" s="159" t="str">
        <f>资产负债表!X4</f>
        <v>1Q22</v>
      </c>
      <c r="H4" s="159" t="str">
        <f>资产负债表!Y4</f>
        <v>1H22</v>
      </c>
      <c r="I4" s="159" t="str">
        <f>资产负债表!Z4</f>
        <v>3Q22</v>
      </c>
      <c r="J4" s="185" t="str">
        <f>资产负债表!AA4</f>
        <v>2022E</v>
      </c>
      <c r="K4" s="185">
        <f>资产负债表!AB4</f>
        <v>2023</v>
      </c>
      <c r="L4" s="185">
        <f>资产负债表!AC4</f>
        <v>2024</v>
      </c>
      <c r="M4" s="185">
        <f>资产负债表!AD4</f>
        <v>2025</v>
      </c>
      <c r="N4" s="185">
        <f>资产负债表!AE4</f>
        <v>2026</v>
      </c>
      <c r="O4" s="185">
        <f>资产负债表!AF4</f>
        <v>2027</v>
      </c>
      <c r="P4" s="185">
        <f>资产负债表!AG4</f>
        <v>2028</v>
      </c>
      <c r="Q4" s="185">
        <f>资产负债表!AH4</f>
        <v>2029</v>
      </c>
      <c r="R4" s="185">
        <f>资产负债表!AI4</f>
        <v>2030</v>
      </c>
      <c r="S4" s="185">
        <f>资产负债表!AJ4</f>
        <v>2031</v>
      </c>
    </row>
    <row r="5" spans="1:20" s="433" customFormat="1" ht="15.95" customHeight="1">
      <c r="A5" s="19" t="s">
        <v>87</v>
      </c>
      <c r="B5" s="239"/>
      <c r="D5" s="434">
        <f>利润表!O6</f>
        <v>0</v>
      </c>
      <c r="E5" s="434">
        <f>利润表!S6</f>
        <v>0</v>
      </c>
      <c r="F5" s="434">
        <f>利润表!W6</f>
        <v>0</v>
      </c>
      <c r="G5" s="434">
        <f>利润表!X6</f>
        <v>0</v>
      </c>
      <c r="H5" s="434">
        <f>利润表!Y6</f>
        <v>0</v>
      </c>
      <c r="I5" s="434">
        <f>利润表!Z6</f>
        <v>0</v>
      </c>
      <c r="J5" s="434">
        <f>利润表!AA6</f>
        <v>0</v>
      </c>
      <c r="K5" s="434">
        <f>利润表!AB6</f>
        <v>0</v>
      </c>
      <c r="L5" s="434">
        <f>利润表!AC6</f>
        <v>0</v>
      </c>
      <c r="M5" s="434">
        <f>利润表!AD6</f>
        <v>0</v>
      </c>
      <c r="N5" s="434">
        <f>利润表!AE6</f>
        <v>0</v>
      </c>
      <c r="O5" s="434">
        <f>利润表!AF6</f>
        <v>0</v>
      </c>
      <c r="P5" s="434">
        <f>利润表!AG6</f>
        <v>0</v>
      </c>
      <c r="Q5" s="434">
        <f>利润表!AH6</f>
        <v>0</v>
      </c>
      <c r="R5" s="434">
        <f>利润表!AI6</f>
        <v>0</v>
      </c>
      <c r="S5" s="434">
        <f>利润表!AJ6</f>
        <v>0</v>
      </c>
    </row>
    <row r="6" spans="1:20" s="433" customFormat="1" ht="15.95" customHeight="1">
      <c r="A6" s="19" t="s">
        <v>44</v>
      </c>
      <c r="B6" s="239"/>
      <c r="D6" s="434">
        <f>利润表!O9</f>
        <v>0</v>
      </c>
      <c r="E6" s="434">
        <f>利润表!S9</f>
        <v>0</v>
      </c>
      <c r="F6" s="434">
        <f>利润表!W9</f>
        <v>0</v>
      </c>
      <c r="G6" s="434">
        <f>利润表!X9</f>
        <v>0</v>
      </c>
      <c r="H6" s="434">
        <f>利润表!Y9</f>
        <v>0</v>
      </c>
      <c r="I6" s="434">
        <f>利润表!Z9</f>
        <v>0</v>
      </c>
      <c r="J6" s="434">
        <f>利润表!AA9</f>
        <v>0</v>
      </c>
      <c r="K6" s="434">
        <f>利润表!AB9</f>
        <v>0</v>
      </c>
      <c r="L6" s="434">
        <f>利润表!AC9</f>
        <v>0</v>
      </c>
      <c r="M6" s="434">
        <f>利润表!AD9</f>
        <v>0</v>
      </c>
      <c r="N6" s="434">
        <f>利润表!AE9</f>
        <v>0</v>
      </c>
      <c r="O6" s="434">
        <f>利润表!AF9</f>
        <v>0</v>
      </c>
      <c r="P6" s="434">
        <f>利润表!AG9</f>
        <v>0</v>
      </c>
      <c r="Q6" s="434">
        <f>利润表!AH9</f>
        <v>0</v>
      </c>
      <c r="R6" s="434">
        <f>利润表!AI9</f>
        <v>0</v>
      </c>
      <c r="S6" s="434">
        <f>利润表!AJ9</f>
        <v>0</v>
      </c>
    </row>
    <row r="7" spans="1:20" s="433" customFormat="1" ht="15.95" customHeight="1">
      <c r="A7" s="79"/>
      <c r="B7" s="239"/>
      <c r="J7" s="434"/>
      <c r="K7" s="434"/>
      <c r="L7" s="434"/>
      <c r="M7" s="434"/>
      <c r="N7" s="434"/>
      <c r="O7" s="434"/>
      <c r="P7" s="434"/>
      <c r="Q7" s="434"/>
      <c r="R7" s="434"/>
      <c r="S7" s="434"/>
    </row>
    <row r="8" spans="1:20" s="433" customFormat="1" ht="15.95" customHeight="1">
      <c r="A8" s="79" t="s">
        <v>170</v>
      </c>
      <c r="B8" s="239"/>
    </row>
    <row r="9" spans="1:20" ht="15.95" customHeight="1">
      <c r="A9" s="19" t="s">
        <v>95</v>
      </c>
      <c r="D9" s="75">
        <f>资产负债表!O9</f>
        <v>0</v>
      </c>
      <c r="E9" s="75">
        <f>资产负债表!S9</f>
        <v>0</v>
      </c>
      <c r="F9" s="75">
        <f>资产负债表!W9</f>
        <v>0</v>
      </c>
      <c r="G9" s="75">
        <f>资产负债表!X9</f>
        <v>0</v>
      </c>
      <c r="H9" s="75">
        <f>资产负债表!Y9</f>
        <v>0</v>
      </c>
      <c r="I9" s="75">
        <f>资产负债表!Z9</f>
        <v>0</v>
      </c>
      <c r="J9" s="75">
        <f t="shared" ref="J9:S9" si="0">IF(ISERROR(J5/(360/J10)),0,J5/(360/J10))</f>
        <v>0</v>
      </c>
      <c r="K9" s="75">
        <f t="shared" si="0"/>
        <v>0</v>
      </c>
      <c r="L9" s="75">
        <f t="shared" si="0"/>
        <v>0</v>
      </c>
      <c r="M9" s="75">
        <f t="shared" si="0"/>
        <v>0</v>
      </c>
      <c r="N9" s="75">
        <f t="shared" si="0"/>
        <v>0</v>
      </c>
      <c r="O9" s="75">
        <f t="shared" si="0"/>
        <v>0</v>
      </c>
      <c r="P9" s="75">
        <f t="shared" si="0"/>
        <v>0</v>
      </c>
      <c r="Q9" s="75">
        <f t="shared" si="0"/>
        <v>0</v>
      </c>
      <c r="R9" s="75">
        <f t="shared" si="0"/>
        <v>0</v>
      </c>
      <c r="S9" s="75">
        <f t="shared" si="0"/>
        <v>0</v>
      </c>
    </row>
    <row r="10" spans="1:20" ht="15.95" customHeight="1">
      <c r="A10" s="435" t="s">
        <v>171</v>
      </c>
      <c r="B10" s="197"/>
      <c r="C10" s="436"/>
      <c r="D10" s="240" t="str">
        <f t="shared" ref="D10:I10" si="1">IF(ISERROR(360/(D5/D9)),"—",360/(D5/D9))</f>
        <v>—</v>
      </c>
      <c r="E10" s="240" t="str">
        <f t="shared" si="1"/>
        <v>—</v>
      </c>
      <c r="F10" s="240" t="str">
        <f t="shared" si="1"/>
        <v>—</v>
      </c>
      <c r="G10" s="240" t="str">
        <f t="shared" si="1"/>
        <v>—</v>
      </c>
      <c r="H10" s="240" t="str">
        <f t="shared" si="1"/>
        <v>—</v>
      </c>
      <c r="I10" s="240" t="str">
        <f t="shared" si="1"/>
        <v>—</v>
      </c>
      <c r="J10" s="437"/>
      <c r="K10" s="437"/>
      <c r="L10" s="437"/>
      <c r="M10" s="437"/>
      <c r="N10" s="437"/>
      <c r="O10" s="437"/>
      <c r="P10" s="437"/>
      <c r="Q10" s="437"/>
      <c r="R10" s="437"/>
      <c r="S10" s="437"/>
      <c r="T10" s="438" t="s">
        <v>172</v>
      </c>
    </row>
    <row r="11" spans="1:20" s="442" customFormat="1" ht="15.95" customHeight="1">
      <c r="A11" s="439" t="s">
        <v>173</v>
      </c>
      <c r="B11" s="197"/>
      <c r="C11" s="440"/>
      <c r="D11" s="441" t="str">
        <f t="shared" ref="D11:S11" si="2">IF(ISERROR(D9/D5),"—",D9/D5)</f>
        <v>—</v>
      </c>
      <c r="E11" s="441" t="str">
        <f t="shared" si="2"/>
        <v>—</v>
      </c>
      <c r="F11" s="441" t="str">
        <f t="shared" si="2"/>
        <v>—</v>
      </c>
      <c r="G11" s="441" t="str">
        <f t="shared" si="2"/>
        <v>—</v>
      </c>
      <c r="H11" s="441" t="str">
        <f t="shared" si="2"/>
        <v>—</v>
      </c>
      <c r="I11" s="441" t="str">
        <f t="shared" si="2"/>
        <v>—</v>
      </c>
      <c r="J11" s="441" t="str">
        <f t="shared" si="2"/>
        <v>—</v>
      </c>
      <c r="K11" s="441" t="str">
        <f t="shared" si="2"/>
        <v>—</v>
      </c>
      <c r="L11" s="441" t="str">
        <f t="shared" si="2"/>
        <v>—</v>
      </c>
      <c r="M11" s="441" t="str">
        <f t="shared" si="2"/>
        <v>—</v>
      </c>
      <c r="N11" s="441" t="str">
        <f t="shared" si="2"/>
        <v>—</v>
      </c>
      <c r="O11" s="441" t="str">
        <f t="shared" si="2"/>
        <v>—</v>
      </c>
      <c r="P11" s="441" t="str">
        <f t="shared" si="2"/>
        <v>—</v>
      </c>
      <c r="Q11" s="441" t="str">
        <f t="shared" si="2"/>
        <v>—</v>
      </c>
      <c r="R11" s="441" t="str">
        <f t="shared" si="2"/>
        <v>—</v>
      </c>
      <c r="S11" s="441" t="str">
        <f t="shared" si="2"/>
        <v>—</v>
      </c>
    </row>
    <row r="12" spans="1:20" ht="15.95" customHeight="1">
      <c r="J12" s="146"/>
      <c r="K12" s="146"/>
      <c r="L12" s="146"/>
      <c r="M12" s="146"/>
      <c r="N12" s="146"/>
      <c r="O12" s="146"/>
      <c r="P12" s="146"/>
      <c r="Q12" s="146"/>
      <c r="R12" s="146"/>
      <c r="S12" s="146"/>
    </row>
    <row r="13" spans="1:20" ht="15.95" customHeight="1">
      <c r="A13" s="19" t="s">
        <v>70</v>
      </c>
      <c r="D13" s="75">
        <f>资产负债表!O11</f>
        <v>0</v>
      </c>
      <c r="E13" s="75">
        <f>资产负债表!S11</f>
        <v>0</v>
      </c>
      <c r="F13" s="75">
        <f>资产负债表!W11</f>
        <v>0</v>
      </c>
      <c r="G13" s="75">
        <f>资产负债表!X11</f>
        <v>0</v>
      </c>
      <c r="H13" s="75">
        <f>资产负债表!Y11</f>
        <v>0</v>
      </c>
      <c r="I13" s="75">
        <f>资产负债表!Z11</f>
        <v>0</v>
      </c>
      <c r="J13" s="75">
        <f t="shared" ref="J13:S13" si="3">IF(ISERROR(J6/(360/J14)),0,J6/(360/J14))</f>
        <v>0</v>
      </c>
      <c r="K13" s="75">
        <f t="shared" si="3"/>
        <v>0</v>
      </c>
      <c r="L13" s="75">
        <f t="shared" si="3"/>
        <v>0</v>
      </c>
      <c r="M13" s="75">
        <f t="shared" si="3"/>
        <v>0</v>
      </c>
      <c r="N13" s="75">
        <f t="shared" si="3"/>
        <v>0</v>
      </c>
      <c r="O13" s="75">
        <f t="shared" si="3"/>
        <v>0</v>
      </c>
      <c r="P13" s="75">
        <f t="shared" si="3"/>
        <v>0</v>
      </c>
      <c r="Q13" s="75">
        <f t="shared" si="3"/>
        <v>0</v>
      </c>
      <c r="R13" s="75">
        <f t="shared" si="3"/>
        <v>0</v>
      </c>
      <c r="S13" s="75">
        <f t="shared" si="3"/>
        <v>0</v>
      </c>
    </row>
    <row r="14" spans="1:20" ht="15.95" customHeight="1">
      <c r="A14" s="435" t="s">
        <v>174</v>
      </c>
      <c r="C14" s="440"/>
      <c r="D14" s="240" t="str">
        <f t="shared" ref="D14:I14" si="4">IF(ISERROR(360/(D6/D13)),"—",360/(D6/D13))</f>
        <v>—</v>
      </c>
      <c r="E14" s="240" t="str">
        <f t="shared" si="4"/>
        <v>—</v>
      </c>
      <c r="F14" s="240" t="str">
        <f t="shared" si="4"/>
        <v>—</v>
      </c>
      <c r="G14" s="240" t="str">
        <f t="shared" si="4"/>
        <v>—</v>
      </c>
      <c r="H14" s="240" t="str">
        <f t="shared" si="4"/>
        <v>—</v>
      </c>
      <c r="I14" s="240" t="str">
        <f t="shared" si="4"/>
        <v>—</v>
      </c>
      <c r="J14" s="437"/>
      <c r="K14" s="437"/>
      <c r="L14" s="437"/>
      <c r="M14" s="437"/>
      <c r="N14" s="437"/>
      <c r="O14" s="437"/>
      <c r="P14" s="437"/>
      <c r="Q14" s="437"/>
      <c r="R14" s="437"/>
      <c r="S14" s="437"/>
      <c r="T14" s="438" t="s">
        <v>172</v>
      </c>
    </row>
    <row r="15" spans="1:20" ht="15.95" customHeight="1">
      <c r="A15" s="439" t="s">
        <v>175</v>
      </c>
      <c r="C15" s="440"/>
      <c r="D15" s="441" t="str">
        <f t="shared" ref="D15:S15" si="5">IF(ISERROR(D13/D6),"—",D13/D6)</f>
        <v>—</v>
      </c>
      <c r="E15" s="441" t="str">
        <f t="shared" si="5"/>
        <v>—</v>
      </c>
      <c r="F15" s="441" t="str">
        <f t="shared" si="5"/>
        <v>—</v>
      </c>
      <c r="G15" s="441" t="str">
        <f t="shared" si="5"/>
        <v>—</v>
      </c>
      <c r="H15" s="441" t="str">
        <f t="shared" si="5"/>
        <v>—</v>
      </c>
      <c r="I15" s="441" t="str">
        <f t="shared" si="5"/>
        <v>—</v>
      </c>
      <c r="J15" s="441" t="str">
        <f t="shared" si="5"/>
        <v>—</v>
      </c>
      <c r="K15" s="441" t="str">
        <f t="shared" si="5"/>
        <v>—</v>
      </c>
      <c r="L15" s="441" t="str">
        <f t="shared" si="5"/>
        <v>—</v>
      </c>
      <c r="M15" s="441" t="str">
        <f t="shared" si="5"/>
        <v>—</v>
      </c>
      <c r="N15" s="441" t="str">
        <f t="shared" si="5"/>
        <v>—</v>
      </c>
      <c r="O15" s="441" t="str">
        <f t="shared" si="5"/>
        <v>—</v>
      </c>
      <c r="P15" s="441" t="str">
        <f t="shared" si="5"/>
        <v>—</v>
      </c>
      <c r="Q15" s="441" t="str">
        <f t="shared" si="5"/>
        <v>—</v>
      </c>
      <c r="R15" s="441" t="str">
        <f t="shared" si="5"/>
        <v>—</v>
      </c>
      <c r="S15" s="441" t="str">
        <f t="shared" si="5"/>
        <v>—</v>
      </c>
    </row>
    <row r="16" spans="1:20" ht="15.95" customHeight="1">
      <c r="A16" s="439"/>
      <c r="C16" s="440"/>
    </row>
    <row r="17" spans="1:20" ht="15.95" customHeight="1">
      <c r="A17" s="19" t="s">
        <v>176</v>
      </c>
      <c r="D17" s="75">
        <f>资产负债表!O10</f>
        <v>0</v>
      </c>
      <c r="E17" s="75">
        <f>资产负债表!S10</f>
        <v>0</v>
      </c>
      <c r="F17" s="75">
        <f>资产负债表!W10</f>
        <v>0</v>
      </c>
      <c r="G17" s="75">
        <f>资产负债表!X10</f>
        <v>0</v>
      </c>
      <c r="H17" s="75">
        <f>资产负债表!Y10</f>
        <v>0</v>
      </c>
      <c r="I17" s="75">
        <f>资产负债表!Z10</f>
        <v>0</v>
      </c>
      <c r="J17" s="75">
        <f t="shared" ref="J17:S17" si="6">IF(ISERROR(J18*J5),0,J18*J5)</f>
        <v>0</v>
      </c>
      <c r="K17" s="75">
        <f t="shared" si="6"/>
        <v>0</v>
      </c>
      <c r="L17" s="75">
        <f t="shared" si="6"/>
        <v>0</v>
      </c>
      <c r="M17" s="75">
        <f t="shared" si="6"/>
        <v>0</v>
      </c>
      <c r="N17" s="75">
        <f t="shared" si="6"/>
        <v>0</v>
      </c>
      <c r="O17" s="75">
        <f t="shared" si="6"/>
        <v>0</v>
      </c>
      <c r="P17" s="75">
        <f t="shared" si="6"/>
        <v>0</v>
      </c>
      <c r="Q17" s="75">
        <f t="shared" si="6"/>
        <v>0</v>
      </c>
      <c r="R17" s="75">
        <f t="shared" si="6"/>
        <v>0</v>
      </c>
      <c r="S17" s="75">
        <f t="shared" si="6"/>
        <v>0</v>
      </c>
    </row>
    <row r="18" spans="1:20" ht="15.95" customHeight="1">
      <c r="A18" s="435" t="s">
        <v>177</v>
      </c>
      <c r="C18" s="436"/>
      <c r="D18" s="441" t="str">
        <f t="shared" ref="D18:I18" si="7">IF(ISERROR(D17/D5),"—",D17/D5)</f>
        <v>—</v>
      </c>
      <c r="E18" s="441" t="str">
        <f t="shared" si="7"/>
        <v>—</v>
      </c>
      <c r="F18" s="441" t="str">
        <f t="shared" si="7"/>
        <v>—</v>
      </c>
      <c r="G18" s="441" t="str">
        <f t="shared" si="7"/>
        <v>—</v>
      </c>
      <c r="H18" s="441" t="str">
        <f t="shared" si="7"/>
        <v>—</v>
      </c>
      <c r="I18" s="441" t="str">
        <f t="shared" si="7"/>
        <v>—</v>
      </c>
      <c r="J18" s="443"/>
      <c r="K18" s="443"/>
      <c r="L18" s="443"/>
      <c r="M18" s="443"/>
      <c r="N18" s="443"/>
      <c r="O18" s="443"/>
      <c r="P18" s="443"/>
      <c r="Q18" s="443"/>
      <c r="R18" s="443"/>
      <c r="S18" s="443"/>
    </row>
    <row r="19" spans="1:20" s="442" customFormat="1" ht="15.95" customHeight="1">
      <c r="A19" s="439"/>
      <c r="B19" s="197"/>
      <c r="C19" s="440"/>
      <c r="D19" s="444"/>
      <c r="E19" s="444"/>
      <c r="F19" s="444"/>
      <c r="G19" s="444"/>
      <c r="H19" s="444"/>
      <c r="I19" s="444"/>
      <c r="J19" s="445"/>
      <c r="K19" s="445"/>
      <c r="L19" s="445"/>
      <c r="M19" s="445"/>
      <c r="N19" s="445"/>
      <c r="O19" s="445"/>
      <c r="P19" s="445"/>
      <c r="Q19" s="445"/>
      <c r="R19" s="445"/>
      <c r="S19" s="445"/>
    </row>
    <row r="20" spans="1:20" s="442" customFormat="1" ht="15.95" customHeight="1">
      <c r="A20" s="19" t="s">
        <v>96</v>
      </c>
      <c r="B20" s="197"/>
      <c r="C20" s="440"/>
      <c r="D20" s="75">
        <f>资产负债表!O12</f>
        <v>0</v>
      </c>
      <c r="E20" s="75">
        <f>资产负债表!S12</f>
        <v>0</v>
      </c>
      <c r="F20" s="75">
        <f>资产负债表!W12</f>
        <v>0</v>
      </c>
      <c r="G20" s="75">
        <f>资产负债表!X12</f>
        <v>0</v>
      </c>
      <c r="H20" s="75">
        <f>资产负债表!Y12</f>
        <v>0</v>
      </c>
      <c r="I20" s="75">
        <f>资产负债表!Z12</f>
        <v>0</v>
      </c>
      <c r="J20" s="75">
        <f t="shared" ref="J20:S20" si="8">IF(ISERROR(J21*J5),0,J21*J5)</f>
        <v>0</v>
      </c>
      <c r="K20" s="75">
        <f t="shared" si="8"/>
        <v>0</v>
      </c>
      <c r="L20" s="75">
        <f t="shared" si="8"/>
        <v>0</v>
      </c>
      <c r="M20" s="75">
        <f t="shared" si="8"/>
        <v>0</v>
      </c>
      <c r="N20" s="75">
        <f t="shared" si="8"/>
        <v>0</v>
      </c>
      <c r="O20" s="75">
        <f t="shared" si="8"/>
        <v>0</v>
      </c>
      <c r="P20" s="75">
        <f t="shared" si="8"/>
        <v>0</v>
      </c>
      <c r="Q20" s="75">
        <f t="shared" si="8"/>
        <v>0</v>
      </c>
      <c r="R20" s="75">
        <f t="shared" si="8"/>
        <v>0</v>
      </c>
      <c r="S20" s="75">
        <f t="shared" si="8"/>
        <v>0</v>
      </c>
    </row>
    <row r="21" spans="1:20" s="442" customFormat="1" ht="15.95" customHeight="1">
      <c r="A21" s="435" t="s">
        <v>177</v>
      </c>
      <c r="B21" s="197"/>
      <c r="C21" s="440"/>
      <c r="D21" s="441" t="str">
        <f t="shared" ref="D21:I21" si="9">IF(ISERROR(D20/D5),"—",D20/D5)</f>
        <v>—</v>
      </c>
      <c r="E21" s="441" t="str">
        <f t="shared" si="9"/>
        <v>—</v>
      </c>
      <c r="F21" s="441" t="str">
        <f t="shared" si="9"/>
        <v>—</v>
      </c>
      <c r="G21" s="441" t="str">
        <f t="shared" si="9"/>
        <v>—</v>
      </c>
      <c r="H21" s="441" t="str">
        <f t="shared" si="9"/>
        <v>—</v>
      </c>
      <c r="I21" s="441" t="str">
        <f t="shared" si="9"/>
        <v>—</v>
      </c>
      <c r="J21" s="443"/>
      <c r="K21" s="443"/>
      <c r="L21" s="443"/>
      <c r="M21" s="443"/>
      <c r="N21" s="443"/>
      <c r="O21" s="443"/>
      <c r="P21" s="443"/>
      <c r="Q21" s="443"/>
      <c r="R21" s="443"/>
      <c r="S21" s="443"/>
    </row>
    <row r="22" spans="1:20" s="442" customFormat="1" ht="15.95" customHeight="1">
      <c r="A22" s="439"/>
      <c r="B22" s="197"/>
      <c r="C22" s="440"/>
      <c r="D22" s="444"/>
      <c r="E22" s="444"/>
      <c r="F22" s="444"/>
      <c r="G22" s="444"/>
      <c r="H22" s="444"/>
      <c r="I22" s="444"/>
      <c r="J22" s="445"/>
      <c r="K22" s="446"/>
      <c r="L22" s="445"/>
      <c r="M22" s="445"/>
      <c r="N22" s="446"/>
      <c r="O22" s="445"/>
      <c r="P22" s="445"/>
      <c r="Q22" s="446"/>
      <c r="R22" s="445"/>
      <c r="S22" s="445"/>
    </row>
    <row r="23" spans="1:20" ht="15.95" customHeight="1">
      <c r="A23" s="79" t="s">
        <v>178</v>
      </c>
    </row>
    <row r="24" spans="1:20" ht="15.95" customHeight="1">
      <c r="A24" s="19" t="s">
        <v>103</v>
      </c>
      <c r="D24" s="146">
        <f>资产负债表!O28</f>
        <v>0</v>
      </c>
      <c r="E24" s="146">
        <f>资产负债表!S28</f>
        <v>0</v>
      </c>
      <c r="F24" s="146">
        <f>资产负债表!W28</f>
        <v>0</v>
      </c>
      <c r="G24" s="146">
        <f>资产负债表!X28</f>
        <v>0</v>
      </c>
      <c r="H24" s="146">
        <f>资产负债表!Y28</f>
        <v>0</v>
      </c>
      <c r="I24" s="146">
        <f>资产负债表!Z28</f>
        <v>0</v>
      </c>
      <c r="J24" s="75">
        <f t="shared" ref="J24:S24" si="10">IF(ISERROR(J6/(360/J25)),0,J6/(360/J25))</f>
        <v>0</v>
      </c>
      <c r="K24" s="75">
        <f t="shared" si="10"/>
        <v>0</v>
      </c>
      <c r="L24" s="75">
        <f t="shared" si="10"/>
        <v>0</v>
      </c>
      <c r="M24" s="75">
        <f t="shared" si="10"/>
        <v>0</v>
      </c>
      <c r="N24" s="75">
        <f t="shared" si="10"/>
        <v>0</v>
      </c>
      <c r="O24" s="75">
        <f t="shared" si="10"/>
        <v>0</v>
      </c>
      <c r="P24" s="75">
        <f t="shared" si="10"/>
        <v>0</v>
      </c>
      <c r="Q24" s="75">
        <f t="shared" si="10"/>
        <v>0</v>
      </c>
      <c r="R24" s="75">
        <f t="shared" si="10"/>
        <v>0</v>
      </c>
      <c r="S24" s="75">
        <f t="shared" si="10"/>
        <v>0</v>
      </c>
    </row>
    <row r="25" spans="1:20" s="442" customFormat="1" ht="15.95" customHeight="1">
      <c r="A25" s="435" t="s">
        <v>174</v>
      </c>
      <c r="B25" s="197"/>
      <c r="C25" s="440"/>
      <c r="D25" s="240" t="str">
        <f t="shared" ref="D25:I25" si="11">IF(ISERROR(360/(D6/D24)),"—",360/(D6/D24))</f>
        <v>—</v>
      </c>
      <c r="E25" s="240" t="str">
        <f t="shared" si="11"/>
        <v>—</v>
      </c>
      <c r="F25" s="240" t="str">
        <f t="shared" si="11"/>
        <v>—</v>
      </c>
      <c r="G25" s="240" t="str">
        <f t="shared" si="11"/>
        <v>—</v>
      </c>
      <c r="H25" s="240" t="str">
        <f t="shared" si="11"/>
        <v>—</v>
      </c>
      <c r="I25" s="240" t="str">
        <f t="shared" si="11"/>
        <v>—</v>
      </c>
      <c r="J25" s="437"/>
      <c r="K25" s="437"/>
      <c r="L25" s="437"/>
      <c r="M25" s="437"/>
      <c r="N25" s="437"/>
      <c r="O25" s="437"/>
      <c r="P25" s="437"/>
      <c r="Q25" s="437"/>
      <c r="R25" s="437"/>
      <c r="S25" s="437"/>
      <c r="T25" s="438" t="s">
        <v>172</v>
      </c>
    </row>
    <row r="26" spans="1:20" s="442" customFormat="1" ht="15.95" customHeight="1">
      <c r="A26" s="439" t="s">
        <v>179</v>
      </c>
      <c r="B26" s="197"/>
      <c r="C26" s="436"/>
      <c r="D26" s="441" t="str">
        <f t="shared" ref="D26:S26" si="12">IF(ISERROR(D24/D6),"—",D24/D6)</f>
        <v>—</v>
      </c>
      <c r="E26" s="441" t="str">
        <f t="shared" si="12"/>
        <v>—</v>
      </c>
      <c r="F26" s="441" t="str">
        <f t="shared" si="12"/>
        <v>—</v>
      </c>
      <c r="G26" s="441" t="str">
        <f t="shared" si="12"/>
        <v>—</v>
      </c>
      <c r="H26" s="441" t="str">
        <f t="shared" si="12"/>
        <v>—</v>
      </c>
      <c r="I26" s="441" t="str">
        <f t="shared" si="12"/>
        <v>—</v>
      </c>
      <c r="J26" s="441" t="str">
        <f t="shared" si="12"/>
        <v>—</v>
      </c>
      <c r="K26" s="441" t="str">
        <f t="shared" si="12"/>
        <v>—</v>
      </c>
      <c r="L26" s="441" t="str">
        <f t="shared" si="12"/>
        <v>—</v>
      </c>
      <c r="M26" s="441" t="str">
        <f t="shared" si="12"/>
        <v>—</v>
      </c>
      <c r="N26" s="441" t="str">
        <f t="shared" si="12"/>
        <v>—</v>
      </c>
      <c r="O26" s="441" t="str">
        <f t="shared" si="12"/>
        <v>—</v>
      </c>
      <c r="P26" s="441" t="str">
        <f t="shared" si="12"/>
        <v>—</v>
      </c>
      <c r="Q26" s="441" t="str">
        <f t="shared" si="12"/>
        <v>—</v>
      </c>
      <c r="R26" s="441" t="str">
        <f t="shared" si="12"/>
        <v>—</v>
      </c>
      <c r="S26" s="441" t="str">
        <f t="shared" si="12"/>
        <v>—</v>
      </c>
    </row>
    <row r="27" spans="1:20" ht="15.95" customHeight="1">
      <c r="A27" s="439"/>
      <c r="C27" s="440"/>
      <c r="D27" s="146"/>
      <c r="E27" s="146"/>
      <c r="F27" s="146"/>
      <c r="G27" s="146"/>
      <c r="H27" s="146"/>
      <c r="I27" s="146"/>
      <c r="J27" s="146"/>
      <c r="K27" s="261"/>
      <c r="L27" s="146"/>
      <c r="M27" s="146"/>
      <c r="N27" s="261"/>
      <c r="O27" s="146"/>
      <c r="P27" s="146"/>
      <c r="Q27" s="261"/>
      <c r="R27" s="146"/>
      <c r="S27" s="146"/>
    </row>
    <row r="28" spans="1:20" ht="15.95" customHeight="1">
      <c r="A28" s="19" t="s">
        <v>109</v>
      </c>
      <c r="D28" s="75">
        <f>资产负债表!O32</f>
        <v>0</v>
      </c>
      <c r="E28" s="75">
        <f>资产负债表!S32</f>
        <v>0</v>
      </c>
      <c r="F28" s="75">
        <f>资产负债表!W32</f>
        <v>0</v>
      </c>
      <c r="G28" s="75">
        <f>资产负债表!X32</f>
        <v>0</v>
      </c>
      <c r="H28" s="75">
        <f>资产负债表!Y32</f>
        <v>0</v>
      </c>
      <c r="I28" s="75">
        <f>资产负债表!Z32</f>
        <v>0</v>
      </c>
      <c r="J28" s="146">
        <f t="shared" ref="J28:S28" si="13">IF(ISERROR(J29*J5),0,J29*J5)</f>
        <v>0</v>
      </c>
      <c r="K28" s="146">
        <f t="shared" si="13"/>
        <v>0</v>
      </c>
      <c r="L28" s="146">
        <f t="shared" si="13"/>
        <v>0</v>
      </c>
      <c r="M28" s="146">
        <f t="shared" si="13"/>
        <v>0</v>
      </c>
      <c r="N28" s="146">
        <f t="shared" si="13"/>
        <v>0</v>
      </c>
      <c r="O28" s="146">
        <f t="shared" si="13"/>
        <v>0</v>
      </c>
      <c r="P28" s="146">
        <f t="shared" si="13"/>
        <v>0</v>
      </c>
      <c r="Q28" s="146">
        <f t="shared" si="13"/>
        <v>0</v>
      </c>
      <c r="R28" s="146">
        <f t="shared" si="13"/>
        <v>0</v>
      </c>
      <c r="S28" s="146">
        <f t="shared" si="13"/>
        <v>0</v>
      </c>
    </row>
    <row r="29" spans="1:20" s="442" customFormat="1" ht="15.95" customHeight="1">
      <c r="A29" s="435" t="s">
        <v>177</v>
      </c>
      <c r="B29" s="197"/>
      <c r="C29" s="436"/>
      <c r="D29" s="441" t="str">
        <f t="shared" ref="D29:I29" si="14">IF(ISERROR(D28/D5),"—",D28/D5)</f>
        <v>—</v>
      </c>
      <c r="E29" s="441" t="str">
        <f t="shared" si="14"/>
        <v>—</v>
      </c>
      <c r="F29" s="441" t="str">
        <f t="shared" si="14"/>
        <v>—</v>
      </c>
      <c r="G29" s="441" t="str">
        <f t="shared" si="14"/>
        <v>—</v>
      </c>
      <c r="H29" s="441" t="str">
        <f t="shared" si="14"/>
        <v>—</v>
      </c>
      <c r="I29" s="441" t="str">
        <f t="shared" si="14"/>
        <v>—</v>
      </c>
      <c r="J29" s="443"/>
      <c r="K29" s="443"/>
      <c r="L29" s="443"/>
      <c r="M29" s="443"/>
      <c r="N29" s="443"/>
      <c r="O29" s="443"/>
      <c r="P29" s="443"/>
      <c r="Q29" s="443"/>
      <c r="R29" s="443"/>
      <c r="S29" s="443"/>
    </row>
    <row r="30" spans="1:20" s="442" customFormat="1" ht="15.95" customHeight="1">
      <c r="A30" s="439"/>
      <c r="B30" s="197"/>
      <c r="C30" s="440"/>
      <c r="D30" s="441"/>
      <c r="E30" s="441"/>
      <c r="F30" s="441"/>
      <c r="G30" s="441"/>
      <c r="H30" s="441"/>
      <c r="I30" s="441"/>
    </row>
    <row r="31" spans="1:20" s="442" customFormat="1" ht="15.95" customHeight="1">
      <c r="A31" s="19" t="s">
        <v>180</v>
      </c>
      <c r="B31" s="197"/>
      <c r="C31" s="20"/>
      <c r="D31" s="75">
        <f>资产负债表!O29</f>
        <v>0</v>
      </c>
      <c r="E31" s="75">
        <f>资产负债表!S29</f>
        <v>0</v>
      </c>
      <c r="F31" s="75">
        <f>资产负债表!W29</f>
        <v>0</v>
      </c>
      <c r="G31" s="75">
        <f>资产负债表!X29</f>
        <v>0</v>
      </c>
      <c r="H31" s="75">
        <f>资产负债表!Y29</f>
        <v>0</v>
      </c>
      <c r="I31" s="75">
        <f>资产负债表!Z29</f>
        <v>0</v>
      </c>
      <c r="J31" s="146">
        <f t="shared" ref="J31:S31" si="15">IF(ISERROR(J32*J5),0,J32*J5)</f>
        <v>0</v>
      </c>
      <c r="K31" s="146">
        <f t="shared" si="15"/>
        <v>0</v>
      </c>
      <c r="L31" s="146">
        <f t="shared" si="15"/>
        <v>0</v>
      </c>
      <c r="M31" s="146">
        <f t="shared" si="15"/>
        <v>0</v>
      </c>
      <c r="N31" s="146">
        <f t="shared" si="15"/>
        <v>0</v>
      </c>
      <c r="O31" s="146">
        <f t="shared" si="15"/>
        <v>0</v>
      </c>
      <c r="P31" s="146">
        <f t="shared" si="15"/>
        <v>0</v>
      </c>
      <c r="Q31" s="146">
        <f t="shared" si="15"/>
        <v>0</v>
      </c>
      <c r="R31" s="146">
        <f t="shared" si="15"/>
        <v>0</v>
      </c>
      <c r="S31" s="146">
        <f t="shared" si="15"/>
        <v>0</v>
      </c>
    </row>
    <row r="32" spans="1:20" s="442" customFormat="1" ht="15.95" customHeight="1">
      <c r="A32" s="435" t="s">
        <v>177</v>
      </c>
      <c r="B32" s="197"/>
      <c r="C32" s="436"/>
      <c r="D32" s="441" t="str">
        <f t="shared" ref="D32:I32" si="16">IF(ISERROR(D31/D5),"—",D31/D5)</f>
        <v>—</v>
      </c>
      <c r="E32" s="441" t="str">
        <f t="shared" si="16"/>
        <v>—</v>
      </c>
      <c r="F32" s="441" t="str">
        <f t="shared" si="16"/>
        <v>—</v>
      </c>
      <c r="G32" s="441" t="str">
        <f t="shared" si="16"/>
        <v>—</v>
      </c>
      <c r="H32" s="441" t="str">
        <f t="shared" si="16"/>
        <v>—</v>
      </c>
      <c r="I32" s="441" t="str">
        <f t="shared" si="16"/>
        <v>—</v>
      </c>
      <c r="J32" s="443"/>
      <c r="K32" s="443"/>
      <c r="L32" s="443"/>
      <c r="M32" s="443"/>
      <c r="N32" s="443"/>
      <c r="O32" s="443"/>
      <c r="P32" s="443"/>
      <c r="Q32" s="443"/>
      <c r="R32" s="443"/>
      <c r="S32" s="443"/>
    </row>
    <row r="33" spans="1:28" s="442" customFormat="1" ht="15.95" customHeight="1">
      <c r="A33" s="439"/>
      <c r="B33" s="197"/>
      <c r="C33" s="436"/>
      <c r="D33" s="444"/>
      <c r="E33" s="444"/>
      <c r="F33" s="444"/>
      <c r="G33" s="444"/>
      <c r="H33" s="444"/>
      <c r="I33" s="444"/>
      <c r="J33" s="447"/>
      <c r="K33" s="447"/>
      <c r="L33" s="447"/>
      <c r="M33" s="447"/>
      <c r="N33" s="447"/>
      <c r="O33" s="447"/>
      <c r="P33" s="447"/>
      <c r="Q33" s="447"/>
      <c r="R33" s="447"/>
      <c r="S33" s="447"/>
    </row>
    <row r="34" spans="1:28" s="442" customFormat="1" ht="15.95" customHeight="1">
      <c r="A34" s="19"/>
      <c r="B34" s="197"/>
      <c r="C34" s="440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</row>
    <row r="35" spans="1:28" s="428" customFormat="1" ht="15.95" customHeight="1">
      <c r="A35" s="59" t="s">
        <v>181</v>
      </c>
      <c r="B35" s="236"/>
      <c r="C35" s="426"/>
      <c r="D35" s="427"/>
      <c r="E35" s="427"/>
      <c r="F35" s="427"/>
      <c r="G35" s="427"/>
      <c r="H35" s="427"/>
      <c r="I35" s="427"/>
      <c r="J35" s="427"/>
      <c r="K35" s="427"/>
      <c r="L35" s="427"/>
      <c r="M35" s="427"/>
      <c r="N35" s="427"/>
      <c r="O35" s="427"/>
      <c r="P35" s="427"/>
      <c r="Q35" s="427"/>
      <c r="R35" s="427"/>
      <c r="S35" s="427"/>
    </row>
    <row r="36" spans="1:28" ht="15.95" customHeight="1">
      <c r="A36" s="429" t="str">
        <f>A3</f>
        <v>单位：港币(百万)</v>
      </c>
    </row>
    <row r="37" spans="1:28" s="432" customFormat="1" ht="15.95" customHeight="1">
      <c r="A37" s="193" t="s">
        <v>182</v>
      </c>
      <c r="B37" s="238"/>
      <c r="C37" s="431"/>
      <c r="D37" s="159">
        <f t="shared" ref="D37:S37" si="17">D4</f>
        <v>2019</v>
      </c>
      <c r="E37" s="159">
        <f t="shared" si="17"/>
        <v>2020</v>
      </c>
      <c r="F37" s="159">
        <f t="shared" si="17"/>
        <v>2021</v>
      </c>
      <c r="G37" s="159" t="str">
        <f t="shared" si="17"/>
        <v>1Q22</v>
      </c>
      <c r="H37" s="159" t="str">
        <f t="shared" si="17"/>
        <v>1H22</v>
      </c>
      <c r="I37" s="159" t="str">
        <f t="shared" si="17"/>
        <v>3Q22</v>
      </c>
      <c r="J37" s="185" t="str">
        <f t="shared" si="17"/>
        <v>2022E</v>
      </c>
      <c r="K37" s="185">
        <f t="shared" si="17"/>
        <v>2023</v>
      </c>
      <c r="L37" s="185">
        <f t="shared" si="17"/>
        <v>2024</v>
      </c>
      <c r="M37" s="185">
        <f t="shared" si="17"/>
        <v>2025</v>
      </c>
      <c r="N37" s="185">
        <f t="shared" si="17"/>
        <v>2026</v>
      </c>
      <c r="O37" s="185">
        <f t="shared" si="17"/>
        <v>2027</v>
      </c>
      <c r="P37" s="185">
        <f t="shared" si="17"/>
        <v>2028</v>
      </c>
      <c r="Q37" s="185">
        <f t="shared" si="17"/>
        <v>2029</v>
      </c>
      <c r="R37" s="185">
        <f t="shared" si="17"/>
        <v>2030</v>
      </c>
      <c r="S37" s="185">
        <f t="shared" si="17"/>
        <v>2031</v>
      </c>
    </row>
    <row r="38" spans="1:28" s="433" customFormat="1" ht="15.95" customHeight="1">
      <c r="A38" s="19"/>
      <c r="B38" s="239"/>
    </row>
    <row r="39" spans="1:28" s="433" customFormat="1" ht="15.95" customHeight="1">
      <c r="A39" s="79" t="s">
        <v>183</v>
      </c>
      <c r="B39" s="239"/>
    </row>
    <row r="40" spans="1:28" ht="15.95" customHeight="1">
      <c r="A40" s="19" t="s">
        <v>146</v>
      </c>
      <c r="D40" s="146">
        <f>资产负债表!O7</f>
        <v>0</v>
      </c>
      <c r="E40" s="146">
        <f>资产负债表!S7</f>
        <v>0</v>
      </c>
      <c r="F40" s="146">
        <f>资产负债表!W7</f>
        <v>0</v>
      </c>
      <c r="G40" s="146">
        <f>资产负债表!X7</f>
        <v>0</v>
      </c>
      <c r="H40" s="146">
        <f>资产负债表!Y7</f>
        <v>0</v>
      </c>
      <c r="I40" s="146">
        <f>资产负债表!Z7</f>
        <v>0</v>
      </c>
      <c r="J40" s="146">
        <f>IF(ISERROR(F40+J41),"—",F40+J41)</f>
        <v>0</v>
      </c>
      <c r="K40" s="146">
        <f t="shared" ref="K40:S40" si="18">IF(ISERROR(J40+K41),"—",J40+K41)</f>
        <v>0</v>
      </c>
      <c r="L40" s="146">
        <f t="shared" si="18"/>
        <v>0</v>
      </c>
      <c r="M40" s="146">
        <f t="shared" si="18"/>
        <v>0</v>
      </c>
      <c r="N40" s="146">
        <f t="shared" si="18"/>
        <v>0</v>
      </c>
      <c r="O40" s="146">
        <f t="shared" si="18"/>
        <v>0</v>
      </c>
      <c r="P40" s="146">
        <f t="shared" si="18"/>
        <v>0</v>
      </c>
      <c r="Q40" s="146">
        <f t="shared" si="18"/>
        <v>0</v>
      </c>
      <c r="R40" s="146">
        <f t="shared" si="18"/>
        <v>0</v>
      </c>
      <c r="S40" s="146">
        <f t="shared" si="18"/>
        <v>0</v>
      </c>
      <c r="T40" s="146"/>
      <c r="U40" s="146"/>
      <c r="V40" s="146"/>
      <c r="W40" s="146"/>
      <c r="X40" s="146"/>
      <c r="Y40" s="146"/>
      <c r="Z40" s="146"/>
    </row>
    <row r="41" spans="1:28" ht="15.95" customHeight="1">
      <c r="A41" s="435" t="s">
        <v>184</v>
      </c>
      <c r="D41" s="146">
        <f>D40-资产负债表!K7</f>
        <v>0</v>
      </c>
      <c r="E41" s="146">
        <f>E40-D40</f>
        <v>0</v>
      </c>
      <c r="F41" s="146">
        <f>F40-E40</f>
        <v>0</v>
      </c>
      <c r="G41" s="146">
        <f>IF(财务基础数据!$W$2=0,0,G40-F40)</f>
        <v>0</v>
      </c>
      <c r="H41" s="146">
        <f>IF(财务基础数据!$W$2&lt;=1,0,H40-G40)</f>
        <v>0</v>
      </c>
      <c r="I41" s="146">
        <f>IF(财务基础数据!$W$2&lt;=2,0,I40-H40)</f>
        <v>0</v>
      </c>
      <c r="J41" s="448"/>
      <c r="K41" s="448"/>
      <c r="L41" s="448"/>
      <c r="M41" s="448"/>
      <c r="N41" s="448"/>
      <c r="O41" s="448"/>
      <c r="P41" s="448"/>
      <c r="Q41" s="448"/>
      <c r="R41" s="448"/>
      <c r="S41" s="448"/>
      <c r="T41" s="146"/>
      <c r="U41" s="146"/>
      <c r="V41" s="146"/>
      <c r="W41" s="146"/>
      <c r="X41" s="146"/>
      <c r="Y41" s="146"/>
      <c r="Z41" s="146"/>
    </row>
    <row r="43" spans="1:28" ht="15.95" customHeight="1">
      <c r="A43" s="19" t="s">
        <v>185</v>
      </c>
      <c r="D43" s="146">
        <f>资产负债表!O8</f>
        <v>0</v>
      </c>
      <c r="E43" s="146">
        <f>资产负债表!S8</f>
        <v>0</v>
      </c>
      <c r="F43" s="146">
        <f>资产负债表!W8</f>
        <v>0</v>
      </c>
      <c r="G43" s="146">
        <f>资产负债表!X8</f>
        <v>0</v>
      </c>
      <c r="H43" s="146">
        <f>资产负债表!Y8</f>
        <v>0</v>
      </c>
      <c r="I43" s="146">
        <f>资产负债表!Z8</f>
        <v>0</v>
      </c>
      <c r="J43" s="146">
        <f>IF(ISERROR(F43+J44),"—",F43+J44)</f>
        <v>0</v>
      </c>
      <c r="K43" s="146">
        <f t="shared" ref="K43:S43" si="19">IF(ISERROR(J43+K44),"—",J43+K44)</f>
        <v>0</v>
      </c>
      <c r="L43" s="146">
        <f t="shared" si="19"/>
        <v>0</v>
      </c>
      <c r="M43" s="146">
        <f t="shared" si="19"/>
        <v>0</v>
      </c>
      <c r="N43" s="146">
        <f t="shared" si="19"/>
        <v>0</v>
      </c>
      <c r="O43" s="146">
        <f t="shared" si="19"/>
        <v>0</v>
      </c>
      <c r="P43" s="146">
        <f t="shared" si="19"/>
        <v>0</v>
      </c>
      <c r="Q43" s="146">
        <f t="shared" si="19"/>
        <v>0</v>
      </c>
      <c r="R43" s="146">
        <f t="shared" si="19"/>
        <v>0</v>
      </c>
      <c r="S43" s="146">
        <f t="shared" si="19"/>
        <v>0</v>
      </c>
      <c r="T43" s="146"/>
      <c r="U43" s="146"/>
      <c r="V43" s="146"/>
      <c r="W43" s="146"/>
      <c r="X43" s="146"/>
      <c r="Y43" s="146"/>
      <c r="Z43" s="146"/>
    </row>
    <row r="44" spans="1:28" s="442" customFormat="1" ht="15.95" customHeight="1">
      <c r="A44" s="435" t="s">
        <v>184</v>
      </c>
      <c r="B44" s="197"/>
      <c r="D44" s="449">
        <f>D43-资产负债表!K8</f>
        <v>0</v>
      </c>
      <c r="E44" s="449">
        <f>E43-D43</f>
        <v>0</v>
      </c>
      <c r="F44" s="449">
        <f>F43-E43</f>
        <v>0</v>
      </c>
      <c r="G44" s="146">
        <f>IF(财务基础数据!$W$2=0,0,G43-F43)</f>
        <v>0</v>
      </c>
      <c r="H44" s="146">
        <f>IF(财务基础数据!$W$2&lt;=1,0,H43-G43)</f>
        <v>0</v>
      </c>
      <c r="I44" s="146">
        <f>IF(财务基础数据!$W$2&lt;=2,0,I43-H43)</f>
        <v>0</v>
      </c>
      <c r="J44" s="448"/>
      <c r="K44" s="448"/>
      <c r="L44" s="448"/>
      <c r="M44" s="448"/>
      <c r="N44" s="448"/>
      <c r="O44" s="448"/>
      <c r="P44" s="448"/>
      <c r="Q44" s="448"/>
      <c r="R44" s="448"/>
      <c r="S44" s="448"/>
      <c r="T44" s="450"/>
      <c r="U44" s="450"/>
      <c r="V44" s="450"/>
      <c r="W44" s="450"/>
      <c r="X44" s="450"/>
      <c r="Y44" s="450"/>
      <c r="Z44" s="450"/>
      <c r="AA44" s="450"/>
      <c r="AB44" s="450"/>
    </row>
    <row r="45" spans="1:28" s="442" customFormat="1" ht="15.95" customHeight="1">
      <c r="A45" s="439"/>
      <c r="B45" s="197"/>
      <c r="D45" s="451"/>
      <c r="E45" s="451"/>
      <c r="F45" s="451"/>
      <c r="G45" s="451"/>
      <c r="H45" s="451"/>
      <c r="I45" s="451"/>
      <c r="J45" s="452"/>
      <c r="K45" s="453"/>
      <c r="L45" s="453"/>
      <c r="M45" s="452"/>
      <c r="N45" s="453"/>
      <c r="O45" s="453"/>
      <c r="P45" s="452"/>
      <c r="Q45" s="453"/>
      <c r="R45" s="453"/>
      <c r="S45" s="452"/>
      <c r="T45" s="450"/>
      <c r="U45" s="450"/>
      <c r="V45" s="450"/>
      <c r="W45" s="450"/>
      <c r="X45" s="450"/>
      <c r="Y45" s="450"/>
      <c r="Z45" s="450"/>
      <c r="AA45" s="450"/>
      <c r="AB45" s="450"/>
    </row>
    <row r="46" spans="1:28" s="442" customFormat="1" ht="15.95" customHeight="1">
      <c r="A46" s="19" t="s">
        <v>186</v>
      </c>
      <c r="B46" s="197"/>
      <c r="D46" s="146">
        <f>资产负债表!O30</f>
        <v>0</v>
      </c>
      <c r="E46" s="146">
        <f>资产负债表!S30</f>
        <v>0</v>
      </c>
      <c r="F46" s="146">
        <f>资产负债表!W30</f>
        <v>0</v>
      </c>
      <c r="G46" s="146">
        <f>资产负债表!X30</f>
        <v>0</v>
      </c>
      <c r="H46" s="146">
        <f>资产负债表!Y30</f>
        <v>0</v>
      </c>
      <c r="I46" s="146">
        <f>资产负债表!Z30</f>
        <v>0</v>
      </c>
      <c r="J46" s="146">
        <f>IF(ISERROR(F46+J47),"—",F46+J47)</f>
        <v>0</v>
      </c>
      <c r="K46" s="146">
        <f t="shared" ref="K46:S46" si="20">IF(ISERROR(J46+K47),"—",J46+K47)</f>
        <v>0</v>
      </c>
      <c r="L46" s="146">
        <f t="shared" si="20"/>
        <v>0</v>
      </c>
      <c r="M46" s="146">
        <f t="shared" si="20"/>
        <v>0</v>
      </c>
      <c r="N46" s="146">
        <f t="shared" si="20"/>
        <v>0</v>
      </c>
      <c r="O46" s="146">
        <f t="shared" si="20"/>
        <v>0</v>
      </c>
      <c r="P46" s="146">
        <f t="shared" si="20"/>
        <v>0</v>
      </c>
      <c r="Q46" s="146">
        <f t="shared" si="20"/>
        <v>0</v>
      </c>
      <c r="R46" s="146">
        <f t="shared" si="20"/>
        <v>0</v>
      </c>
      <c r="S46" s="146">
        <f t="shared" si="20"/>
        <v>0</v>
      </c>
      <c r="T46" s="450"/>
      <c r="U46" s="450"/>
      <c r="V46" s="450"/>
      <c r="W46" s="450"/>
      <c r="X46" s="450"/>
      <c r="Y46" s="450"/>
      <c r="Z46" s="450"/>
      <c r="AA46" s="450"/>
      <c r="AB46" s="450"/>
    </row>
    <row r="47" spans="1:28" s="442" customFormat="1" ht="15.95" customHeight="1">
      <c r="A47" s="435" t="s">
        <v>184</v>
      </c>
      <c r="B47" s="197"/>
      <c r="D47" s="449">
        <f>D46-资产负债表!K30</f>
        <v>0</v>
      </c>
      <c r="E47" s="449">
        <f>E46-D46</f>
        <v>0</v>
      </c>
      <c r="F47" s="449">
        <f>F46-E46</f>
        <v>0</v>
      </c>
      <c r="G47" s="146">
        <f>IF(财务基础数据!$W$2=0,0,G46-F46)</f>
        <v>0</v>
      </c>
      <c r="H47" s="146">
        <f>IF(财务基础数据!$W$2&lt;=1,0,H46-G46)</f>
        <v>0</v>
      </c>
      <c r="I47" s="146">
        <f>IF(财务基础数据!$W$2&lt;=2,0,I46-H46)</f>
        <v>0</v>
      </c>
      <c r="J47" s="448"/>
      <c r="K47" s="448"/>
      <c r="L47" s="448"/>
      <c r="M47" s="448"/>
      <c r="N47" s="448"/>
      <c r="O47" s="448"/>
      <c r="P47" s="448"/>
      <c r="Q47" s="448"/>
      <c r="R47" s="448"/>
      <c r="S47" s="448"/>
      <c r="T47" s="450"/>
      <c r="U47" s="450"/>
      <c r="V47" s="450"/>
      <c r="W47" s="450"/>
      <c r="X47" s="450"/>
      <c r="Y47" s="450"/>
      <c r="Z47" s="450"/>
      <c r="AA47" s="450"/>
      <c r="AB47" s="450"/>
    </row>
    <row r="48" spans="1:28" s="442" customFormat="1" ht="15.95" customHeight="1">
      <c r="A48" s="439"/>
      <c r="B48" s="197"/>
      <c r="C48" s="20"/>
      <c r="D48" s="451"/>
      <c r="E48" s="451"/>
      <c r="F48" s="451"/>
      <c r="G48" s="451"/>
      <c r="H48" s="451"/>
      <c r="I48" s="451"/>
      <c r="J48" s="452"/>
      <c r="K48" s="453"/>
      <c r="L48" s="453"/>
      <c r="M48" s="452"/>
      <c r="N48" s="453"/>
      <c r="O48" s="453"/>
      <c r="P48" s="452"/>
      <c r="Q48" s="453"/>
      <c r="R48" s="453"/>
      <c r="S48" s="452"/>
      <c r="T48" s="450"/>
      <c r="U48" s="450"/>
      <c r="V48" s="450"/>
      <c r="W48" s="450"/>
      <c r="X48" s="450"/>
      <c r="Y48" s="450"/>
      <c r="Z48" s="450"/>
      <c r="AA48" s="450"/>
      <c r="AB48" s="450"/>
    </row>
    <row r="49" spans="1:28" s="442" customFormat="1" ht="15.95" customHeight="1">
      <c r="A49" s="439"/>
      <c r="B49" s="197"/>
      <c r="C49" s="20"/>
      <c r="D49" s="451"/>
      <c r="E49" s="451"/>
      <c r="F49" s="451"/>
      <c r="G49" s="451"/>
      <c r="H49" s="451"/>
      <c r="I49" s="451"/>
      <c r="J49" s="452"/>
      <c r="K49" s="453"/>
      <c r="L49" s="453"/>
      <c r="M49" s="452"/>
      <c r="N49" s="453"/>
      <c r="O49" s="453"/>
      <c r="P49" s="452"/>
      <c r="Q49" s="453"/>
      <c r="R49" s="453"/>
      <c r="S49" s="452"/>
      <c r="T49" s="450"/>
      <c r="U49" s="450"/>
      <c r="V49" s="450"/>
      <c r="W49" s="450"/>
      <c r="X49" s="450"/>
      <c r="Y49" s="450"/>
      <c r="Z49" s="450"/>
      <c r="AA49" s="450"/>
      <c r="AB49" s="450"/>
    </row>
    <row r="50" spans="1:28" ht="15.95" customHeight="1">
      <c r="A50" s="79" t="s">
        <v>187</v>
      </c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</row>
    <row r="51" spans="1:28" s="442" customFormat="1" ht="15.95" customHeight="1">
      <c r="A51" s="19" t="s">
        <v>188</v>
      </c>
      <c r="B51" s="197"/>
      <c r="C51" s="20"/>
      <c r="D51" s="146">
        <f>资产负债表!O16</f>
        <v>0</v>
      </c>
      <c r="E51" s="146">
        <f>资产负债表!S16</f>
        <v>0</v>
      </c>
      <c r="F51" s="146">
        <f>资产负债表!W16</f>
        <v>0</v>
      </c>
      <c r="G51" s="146">
        <f>资产负债表!X16</f>
        <v>0</v>
      </c>
      <c r="H51" s="146">
        <f>资产负债表!Y16</f>
        <v>0</v>
      </c>
      <c r="I51" s="146">
        <f>资产负债表!Z16</f>
        <v>0</v>
      </c>
      <c r="J51" s="146">
        <f>IF(ISERROR(F51+J52),"—",F51+J52)</f>
        <v>0</v>
      </c>
      <c r="K51" s="146">
        <f>IF(ISERROR(J51+K52),"—",J51+K52)</f>
        <v>0</v>
      </c>
      <c r="L51" s="146">
        <f t="shared" ref="L51:S51" si="21">IF(ISERROR(K51+L52),"—",K51+L52)</f>
        <v>0</v>
      </c>
      <c r="M51" s="146">
        <f t="shared" si="21"/>
        <v>0</v>
      </c>
      <c r="N51" s="146">
        <f t="shared" si="21"/>
        <v>0</v>
      </c>
      <c r="O51" s="146">
        <f t="shared" si="21"/>
        <v>0</v>
      </c>
      <c r="P51" s="146">
        <f t="shared" si="21"/>
        <v>0</v>
      </c>
      <c r="Q51" s="146">
        <f t="shared" si="21"/>
        <v>0</v>
      </c>
      <c r="R51" s="146">
        <f t="shared" si="21"/>
        <v>0</v>
      </c>
      <c r="S51" s="146">
        <f t="shared" si="21"/>
        <v>0</v>
      </c>
      <c r="T51" s="454"/>
      <c r="U51" s="454"/>
      <c r="V51" s="454"/>
      <c r="W51" s="454"/>
      <c r="X51" s="454"/>
      <c r="Y51" s="454"/>
      <c r="Z51" s="454"/>
    </row>
    <row r="52" spans="1:28" s="442" customFormat="1" ht="15.95" customHeight="1">
      <c r="A52" s="435" t="s">
        <v>184</v>
      </c>
      <c r="B52" s="197"/>
      <c r="D52" s="146">
        <f>D51-资产负债表!K16</f>
        <v>0</v>
      </c>
      <c r="E52" s="449">
        <f>E51-D51</f>
        <v>0</v>
      </c>
      <c r="F52" s="449">
        <f>F51-E51</f>
        <v>0</v>
      </c>
      <c r="G52" s="146">
        <f>IF(财务基础数据!$W$2=0,0,G51-F51)</f>
        <v>0</v>
      </c>
      <c r="H52" s="146">
        <f>IF(财务基础数据!$W$2&lt;=1,0,H51-G51)</f>
        <v>0</v>
      </c>
      <c r="I52" s="146">
        <f>IF(财务基础数据!$W$2&lt;=2,0,I51-H51)</f>
        <v>0</v>
      </c>
      <c r="J52" s="448"/>
      <c r="K52" s="448"/>
      <c r="L52" s="448"/>
      <c r="M52" s="448"/>
      <c r="N52" s="448"/>
      <c r="O52" s="448"/>
      <c r="P52" s="448"/>
      <c r="Q52" s="448"/>
      <c r="R52" s="448"/>
      <c r="S52" s="448"/>
      <c r="T52" s="450"/>
      <c r="U52" s="450"/>
      <c r="V52" s="450"/>
      <c r="W52" s="450"/>
      <c r="X52" s="450"/>
      <c r="Y52" s="450"/>
      <c r="Z52" s="450"/>
      <c r="AA52" s="450"/>
      <c r="AB52" s="450"/>
    </row>
    <row r="53" spans="1:28" s="442" customFormat="1" ht="15.95" customHeight="1">
      <c r="A53" s="439"/>
      <c r="B53" s="197"/>
      <c r="D53" s="451"/>
      <c r="E53" s="451"/>
      <c r="F53" s="451"/>
      <c r="G53" s="451"/>
      <c r="H53" s="451"/>
      <c r="I53" s="451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0"/>
      <c r="U53" s="450"/>
      <c r="V53" s="450"/>
      <c r="W53" s="450"/>
      <c r="X53" s="450"/>
      <c r="Y53" s="450"/>
      <c r="Z53" s="450"/>
      <c r="AA53" s="450"/>
      <c r="AB53" s="450"/>
    </row>
    <row r="54" spans="1:28" s="442" customFormat="1" ht="15.95" customHeight="1">
      <c r="A54" s="19" t="s">
        <v>189</v>
      </c>
      <c r="B54" s="197"/>
      <c r="D54" s="146">
        <f>资产负债表!O17</f>
        <v>0</v>
      </c>
      <c r="E54" s="146">
        <f>资产负债表!S17</f>
        <v>0</v>
      </c>
      <c r="F54" s="146">
        <f>资产负债表!W17</f>
        <v>0</v>
      </c>
      <c r="G54" s="146">
        <f>资产负债表!X17</f>
        <v>0</v>
      </c>
      <c r="H54" s="146">
        <f>资产负债表!Y17</f>
        <v>0</v>
      </c>
      <c r="I54" s="146">
        <f>资产负债表!Z17</f>
        <v>0</v>
      </c>
      <c r="J54" s="146">
        <f>IF(ISERROR(F54+J55),"—",F54+J55)</f>
        <v>0</v>
      </c>
      <c r="K54" s="146">
        <f>IF(ISERROR(J54+K55),"—",J54+K55)</f>
        <v>0</v>
      </c>
      <c r="L54" s="146">
        <f t="shared" ref="L54:S54" si="22">IF(ISERROR(K54+L55),"—",K54+L55)</f>
        <v>0</v>
      </c>
      <c r="M54" s="146">
        <f t="shared" si="22"/>
        <v>0</v>
      </c>
      <c r="N54" s="146">
        <f t="shared" si="22"/>
        <v>0</v>
      </c>
      <c r="O54" s="146">
        <f t="shared" si="22"/>
        <v>0</v>
      </c>
      <c r="P54" s="146">
        <f t="shared" si="22"/>
        <v>0</v>
      </c>
      <c r="Q54" s="146">
        <f t="shared" si="22"/>
        <v>0</v>
      </c>
      <c r="R54" s="146">
        <f t="shared" si="22"/>
        <v>0</v>
      </c>
      <c r="S54" s="146">
        <f t="shared" si="22"/>
        <v>0</v>
      </c>
      <c r="T54" s="454"/>
      <c r="U54" s="454"/>
      <c r="V54" s="454"/>
      <c r="W54" s="454"/>
      <c r="X54" s="454"/>
      <c r="Y54" s="454"/>
      <c r="Z54" s="454"/>
    </row>
    <row r="55" spans="1:28" s="442" customFormat="1" ht="15.95" customHeight="1">
      <c r="A55" s="435" t="s">
        <v>184</v>
      </c>
      <c r="B55" s="197"/>
      <c r="D55" s="449">
        <f>D54-资产负债表!K17</f>
        <v>0</v>
      </c>
      <c r="E55" s="449">
        <f>E54-D54</f>
        <v>0</v>
      </c>
      <c r="F55" s="449">
        <f>F54-E54</f>
        <v>0</v>
      </c>
      <c r="G55" s="146">
        <f>IF(财务基础数据!$W$2=0,0,G54-F54)</f>
        <v>0</v>
      </c>
      <c r="H55" s="146">
        <f>IF(财务基础数据!$W$2&lt;=1,0,H54-G54)</f>
        <v>0</v>
      </c>
      <c r="I55" s="146">
        <f>IF(财务基础数据!$W$2&lt;=2,0,I54-H54)</f>
        <v>0</v>
      </c>
      <c r="J55" s="448"/>
      <c r="K55" s="448"/>
      <c r="L55" s="448"/>
      <c r="M55" s="448"/>
      <c r="N55" s="448"/>
      <c r="O55" s="448"/>
      <c r="P55" s="448"/>
      <c r="Q55" s="448"/>
      <c r="R55" s="448"/>
      <c r="S55" s="448"/>
      <c r="T55" s="450"/>
      <c r="U55" s="450"/>
      <c r="V55" s="450"/>
      <c r="W55" s="450"/>
      <c r="X55" s="450"/>
      <c r="Y55" s="450"/>
      <c r="Z55" s="450"/>
      <c r="AA55" s="450"/>
      <c r="AB55" s="450"/>
    </row>
    <row r="56" spans="1:28" ht="15.95" customHeight="1"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</row>
    <row r="57" spans="1:28" ht="15.95" customHeight="1">
      <c r="A57" s="19" t="s">
        <v>190</v>
      </c>
      <c r="D57" s="146">
        <f>资产负债表!O18</f>
        <v>0</v>
      </c>
      <c r="E57" s="146">
        <f>资产负债表!S18</f>
        <v>0</v>
      </c>
      <c r="F57" s="146">
        <f>资产负债表!W18</f>
        <v>0</v>
      </c>
      <c r="G57" s="146">
        <f>资产负债表!X18</f>
        <v>0</v>
      </c>
      <c r="H57" s="146">
        <f>资产负债表!Y18</f>
        <v>0</v>
      </c>
      <c r="I57" s="146">
        <f>资产负债表!Z18</f>
        <v>0</v>
      </c>
      <c r="J57" s="146">
        <f>IF(ISERROR(F57+J58),"—",F57+J58)</f>
        <v>0</v>
      </c>
      <c r="K57" s="146">
        <f>IF(ISERROR(J57+K58),"—",J57+K58)</f>
        <v>0</v>
      </c>
      <c r="L57" s="146">
        <f t="shared" ref="L57:S57" si="23">IF(ISERROR(K57+L58),"—",K57+L58)</f>
        <v>0</v>
      </c>
      <c r="M57" s="146">
        <f t="shared" si="23"/>
        <v>0</v>
      </c>
      <c r="N57" s="146">
        <f t="shared" si="23"/>
        <v>0</v>
      </c>
      <c r="O57" s="146">
        <f t="shared" si="23"/>
        <v>0</v>
      </c>
      <c r="P57" s="146">
        <f t="shared" si="23"/>
        <v>0</v>
      </c>
      <c r="Q57" s="146">
        <f t="shared" si="23"/>
        <v>0</v>
      </c>
      <c r="R57" s="146">
        <f t="shared" si="23"/>
        <v>0</v>
      </c>
      <c r="S57" s="146">
        <f t="shared" si="23"/>
        <v>0</v>
      </c>
    </row>
    <row r="58" spans="1:28" ht="15.95" customHeight="1">
      <c r="A58" s="435" t="s">
        <v>184</v>
      </c>
      <c r="B58" s="197"/>
      <c r="C58" s="131"/>
      <c r="D58" s="449">
        <f>D57-资产负债表!K18</f>
        <v>0</v>
      </c>
      <c r="E58" s="449">
        <f>E57-D57</f>
        <v>0</v>
      </c>
      <c r="F58" s="449">
        <f>F57-E57</f>
        <v>0</v>
      </c>
      <c r="G58" s="146">
        <f>IF(财务基础数据!$W$2=0,0,G57-F57)</f>
        <v>0</v>
      </c>
      <c r="H58" s="146">
        <f>IF(财务基础数据!$W$2&lt;=1,0,H57-G57)</f>
        <v>0</v>
      </c>
      <c r="I58" s="146">
        <f>IF(财务基础数据!$W$2&lt;=2,0,I57-H57)</f>
        <v>0</v>
      </c>
      <c r="J58" s="448"/>
      <c r="K58" s="448"/>
      <c r="L58" s="448"/>
      <c r="M58" s="448"/>
      <c r="N58" s="448"/>
      <c r="O58" s="448"/>
      <c r="P58" s="448"/>
      <c r="Q58" s="448"/>
      <c r="R58" s="448"/>
      <c r="S58" s="448"/>
    </row>
    <row r="59" spans="1:28" ht="15.95" customHeight="1"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</row>
    <row r="60" spans="1:28" s="457" customFormat="1" ht="15.95" customHeight="1">
      <c r="A60" s="79" t="s">
        <v>191</v>
      </c>
      <c r="B60" s="241"/>
      <c r="C60" s="455"/>
      <c r="D60" s="449"/>
      <c r="E60" s="449"/>
      <c r="F60" s="449"/>
      <c r="G60" s="449"/>
      <c r="H60" s="449"/>
      <c r="I60" s="449"/>
      <c r="J60" s="146"/>
      <c r="K60" s="449"/>
      <c r="L60" s="449"/>
      <c r="M60" s="146"/>
      <c r="N60" s="449"/>
      <c r="O60" s="449"/>
      <c r="P60" s="146"/>
      <c r="Q60" s="449"/>
      <c r="R60" s="449"/>
      <c r="S60" s="146"/>
      <c r="T60" s="456"/>
      <c r="U60" s="456"/>
      <c r="V60" s="456"/>
      <c r="W60" s="456"/>
      <c r="X60" s="456"/>
      <c r="Y60" s="456"/>
      <c r="Z60" s="456"/>
    </row>
    <row r="61" spans="1:28" s="442" customFormat="1" ht="15.95" customHeight="1">
      <c r="A61" s="19" t="s">
        <v>192</v>
      </c>
      <c r="B61" s="197"/>
      <c r="D61" s="146">
        <f>资产负债表!K15</f>
        <v>0</v>
      </c>
      <c r="E61" s="146">
        <f>D64</f>
        <v>0</v>
      </c>
      <c r="F61" s="146">
        <f>E64</f>
        <v>0</v>
      </c>
      <c r="G61" s="146">
        <f>F64</f>
        <v>0</v>
      </c>
      <c r="H61" s="146">
        <f>G64</f>
        <v>0</v>
      </c>
      <c r="I61" s="146">
        <f>H64</f>
        <v>0</v>
      </c>
      <c r="J61" s="146">
        <f>F64</f>
        <v>0</v>
      </c>
      <c r="K61" s="146">
        <f t="shared" ref="K61:S61" si="24">J64</f>
        <v>0</v>
      </c>
      <c r="L61" s="146">
        <f t="shared" si="24"/>
        <v>0</v>
      </c>
      <c r="M61" s="146">
        <f t="shared" si="24"/>
        <v>0</v>
      </c>
      <c r="N61" s="146">
        <f t="shared" si="24"/>
        <v>0</v>
      </c>
      <c r="O61" s="146">
        <f t="shared" si="24"/>
        <v>0</v>
      </c>
      <c r="P61" s="146">
        <f t="shared" si="24"/>
        <v>0</v>
      </c>
      <c r="Q61" s="146">
        <f t="shared" si="24"/>
        <v>0</v>
      </c>
      <c r="R61" s="146">
        <f t="shared" si="24"/>
        <v>0</v>
      </c>
      <c r="S61" s="146">
        <f t="shared" si="24"/>
        <v>0</v>
      </c>
    </row>
    <row r="62" spans="1:28" s="442" customFormat="1" ht="15.95" customHeight="1">
      <c r="A62" s="435" t="s">
        <v>184</v>
      </c>
      <c r="B62" s="197"/>
      <c r="C62" s="458"/>
      <c r="D62" s="75">
        <f t="shared" ref="D62:F62" si="25">D64-D61</f>
        <v>0</v>
      </c>
      <c r="E62" s="75">
        <f t="shared" si="25"/>
        <v>0</v>
      </c>
      <c r="F62" s="75">
        <f t="shared" si="25"/>
        <v>0</v>
      </c>
      <c r="G62" s="146">
        <f>IF(财务基础数据!$W$2=0,0,G64-F64)</f>
        <v>0</v>
      </c>
      <c r="H62" s="146">
        <f>IF(财务基础数据!$W$2&lt;=1,0,H64-G64)</f>
        <v>0</v>
      </c>
      <c r="I62" s="146">
        <f>IF(财务基础数据!$W$2&lt;=2,0,I64-H64)</f>
        <v>0</v>
      </c>
      <c r="J62" s="459"/>
      <c r="K62" s="459"/>
      <c r="L62" s="459"/>
      <c r="M62" s="459"/>
      <c r="N62" s="459"/>
      <c r="O62" s="459"/>
      <c r="P62" s="459"/>
      <c r="Q62" s="459"/>
      <c r="R62" s="459"/>
      <c r="S62" s="459"/>
    </row>
    <row r="63" spans="1:28" s="442" customFormat="1" ht="15.95" customHeight="1">
      <c r="A63" s="435" t="s">
        <v>147</v>
      </c>
      <c r="B63" s="242">
        <v>0</v>
      </c>
      <c r="D63" s="146"/>
      <c r="E63" s="146"/>
      <c r="F63" s="146"/>
      <c r="G63" s="146"/>
      <c r="H63" s="146"/>
      <c r="I63" s="146"/>
      <c r="J63" s="460">
        <f t="shared" ref="J63:S63" si="26">J61*$B$63+J62/2*$B$63</f>
        <v>0</v>
      </c>
      <c r="K63" s="460">
        <f t="shared" si="26"/>
        <v>0</v>
      </c>
      <c r="L63" s="460">
        <f t="shared" si="26"/>
        <v>0</v>
      </c>
      <c r="M63" s="460">
        <f t="shared" si="26"/>
        <v>0</v>
      </c>
      <c r="N63" s="460">
        <f t="shared" si="26"/>
        <v>0</v>
      </c>
      <c r="O63" s="460">
        <f t="shared" si="26"/>
        <v>0</v>
      </c>
      <c r="P63" s="460">
        <f t="shared" si="26"/>
        <v>0</v>
      </c>
      <c r="Q63" s="460">
        <f t="shared" si="26"/>
        <v>0</v>
      </c>
      <c r="R63" s="460">
        <f t="shared" si="26"/>
        <v>0</v>
      </c>
      <c r="S63" s="460">
        <f t="shared" si="26"/>
        <v>0</v>
      </c>
    </row>
    <row r="64" spans="1:28" s="442" customFormat="1" ht="15.95" customHeight="1">
      <c r="A64" s="19" t="s">
        <v>193</v>
      </c>
      <c r="B64" s="197"/>
      <c r="C64" s="458"/>
      <c r="D64" s="146">
        <f>资产负债表!O15</f>
        <v>0</v>
      </c>
      <c r="E64" s="146">
        <f>资产负债表!S15</f>
        <v>0</v>
      </c>
      <c r="F64" s="146">
        <f>资产负债表!W15</f>
        <v>0</v>
      </c>
      <c r="G64" s="146">
        <f>资产负债表!X15</f>
        <v>0</v>
      </c>
      <c r="H64" s="146">
        <f>资产负债表!Y15</f>
        <v>0</v>
      </c>
      <c r="I64" s="146">
        <f>资产负债表!Z15</f>
        <v>0</v>
      </c>
      <c r="J64" s="146">
        <f t="shared" ref="J64:S64" si="27">IF(ISERROR(J61+J62-J63),"—",J61+J62-J63)</f>
        <v>0</v>
      </c>
      <c r="K64" s="146">
        <f t="shared" si="27"/>
        <v>0</v>
      </c>
      <c r="L64" s="146">
        <f t="shared" si="27"/>
        <v>0</v>
      </c>
      <c r="M64" s="146">
        <f t="shared" si="27"/>
        <v>0</v>
      </c>
      <c r="N64" s="146">
        <f t="shared" si="27"/>
        <v>0</v>
      </c>
      <c r="O64" s="146">
        <f t="shared" si="27"/>
        <v>0</v>
      </c>
      <c r="P64" s="146">
        <f t="shared" si="27"/>
        <v>0</v>
      </c>
      <c r="Q64" s="146">
        <f t="shared" si="27"/>
        <v>0</v>
      </c>
      <c r="R64" s="146">
        <f t="shared" si="27"/>
        <v>0</v>
      </c>
      <c r="S64" s="146">
        <f t="shared" si="27"/>
        <v>0</v>
      </c>
    </row>
    <row r="65" spans="1:19" ht="15.95" customHeight="1">
      <c r="A65" s="60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</row>
    <row r="66" spans="1:19" s="442" customFormat="1" ht="15.95" customHeight="1">
      <c r="A66" s="19" t="s">
        <v>194</v>
      </c>
      <c r="B66" s="197"/>
      <c r="C66" s="458"/>
      <c r="D66" s="146">
        <f>资产负债表!K20</f>
        <v>0</v>
      </c>
      <c r="E66" s="146">
        <f>D69</f>
        <v>0</v>
      </c>
      <c r="F66" s="146">
        <f>E69</f>
        <v>0</v>
      </c>
      <c r="G66" s="146">
        <f>F69</f>
        <v>0</v>
      </c>
      <c r="H66" s="146">
        <f>G69</f>
        <v>0</v>
      </c>
      <c r="I66" s="146">
        <f>H69</f>
        <v>0</v>
      </c>
      <c r="J66" s="146">
        <f>F69</f>
        <v>0</v>
      </c>
      <c r="K66" s="146">
        <f t="shared" ref="K66:S66" si="28">J69</f>
        <v>0</v>
      </c>
      <c r="L66" s="146">
        <f t="shared" si="28"/>
        <v>0</v>
      </c>
      <c r="M66" s="146">
        <f t="shared" si="28"/>
        <v>0</v>
      </c>
      <c r="N66" s="146">
        <f t="shared" si="28"/>
        <v>0</v>
      </c>
      <c r="O66" s="146">
        <f t="shared" si="28"/>
        <v>0</v>
      </c>
      <c r="P66" s="146">
        <f t="shared" si="28"/>
        <v>0</v>
      </c>
      <c r="Q66" s="146">
        <f t="shared" si="28"/>
        <v>0</v>
      </c>
      <c r="R66" s="146">
        <f t="shared" si="28"/>
        <v>0</v>
      </c>
      <c r="S66" s="146">
        <f t="shared" si="28"/>
        <v>0</v>
      </c>
    </row>
    <row r="67" spans="1:19" s="442" customFormat="1" ht="15.95" customHeight="1">
      <c r="A67" s="435" t="s">
        <v>195</v>
      </c>
      <c r="B67" s="197"/>
      <c r="C67" s="458"/>
      <c r="D67" s="146">
        <f t="shared" ref="D67:F67" si="29">D69-D66</f>
        <v>0</v>
      </c>
      <c r="E67" s="146">
        <f t="shared" si="29"/>
        <v>0</v>
      </c>
      <c r="F67" s="146">
        <f t="shared" si="29"/>
        <v>0</v>
      </c>
      <c r="G67" s="146">
        <f>IF(财务基础数据!$W$2=0,0,G69-F69)</f>
        <v>0</v>
      </c>
      <c r="H67" s="146">
        <f>IF(财务基础数据!$W$2&lt;=1,0,H69-G69)</f>
        <v>0</v>
      </c>
      <c r="I67" s="146">
        <f>IF(财务基础数据!$W$2&lt;=2,0,I69-H69)</f>
        <v>0</v>
      </c>
      <c r="J67" s="251"/>
      <c r="K67" s="251"/>
      <c r="L67" s="251"/>
      <c r="M67" s="251"/>
      <c r="N67" s="251"/>
      <c r="O67" s="251"/>
      <c r="P67" s="251"/>
      <c r="Q67" s="251"/>
      <c r="R67" s="251"/>
      <c r="S67" s="251"/>
    </row>
    <row r="68" spans="1:19" s="442" customFormat="1" ht="15.95" customHeight="1">
      <c r="A68" s="435" t="s">
        <v>148</v>
      </c>
      <c r="B68" s="242">
        <v>0</v>
      </c>
      <c r="D68" s="75"/>
      <c r="E68" s="75"/>
      <c r="F68" s="75"/>
      <c r="G68" s="75"/>
      <c r="H68" s="75"/>
      <c r="I68" s="75"/>
      <c r="J68" s="460">
        <f t="shared" ref="J68:S68" si="30">J66*$B$68+J67/2*$B$68</f>
        <v>0</v>
      </c>
      <c r="K68" s="460">
        <f t="shared" si="30"/>
        <v>0</v>
      </c>
      <c r="L68" s="460">
        <f t="shared" si="30"/>
        <v>0</v>
      </c>
      <c r="M68" s="460">
        <f t="shared" si="30"/>
        <v>0</v>
      </c>
      <c r="N68" s="460">
        <f t="shared" si="30"/>
        <v>0</v>
      </c>
      <c r="O68" s="460">
        <f t="shared" si="30"/>
        <v>0</v>
      </c>
      <c r="P68" s="460">
        <f t="shared" si="30"/>
        <v>0</v>
      </c>
      <c r="Q68" s="460">
        <f t="shared" si="30"/>
        <v>0</v>
      </c>
      <c r="R68" s="460">
        <f t="shared" si="30"/>
        <v>0</v>
      </c>
      <c r="S68" s="460">
        <f t="shared" si="30"/>
        <v>0</v>
      </c>
    </row>
    <row r="69" spans="1:19" s="442" customFormat="1" ht="15.95" customHeight="1">
      <c r="A69" s="19" t="s">
        <v>196</v>
      </c>
      <c r="B69" s="197"/>
      <c r="C69" s="458"/>
      <c r="D69" s="146">
        <f>资产负债表!O20</f>
        <v>0</v>
      </c>
      <c r="E69" s="146">
        <f>资产负债表!S20</f>
        <v>0</v>
      </c>
      <c r="F69" s="146">
        <f>资产负债表!W20</f>
        <v>0</v>
      </c>
      <c r="G69" s="146">
        <f>资产负债表!X20</f>
        <v>0</v>
      </c>
      <c r="H69" s="146">
        <f>资产负债表!Y20</f>
        <v>0</v>
      </c>
      <c r="I69" s="146">
        <f>资产负债表!Z20</f>
        <v>0</v>
      </c>
      <c r="J69" s="146">
        <f t="shared" ref="J69:S69" si="31">IF(ISERROR(J66+J67-J68),"—",J66+J67-J68)</f>
        <v>0</v>
      </c>
      <c r="K69" s="146">
        <f t="shared" si="31"/>
        <v>0</v>
      </c>
      <c r="L69" s="146">
        <f t="shared" si="31"/>
        <v>0</v>
      </c>
      <c r="M69" s="146">
        <f t="shared" si="31"/>
        <v>0</v>
      </c>
      <c r="N69" s="146">
        <f t="shared" si="31"/>
        <v>0</v>
      </c>
      <c r="O69" s="146">
        <f t="shared" si="31"/>
        <v>0</v>
      </c>
      <c r="P69" s="146">
        <f t="shared" si="31"/>
        <v>0</v>
      </c>
      <c r="Q69" s="146">
        <f t="shared" si="31"/>
        <v>0</v>
      </c>
      <c r="R69" s="146">
        <f t="shared" si="31"/>
        <v>0</v>
      </c>
      <c r="S69" s="146">
        <f t="shared" si="31"/>
        <v>0</v>
      </c>
    </row>
    <row r="70" spans="1:19" s="442" customFormat="1" ht="15.95" customHeight="1">
      <c r="A70" s="19"/>
      <c r="B70" s="197"/>
      <c r="C70" s="461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</row>
    <row r="71" spans="1:19" s="442" customFormat="1" ht="15.95" customHeight="1">
      <c r="A71" s="19" t="s">
        <v>197</v>
      </c>
      <c r="B71" s="197"/>
      <c r="C71" s="461"/>
      <c r="D71" s="75">
        <f>现金流量表!O6</f>
        <v>0</v>
      </c>
      <c r="E71" s="75">
        <f>现金流量表!S6</f>
        <v>0</v>
      </c>
      <c r="F71" s="75">
        <f>现金流量表!W6</f>
        <v>0</v>
      </c>
      <c r="G71" s="75">
        <f>现金流量表!X6</f>
        <v>0</v>
      </c>
      <c r="H71" s="75">
        <f>现金流量表!Y6</f>
        <v>0</v>
      </c>
      <c r="I71" s="75">
        <f>现金流量表!Z6</f>
        <v>0</v>
      </c>
      <c r="J71" s="75">
        <f>J63+J68</f>
        <v>0</v>
      </c>
      <c r="K71" s="75">
        <f t="shared" ref="K71:S71" si="32">K63+K68</f>
        <v>0</v>
      </c>
      <c r="L71" s="75">
        <f t="shared" si="32"/>
        <v>0</v>
      </c>
      <c r="M71" s="75">
        <f t="shared" si="32"/>
        <v>0</v>
      </c>
      <c r="N71" s="75">
        <f t="shared" si="32"/>
        <v>0</v>
      </c>
      <c r="O71" s="75">
        <f t="shared" si="32"/>
        <v>0</v>
      </c>
      <c r="P71" s="75">
        <f t="shared" si="32"/>
        <v>0</v>
      </c>
      <c r="Q71" s="75">
        <f t="shared" si="32"/>
        <v>0</v>
      </c>
      <c r="R71" s="75">
        <f t="shared" si="32"/>
        <v>0</v>
      </c>
      <c r="S71" s="75">
        <f t="shared" si="32"/>
        <v>0</v>
      </c>
    </row>
    <row r="72" spans="1:19" s="442" customFormat="1" ht="15.95" customHeight="1">
      <c r="A72" s="19"/>
      <c r="B72" s="197"/>
      <c r="C72" s="461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</row>
    <row r="73" spans="1:19" s="442" customFormat="1" ht="15.95" customHeight="1">
      <c r="A73" s="79" t="s">
        <v>198</v>
      </c>
      <c r="B73" s="197"/>
      <c r="C73" s="461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</row>
    <row r="74" spans="1:19" ht="15.95" customHeight="1">
      <c r="A74" s="462" t="s">
        <v>101</v>
      </c>
      <c r="C74" s="463"/>
      <c r="D74" s="146">
        <f>资产负债表!O19</f>
        <v>0</v>
      </c>
      <c r="E74" s="146">
        <f>资产负债表!S19</f>
        <v>0</v>
      </c>
      <c r="F74" s="146">
        <f>资产负债表!W19</f>
        <v>0</v>
      </c>
      <c r="G74" s="146">
        <f>资产负债表!X19</f>
        <v>0</v>
      </c>
      <c r="H74" s="146">
        <f>资产负债表!Y19</f>
        <v>0</v>
      </c>
      <c r="I74" s="146">
        <f>资产负债表!Z19</f>
        <v>0</v>
      </c>
      <c r="J74" s="146">
        <f>IF(ISERROR(F74+J75),"—",F74+J75)</f>
        <v>0</v>
      </c>
      <c r="K74" s="146">
        <f>IF(ISERROR(J74+K75),"—",J74+K75)</f>
        <v>0</v>
      </c>
      <c r="L74" s="146">
        <f t="shared" ref="L74:S74" si="33">IF(ISERROR(K74+L75),"—",K74+L75)</f>
        <v>0</v>
      </c>
      <c r="M74" s="146">
        <f t="shared" si="33"/>
        <v>0</v>
      </c>
      <c r="N74" s="146">
        <f t="shared" si="33"/>
        <v>0</v>
      </c>
      <c r="O74" s="146">
        <f t="shared" si="33"/>
        <v>0</v>
      </c>
      <c r="P74" s="146">
        <f t="shared" si="33"/>
        <v>0</v>
      </c>
      <c r="Q74" s="146">
        <f t="shared" si="33"/>
        <v>0</v>
      </c>
      <c r="R74" s="146">
        <f t="shared" si="33"/>
        <v>0</v>
      </c>
      <c r="S74" s="146">
        <f t="shared" si="33"/>
        <v>0</v>
      </c>
    </row>
    <row r="75" spans="1:19" ht="15.95" customHeight="1">
      <c r="A75" s="464" t="s">
        <v>195</v>
      </c>
      <c r="C75" s="463"/>
      <c r="D75" s="146">
        <f>D74-资产负债表!K19</f>
        <v>0</v>
      </c>
      <c r="E75" s="146">
        <f>E74-D74</f>
        <v>0</v>
      </c>
      <c r="F75" s="146">
        <f>F74-E74</f>
        <v>0</v>
      </c>
      <c r="G75" s="146">
        <f>IF(财务基础数据!$W$2=0,0,G74-F74)</f>
        <v>0</v>
      </c>
      <c r="H75" s="146">
        <f>IF(财务基础数据!$W$2&lt;=1,0,H74-G74)</f>
        <v>0</v>
      </c>
      <c r="I75" s="146">
        <f>IF(财务基础数据!$W$2&lt;=2,0,I74-H74)</f>
        <v>0</v>
      </c>
      <c r="J75" s="448"/>
      <c r="K75" s="448"/>
      <c r="L75" s="448"/>
      <c r="M75" s="448"/>
      <c r="N75" s="448"/>
      <c r="O75" s="448"/>
      <c r="P75" s="448"/>
      <c r="Q75" s="448"/>
      <c r="R75" s="448"/>
      <c r="S75" s="448"/>
    </row>
    <row r="76" spans="1:19" ht="15.95" customHeight="1">
      <c r="A76" s="464"/>
      <c r="C76" s="463"/>
      <c r="D76" s="146"/>
      <c r="E76" s="146"/>
      <c r="F76" s="146"/>
      <c r="G76" s="146"/>
      <c r="H76" s="146"/>
      <c r="I76" s="146"/>
      <c r="J76" s="75"/>
      <c r="K76" s="75"/>
      <c r="L76" s="75"/>
      <c r="M76" s="75"/>
      <c r="N76" s="75"/>
      <c r="O76" s="75"/>
      <c r="P76" s="75"/>
      <c r="Q76" s="75"/>
      <c r="R76" s="75"/>
      <c r="S76" s="75"/>
    </row>
    <row r="77" spans="1:19" ht="15.95" customHeight="1">
      <c r="A77" s="462" t="s">
        <v>199</v>
      </c>
      <c r="C77" s="463"/>
      <c r="D77" s="146">
        <f>资产负债表!O21</f>
        <v>0</v>
      </c>
      <c r="E77" s="146">
        <f>资产负债表!S21</f>
        <v>0</v>
      </c>
      <c r="F77" s="146">
        <f>资产负债表!W21</f>
        <v>0</v>
      </c>
      <c r="G77" s="146">
        <f>资产负债表!X21</f>
        <v>0</v>
      </c>
      <c r="H77" s="146">
        <f>资产负债表!Y21</f>
        <v>0</v>
      </c>
      <c r="I77" s="146">
        <f>资产负债表!Z21</f>
        <v>0</v>
      </c>
      <c r="J77" s="146">
        <f>IF(ISERROR(F77+J78),"—",F77+J78)</f>
        <v>0</v>
      </c>
      <c r="K77" s="146">
        <f t="shared" ref="K77:S77" si="34">IF(ISERROR(J77+K78),"—",J77+K78)</f>
        <v>0</v>
      </c>
      <c r="L77" s="146">
        <f t="shared" si="34"/>
        <v>0</v>
      </c>
      <c r="M77" s="146">
        <f t="shared" si="34"/>
        <v>0</v>
      </c>
      <c r="N77" s="146">
        <f t="shared" si="34"/>
        <v>0</v>
      </c>
      <c r="O77" s="146">
        <f t="shared" si="34"/>
        <v>0</v>
      </c>
      <c r="P77" s="146">
        <f t="shared" si="34"/>
        <v>0</v>
      </c>
      <c r="Q77" s="146">
        <f t="shared" si="34"/>
        <v>0</v>
      </c>
      <c r="R77" s="146">
        <f t="shared" si="34"/>
        <v>0</v>
      </c>
      <c r="S77" s="146">
        <f t="shared" si="34"/>
        <v>0</v>
      </c>
    </row>
    <row r="78" spans="1:19" ht="15.95" customHeight="1">
      <c r="A78" s="464" t="s">
        <v>195</v>
      </c>
      <c r="C78" s="463"/>
      <c r="D78" s="146">
        <f>D77-资产负债表!K21</f>
        <v>0</v>
      </c>
      <c r="E78" s="146">
        <f>E77-D77</f>
        <v>0</v>
      </c>
      <c r="F78" s="146">
        <f>F77-E77</f>
        <v>0</v>
      </c>
      <c r="G78" s="146">
        <f>IF(财务基础数据!$W$2=0,0,G77-F77)</f>
        <v>0</v>
      </c>
      <c r="H78" s="146">
        <f>IF(财务基础数据!$W$2&lt;=1,0,H77-G77)</f>
        <v>0</v>
      </c>
      <c r="I78" s="146">
        <f>IF(财务基础数据!$W$2&lt;=2,0,I77-H77)</f>
        <v>0</v>
      </c>
      <c r="J78" s="251"/>
      <c r="K78" s="251"/>
      <c r="L78" s="251"/>
      <c r="M78" s="251"/>
      <c r="N78" s="251"/>
      <c r="O78" s="251"/>
      <c r="P78" s="251"/>
      <c r="Q78" s="251"/>
      <c r="R78" s="251"/>
      <c r="S78" s="251"/>
    </row>
    <row r="79" spans="1:19" ht="15.95" customHeight="1">
      <c r="A79" s="465"/>
      <c r="C79" s="463"/>
      <c r="J79" s="75"/>
      <c r="K79" s="75"/>
      <c r="L79" s="75"/>
      <c r="M79" s="75"/>
      <c r="N79" s="75"/>
      <c r="O79" s="75"/>
      <c r="P79" s="75"/>
      <c r="Q79" s="75"/>
      <c r="R79" s="75"/>
      <c r="S79" s="75"/>
    </row>
    <row r="80" spans="1:19" s="433" customFormat="1" ht="15.95" customHeight="1">
      <c r="A80" s="466" t="s">
        <v>200</v>
      </c>
      <c r="B80" s="243"/>
      <c r="C80" s="467"/>
      <c r="D80" s="244">
        <f t="shared" ref="D80:S80" si="35">IF(ISERROR(D62+D67),"—",D62+D67)</f>
        <v>0</v>
      </c>
      <c r="E80" s="244">
        <f t="shared" si="35"/>
        <v>0</v>
      </c>
      <c r="F80" s="244">
        <f t="shared" si="35"/>
        <v>0</v>
      </c>
      <c r="G80" s="244">
        <f t="shared" si="35"/>
        <v>0</v>
      </c>
      <c r="H80" s="244">
        <f t="shared" si="35"/>
        <v>0</v>
      </c>
      <c r="I80" s="244">
        <f t="shared" si="35"/>
        <v>0</v>
      </c>
      <c r="J80" s="244">
        <f t="shared" si="35"/>
        <v>0</v>
      </c>
      <c r="K80" s="244">
        <f t="shared" si="35"/>
        <v>0</v>
      </c>
      <c r="L80" s="244">
        <f t="shared" si="35"/>
        <v>0</v>
      </c>
      <c r="M80" s="244">
        <f t="shared" si="35"/>
        <v>0</v>
      </c>
      <c r="N80" s="244">
        <f t="shared" si="35"/>
        <v>0</v>
      </c>
      <c r="O80" s="244">
        <f t="shared" si="35"/>
        <v>0</v>
      </c>
      <c r="P80" s="244">
        <f t="shared" si="35"/>
        <v>0</v>
      </c>
      <c r="Q80" s="244">
        <f t="shared" si="35"/>
        <v>0</v>
      </c>
      <c r="R80" s="244">
        <f t="shared" si="35"/>
        <v>0</v>
      </c>
      <c r="S80" s="244">
        <f t="shared" si="35"/>
        <v>0</v>
      </c>
    </row>
    <row r="81" spans="1:47" ht="15.95" customHeight="1"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</row>
    <row r="82" spans="1:47" s="428" customFormat="1" ht="15.95" customHeight="1">
      <c r="A82" s="59" t="s">
        <v>201</v>
      </c>
      <c r="B82" s="236"/>
      <c r="C82" s="426"/>
      <c r="D82" s="427"/>
      <c r="E82" s="427"/>
      <c r="F82" s="427"/>
      <c r="G82" s="427"/>
      <c r="H82" s="427"/>
      <c r="I82" s="427"/>
      <c r="J82" s="427"/>
      <c r="K82" s="427"/>
      <c r="L82" s="427"/>
      <c r="M82" s="427"/>
      <c r="N82" s="427"/>
      <c r="O82" s="427"/>
      <c r="P82" s="427"/>
      <c r="Q82" s="427"/>
      <c r="R82" s="427"/>
      <c r="S82" s="427"/>
    </row>
    <row r="83" spans="1:47" ht="15.95" customHeight="1">
      <c r="A83" s="429" t="str">
        <f>A3</f>
        <v>单位：港币(百万)</v>
      </c>
    </row>
    <row r="84" spans="1:47" s="432" customFormat="1" ht="15.95" customHeight="1">
      <c r="A84" s="193" t="s">
        <v>182</v>
      </c>
      <c r="B84" s="238"/>
      <c r="C84" s="557"/>
      <c r="D84" s="558">
        <f t="shared" ref="D84:S84" si="36">D4</f>
        <v>2019</v>
      </c>
      <c r="E84" s="558">
        <f t="shared" si="36"/>
        <v>2020</v>
      </c>
      <c r="F84" s="558">
        <f t="shared" si="36"/>
        <v>2021</v>
      </c>
      <c r="G84" s="558" t="str">
        <f t="shared" si="36"/>
        <v>1Q22</v>
      </c>
      <c r="H84" s="558" t="str">
        <f t="shared" si="36"/>
        <v>1H22</v>
      </c>
      <c r="I84" s="558" t="str">
        <f t="shared" si="36"/>
        <v>3Q22</v>
      </c>
      <c r="J84" s="559" t="str">
        <f t="shared" si="36"/>
        <v>2022E</v>
      </c>
      <c r="K84" s="559">
        <f t="shared" si="36"/>
        <v>2023</v>
      </c>
      <c r="L84" s="559">
        <f t="shared" si="36"/>
        <v>2024</v>
      </c>
      <c r="M84" s="559">
        <f t="shared" si="36"/>
        <v>2025</v>
      </c>
      <c r="N84" s="559">
        <f t="shared" si="36"/>
        <v>2026</v>
      </c>
      <c r="O84" s="559">
        <f t="shared" si="36"/>
        <v>2027</v>
      </c>
      <c r="P84" s="559">
        <f t="shared" si="36"/>
        <v>2028</v>
      </c>
      <c r="Q84" s="559">
        <f t="shared" si="36"/>
        <v>2029</v>
      </c>
      <c r="R84" s="559">
        <f t="shared" si="36"/>
        <v>2030</v>
      </c>
      <c r="S84" s="559">
        <f t="shared" si="36"/>
        <v>2031</v>
      </c>
    </row>
    <row r="85" spans="1:47" s="471" customFormat="1" ht="15.95" customHeight="1">
      <c r="A85" s="468"/>
      <c r="B85" s="245"/>
      <c r="C85" s="469"/>
      <c r="D85" s="470"/>
      <c r="E85" s="470"/>
      <c r="F85" s="470"/>
      <c r="G85" s="470"/>
      <c r="H85" s="470"/>
      <c r="I85" s="470"/>
      <c r="J85" s="470"/>
      <c r="K85" s="470"/>
      <c r="L85" s="470"/>
      <c r="M85" s="470"/>
      <c r="N85" s="470"/>
      <c r="O85" s="470"/>
      <c r="P85" s="470"/>
      <c r="Q85" s="470"/>
      <c r="R85" s="470"/>
      <c r="S85" s="470"/>
      <c r="T85" s="470"/>
      <c r="U85" s="470"/>
      <c r="V85" s="470"/>
      <c r="W85" s="470"/>
      <c r="X85" s="470"/>
      <c r="Y85" s="470"/>
      <c r="Z85" s="470"/>
      <c r="AA85" s="470"/>
      <c r="AB85" s="470"/>
      <c r="AC85" s="470"/>
      <c r="AD85" s="470"/>
      <c r="AE85" s="470"/>
      <c r="AF85" s="470"/>
      <c r="AG85" s="470"/>
      <c r="AH85" s="470"/>
      <c r="AI85" s="470"/>
      <c r="AJ85" s="470"/>
      <c r="AK85" s="470"/>
      <c r="AL85" s="470"/>
      <c r="AM85" s="470"/>
      <c r="AN85" s="470"/>
      <c r="AO85" s="470"/>
      <c r="AP85" s="470"/>
      <c r="AQ85" s="470"/>
      <c r="AR85" s="470"/>
      <c r="AS85" s="470"/>
      <c r="AT85" s="470"/>
      <c r="AU85" s="245"/>
    </row>
    <row r="86" spans="1:47" s="433" customFormat="1" ht="15.95" customHeight="1">
      <c r="A86" s="19" t="s">
        <v>547</v>
      </c>
      <c r="B86" s="195"/>
      <c r="C86" s="20"/>
    </row>
    <row r="87" spans="1:47" ht="15.95" customHeight="1">
      <c r="A87" s="19" t="s">
        <v>202</v>
      </c>
      <c r="C87" s="246"/>
      <c r="D87" s="146"/>
      <c r="E87" s="146"/>
      <c r="F87" s="146"/>
      <c r="G87" s="146"/>
      <c r="H87" s="146"/>
      <c r="I87" s="146"/>
      <c r="J87" s="448">
        <v>0</v>
      </c>
      <c r="K87" s="448">
        <v>0</v>
      </c>
      <c r="L87" s="448">
        <v>0</v>
      </c>
      <c r="M87" s="448">
        <v>0</v>
      </c>
      <c r="N87" s="448">
        <v>0</v>
      </c>
      <c r="O87" s="448">
        <v>0</v>
      </c>
      <c r="P87" s="448">
        <v>0</v>
      </c>
      <c r="Q87" s="448">
        <v>0</v>
      </c>
      <c r="R87" s="448">
        <v>0</v>
      </c>
      <c r="S87" s="448">
        <v>0</v>
      </c>
      <c r="T87" s="146"/>
      <c r="U87" s="146"/>
      <c r="V87" s="146"/>
      <c r="W87" s="146"/>
      <c r="X87" s="146"/>
      <c r="Y87" s="146"/>
      <c r="Z87" s="146"/>
    </row>
    <row r="88" spans="1:47" ht="15.95" customHeight="1">
      <c r="A88" s="19" t="s">
        <v>203</v>
      </c>
      <c r="C88" s="246"/>
      <c r="D88" s="146"/>
      <c r="E88" s="146"/>
      <c r="F88" s="146"/>
      <c r="G88" s="146"/>
      <c r="H88" s="146"/>
      <c r="I88" s="146"/>
      <c r="J88" s="448">
        <v>0</v>
      </c>
      <c r="K88" s="448">
        <v>0</v>
      </c>
      <c r="L88" s="448">
        <v>0</v>
      </c>
      <c r="M88" s="448">
        <v>0</v>
      </c>
      <c r="N88" s="448">
        <v>0</v>
      </c>
      <c r="O88" s="448">
        <v>0</v>
      </c>
      <c r="P88" s="448">
        <v>0</v>
      </c>
      <c r="Q88" s="448">
        <v>0</v>
      </c>
      <c r="R88" s="448">
        <v>0</v>
      </c>
      <c r="S88" s="448">
        <v>0</v>
      </c>
      <c r="T88" s="146"/>
      <c r="U88" s="146"/>
      <c r="V88" s="146"/>
      <c r="W88" s="146"/>
      <c r="X88" s="146"/>
      <c r="Y88" s="146"/>
      <c r="Z88" s="146"/>
    </row>
    <row r="89" spans="1:47" ht="15.95" customHeight="1">
      <c r="A89" s="19" t="s">
        <v>204</v>
      </c>
      <c r="C89" s="438"/>
      <c r="D89" s="146"/>
      <c r="E89" s="146"/>
      <c r="F89" s="146"/>
      <c r="G89" s="146"/>
      <c r="H89" s="146"/>
      <c r="I89" s="146"/>
      <c r="J89" s="448">
        <v>1</v>
      </c>
      <c r="K89" s="448">
        <v>1</v>
      </c>
      <c r="L89" s="448">
        <v>1</v>
      </c>
      <c r="M89" s="448">
        <v>1</v>
      </c>
      <c r="N89" s="448">
        <v>1</v>
      </c>
      <c r="O89" s="448">
        <v>1</v>
      </c>
      <c r="P89" s="448">
        <v>1</v>
      </c>
      <c r="Q89" s="448">
        <v>1</v>
      </c>
      <c r="R89" s="448">
        <v>1</v>
      </c>
      <c r="S89" s="448">
        <v>1</v>
      </c>
      <c r="T89" s="146"/>
      <c r="U89" s="146"/>
      <c r="V89" s="146"/>
      <c r="W89" s="146"/>
      <c r="X89" s="146"/>
      <c r="Y89" s="146"/>
      <c r="Z89" s="146"/>
    </row>
    <row r="90" spans="1:47" ht="15.95" customHeight="1">
      <c r="A90" s="19" t="s">
        <v>548</v>
      </c>
      <c r="C90" s="472"/>
      <c r="D90" s="450"/>
      <c r="E90" s="450"/>
      <c r="F90" s="450"/>
      <c r="G90" s="450"/>
      <c r="H90" s="450"/>
      <c r="I90" s="450"/>
      <c r="J90" s="169">
        <v>1</v>
      </c>
      <c r="K90" s="169">
        <v>1</v>
      </c>
      <c r="L90" s="169">
        <v>1</v>
      </c>
      <c r="M90" s="169">
        <v>1</v>
      </c>
      <c r="N90" s="169">
        <v>1</v>
      </c>
      <c r="O90" s="169">
        <v>1</v>
      </c>
      <c r="P90" s="169">
        <v>1</v>
      </c>
      <c r="Q90" s="169">
        <v>1</v>
      </c>
      <c r="R90" s="169">
        <v>1</v>
      </c>
      <c r="S90" s="169">
        <v>1</v>
      </c>
      <c r="T90" s="146"/>
      <c r="U90" s="146"/>
      <c r="V90" s="146"/>
      <c r="W90" s="146"/>
      <c r="X90" s="146"/>
      <c r="Y90" s="146"/>
      <c r="Z90" s="146"/>
    </row>
    <row r="91" spans="1:47" s="450" customFormat="1" ht="15.95" customHeight="1">
      <c r="A91" s="247" t="s">
        <v>205</v>
      </c>
      <c r="B91" s="242">
        <v>0</v>
      </c>
      <c r="J91" s="473">
        <f t="shared" ref="J91:S91" si="37">$B$91</f>
        <v>0</v>
      </c>
      <c r="K91" s="473">
        <f t="shared" si="37"/>
        <v>0</v>
      </c>
      <c r="L91" s="473">
        <f t="shared" si="37"/>
        <v>0</v>
      </c>
      <c r="M91" s="473">
        <f t="shared" si="37"/>
        <v>0</v>
      </c>
      <c r="N91" s="473">
        <f t="shared" si="37"/>
        <v>0</v>
      </c>
      <c r="O91" s="473">
        <f t="shared" si="37"/>
        <v>0</v>
      </c>
      <c r="P91" s="473">
        <f t="shared" si="37"/>
        <v>0</v>
      </c>
      <c r="Q91" s="473">
        <f t="shared" si="37"/>
        <v>0</v>
      </c>
      <c r="R91" s="473">
        <f t="shared" si="37"/>
        <v>0</v>
      </c>
      <c r="S91" s="473">
        <f t="shared" si="37"/>
        <v>0</v>
      </c>
    </row>
    <row r="92" spans="1:47" ht="15.95" customHeight="1">
      <c r="C92" s="2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</row>
    <row r="93" spans="1:47" ht="15.95" customHeight="1">
      <c r="A93" s="19" t="s">
        <v>206</v>
      </c>
      <c r="C93" s="246"/>
      <c r="D93" s="146"/>
      <c r="E93" s="146"/>
      <c r="F93" s="146"/>
      <c r="G93" s="146"/>
      <c r="H93" s="146"/>
      <c r="I93" s="146"/>
      <c r="J93" s="146">
        <f>J89*J87*J90</f>
        <v>0</v>
      </c>
      <c r="K93" s="146">
        <f t="shared" ref="K93:S93" si="38">K89*K87*K90</f>
        <v>0</v>
      </c>
      <c r="L93" s="146">
        <f t="shared" si="38"/>
        <v>0</v>
      </c>
      <c r="M93" s="146">
        <f t="shared" si="38"/>
        <v>0</v>
      </c>
      <c r="N93" s="146">
        <f t="shared" si="38"/>
        <v>0</v>
      </c>
      <c r="O93" s="146">
        <f t="shared" si="38"/>
        <v>0</v>
      </c>
      <c r="P93" s="146">
        <f t="shared" si="38"/>
        <v>0</v>
      </c>
      <c r="Q93" s="146">
        <f t="shared" si="38"/>
        <v>0</v>
      </c>
      <c r="R93" s="146">
        <f t="shared" si="38"/>
        <v>0</v>
      </c>
      <c r="S93" s="146">
        <f t="shared" si="38"/>
        <v>0</v>
      </c>
      <c r="T93" s="146"/>
      <c r="U93" s="146"/>
      <c r="V93" s="146"/>
      <c r="W93" s="146"/>
      <c r="X93" s="146"/>
      <c r="Y93" s="146"/>
      <c r="Z93" s="146"/>
    </row>
    <row r="94" spans="1:47" ht="15.95" customHeight="1">
      <c r="A94" s="19" t="s">
        <v>207</v>
      </c>
      <c r="C94" s="246"/>
      <c r="D94" s="146"/>
      <c r="E94" s="146"/>
      <c r="F94" s="146"/>
      <c r="G94" s="146"/>
      <c r="H94" s="146"/>
      <c r="I94" s="146"/>
      <c r="J94" s="146">
        <f>J87*J88*J90*(1-J91)-J93</f>
        <v>0</v>
      </c>
      <c r="K94" s="146">
        <f>K87*K88*K90*(1-K91)-K93</f>
        <v>0</v>
      </c>
      <c r="L94" s="146">
        <f t="shared" ref="L94:S94" si="39">L87*L88*L90*(1-L91)-L93</f>
        <v>0</v>
      </c>
      <c r="M94" s="146">
        <f t="shared" si="39"/>
        <v>0</v>
      </c>
      <c r="N94" s="146">
        <f t="shared" si="39"/>
        <v>0</v>
      </c>
      <c r="O94" s="146">
        <f t="shared" si="39"/>
        <v>0</v>
      </c>
      <c r="P94" s="146">
        <f t="shared" si="39"/>
        <v>0</v>
      </c>
      <c r="Q94" s="146">
        <f t="shared" si="39"/>
        <v>0</v>
      </c>
      <c r="R94" s="146">
        <f t="shared" si="39"/>
        <v>0</v>
      </c>
      <c r="S94" s="146">
        <f t="shared" si="39"/>
        <v>0</v>
      </c>
      <c r="T94" s="146"/>
      <c r="U94" s="146"/>
      <c r="V94" s="146"/>
      <c r="W94" s="146"/>
      <c r="X94" s="146"/>
      <c r="Y94" s="146"/>
      <c r="Z94" s="146"/>
    </row>
    <row r="95" spans="1:47" ht="15.95" customHeight="1">
      <c r="C95" s="2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</row>
    <row r="96" spans="1:47" ht="15.95" customHeight="1">
      <c r="A96" s="19" t="s">
        <v>208</v>
      </c>
      <c r="C96" s="2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</row>
    <row r="97" spans="1:28" ht="15.95" customHeight="1">
      <c r="A97" s="19" t="s">
        <v>209</v>
      </c>
      <c r="C97" s="246"/>
      <c r="D97" s="146"/>
      <c r="E97" s="146"/>
      <c r="F97" s="146"/>
      <c r="G97" s="146"/>
      <c r="H97" s="146"/>
      <c r="I97" s="146"/>
      <c r="J97" s="448">
        <v>0</v>
      </c>
      <c r="K97" s="448">
        <v>0</v>
      </c>
      <c r="L97" s="448">
        <v>0</v>
      </c>
      <c r="M97" s="448">
        <v>0</v>
      </c>
      <c r="N97" s="448">
        <v>0</v>
      </c>
      <c r="O97" s="448">
        <v>0</v>
      </c>
      <c r="P97" s="448">
        <v>0</v>
      </c>
      <c r="Q97" s="448">
        <v>0</v>
      </c>
      <c r="R97" s="448">
        <v>0</v>
      </c>
      <c r="S97" s="448">
        <v>0</v>
      </c>
      <c r="T97" s="146"/>
      <c r="U97" s="146"/>
      <c r="V97" s="146"/>
      <c r="W97" s="146"/>
      <c r="X97" s="146"/>
      <c r="Y97" s="146"/>
      <c r="Z97" s="146"/>
    </row>
    <row r="98" spans="1:28" ht="15.95" customHeight="1">
      <c r="A98" s="19" t="s">
        <v>210</v>
      </c>
      <c r="B98" s="239"/>
      <c r="C98" s="246"/>
      <c r="D98" s="252">
        <f>SUM(财务基础数据!L131:'财务基础数据'!O131)*目录!$D$6</f>
        <v>0</v>
      </c>
      <c r="E98" s="252">
        <f>SUM(财务基础数据!P131:'财务基础数据'!S131)*目录!$D$6</f>
        <v>0</v>
      </c>
      <c r="F98" s="252">
        <f>SUM(财务基础数据!T131:'财务基础数据'!W131)*目录!$D$6</f>
        <v>0</v>
      </c>
      <c r="G98" s="474">
        <f>财务基础数据!X131*目录!$D$6</f>
        <v>0</v>
      </c>
      <c r="H98" s="474">
        <f>财务基础数据!Y131*目录!$D$6</f>
        <v>0</v>
      </c>
      <c r="I98" s="474">
        <f>财务基础数据!Z131*目录!$D$6</f>
        <v>0</v>
      </c>
      <c r="J98" s="252">
        <f>SUM(G98:I98)+财务基础数据!AA131*目录!$D$6</f>
        <v>0</v>
      </c>
      <c r="K98" s="252">
        <f>SUM(财务基础数据!AB131:AE131)*目录!$D$6</f>
        <v>0</v>
      </c>
      <c r="L98" s="252">
        <f>IF(ISERROR(L100*目录!$F$7/0.000001*目录!$D$6),0,L100*目录!$F$7/0.000001*目录!$D$6)</f>
        <v>0</v>
      </c>
      <c r="M98" s="252">
        <f>IF(ISERROR(M100*目录!$F$7/0.000001*目录!$D$6),0,M100*目录!$F$7/0.000001*目录!$D$6)</f>
        <v>0</v>
      </c>
      <c r="N98" s="252">
        <f>IF(ISERROR(N100*目录!$F$7/0.000001*目录!$D$6),0,N100*目录!$F$7/0.000001*目录!$D$6)</f>
        <v>0</v>
      </c>
      <c r="O98" s="252">
        <f>IF(ISERROR(O100*目录!$F$7/0.000001*目录!$D$6),0,O100*目录!$F$7/0.000001*目录!$D$6)</f>
        <v>0</v>
      </c>
      <c r="P98" s="252">
        <f>IF(ISERROR(P100*目录!$F$7/0.000001*目录!$D$6),0,P100*目录!$F$7/0.000001*目录!$D$6)</f>
        <v>0</v>
      </c>
      <c r="Q98" s="252">
        <f>IF(ISERROR(Q100*目录!$F$7/0.000001*目录!$D$6),0,Q100*目录!$F$7/0.000001*目录!$D$6)</f>
        <v>0</v>
      </c>
      <c r="R98" s="252">
        <f>IF(ISERROR(R100*目录!$F$7/0.000001*目录!$D$6),0,R100*目录!$F$7/0.000001*目录!$D$6)</f>
        <v>0</v>
      </c>
      <c r="S98" s="252">
        <f>IF(ISERROR(S100*目录!$F$7/0.000001*目录!$D$6),0,S100*目录!$F$7/0.000001*目录!$D$6)</f>
        <v>0</v>
      </c>
      <c r="T98" s="75"/>
      <c r="U98" s="146"/>
      <c r="V98" s="146"/>
      <c r="W98" s="146"/>
      <c r="X98" s="146"/>
      <c r="Y98" s="146"/>
      <c r="Z98" s="146"/>
    </row>
    <row r="99" spans="1:28" ht="17.25" customHeight="1">
      <c r="A99" s="475" t="s">
        <v>211</v>
      </c>
      <c r="C99" s="246"/>
      <c r="D99" s="248" t="str">
        <f>IF(ISERROR(D98/利润表!O29),"—",D98/利润表!O29)</f>
        <v>—</v>
      </c>
      <c r="E99" s="248" t="str">
        <f>IF(ISERROR(E98/利润表!S29),"—",E98/利润表!S29)</f>
        <v>—</v>
      </c>
      <c r="F99" s="248" t="str">
        <f>IF(ISERROR(F98/利润表!W29),"—",F98/利润表!W29)</f>
        <v>—</v>
      </c>
      <c r="G99" s="249"/>
      <c r="H99" s="249"/>
      <c r="I99" s="249"/>
      <c r="J99" s="253">
        <f>IF(ISERROR(J98/利润表!AA29),0,J98/利润表!AA29)</f>
        <v>0</v>
      </c>
      <c r="K99" s="253">
        <f>IF(ISERROR(K98/利润表!AB29),0,K98/利润表!AB29)</f>
        <v>0</v>
      </c>
      <c r="L99" s="253">
        <f>IF(ISERROR(L98/利润表!AC29),0,L98/利润表!AC29)</f>
        <v>0</v>
      </c>
      <c r="M99" s="253">
        <f>IF(ISERROR(M98/利润表!AD29),0,M98/利润表!AD29)</f>
        <v>0</v>
      </c>
      <c r="N99" s="253">
        <f>IF(ISERROR(N98/利润表!AE29),0,N98/利润表!AE29)</f>
        <v>0</v>
      </c>
      <c r="O99" s="253">
        <f>IF(ISERROR(O98/利润表!AF29),0,O98/利润表!AF29)</f>
        <v>0</v>
      </c>
      <c r="P99" s="253">
        <f>IF(ISERROR(P98/利润表!AG29),0,P98/利润表!AG29)</f>
        <v>0</v>
      </c>
      <c r="Q99" s="253">
        <f>IF(ISERROR(Q98/利润表!AH29),0,Q98/利润表!AH29)</f>
        <v>0</v>
      </c>
      <c r="R99" s="253">
        <f>IF(ISERROR(R98/利润表!AI29),0,R98/利润表!AI29)</f>
        <v>0</v>
      </c>
      <c r="S99" s="253">
        <f>IF(ISERROR(S98/利润表!AJ29),0,S98/利润表!AJ29)</f>
        <v>0</v>
      </c>
      <c r="T99" s="248" t="s">
        <v>212</v>
      </c>
      <c r="U99" s="146"/>
      <c r="V99" s="146"/>
      <c r="W99" s="146"/>
      <c r="X99" s="146"/>
      <c r="Y99" s="146"/>
      <c r="Z99" s="146"/>
    </row>
    <row r="100" spans="1:28" ht="15.95" customHeight="1">
      <c r="A100" s="19" t="s">
        <v>46</v>
      </c>
      <c r="C100" s="246"/>
      <c r="D100" s="146">
        <f>SUM(财务基础数据!L130:O130)</f>
        <v>0</v>
      </c>
      <c r="E100" s="146">
        <f>SUM(财务基础数据!P130:S130)</f>
        <v>0</v>
      </c>
      <c r="F100" s="146">
        <f>SUM(财务基础数据!T130:W130)</f>
        <v>0</v>
      </c>
      <c r="G100" s="146">
        <f>财务基础数据!X130</f>
        <v>0</v>
      </c>
      <c r="H100" s="146">
        <f>财务基础数据!Y130</f>
        <v>0</v>
      </c>
      <c r="I100" s="146">
        <f>财务基础数据!Z130</f>
        <v>0</v>
      </c>
      <c r="J100" s="252">
        <f>SUM(G100:I100)+财务基础数据!AA130</f>
        <v>0</v>
      </c>
      <c r="K100" s="252">
        <f>SUM(财务基础数据!AB130:AE130)</f>
        <v>0</v>
      </c>
      <c r="L100" s="254">
        <v>0</v>
      </c>
      <c r="M100" s="254">
        <v>0</v>
      </c>
      <c r="N100" s="254">
        <v>0</v>
      </c>
      <c r="O100" s="254">
        <v>0</v>
      </c>
      <c r="P100" s="254">
        <v>0</v>
      </c>
      <c r="Q100" s="254">
        <v>0</v>
      </c>
      <c r="R100" s="254">
        <v>0</v>
      </c>
      <c r="S100" s="254">
        <v>0</v>
      </c>
      <c r="T100" s="146"/>
      <c r="U100" s="146"/>
      <c r="V100" s="146"/>
      <c r="W100" s="146"/>
      <c r="X100" s="146"/>
      <c r="Y100" s="146"/>
      <c r="Z100" s="146"/>
    </row>
    <row r="101" spans="1:28" ht="15.95" customHeight="1">
      <c r="C101" s="246"/>
      <c r="D101" s="146"/>
      <c r="E101" s="146"/>
      <c r="F101" s="146"/>
      <c r="G101" s="146"/>
      <c r="H101" s="146"/>
      <c r="I101" s="146"/>
      <c r="J101" s="476"/>
      <c r="K101" s="476"/>
      <c r="L101" s="476"/>
      <c r="M101" s="476"/>
      <c r="N101" s="476"/>
      <c r="O101" s="476"/>
      <c r="P101" s="476"/>
      <c r="Q101" s="476"/>
      <c r="R101" s="476"/>
      <c r="S101" s="476"/>
      <c r="T101" s="146"/>
      <c r="U101" s="146"/>
      <c r="V101" s="146"/>
      <c r="W101" s="146"/>
      <c r="X101" s="146"/>
      <c r="Y101" s="146"/>
      <c r="Z101" s="146"/>
    </row>
    <row r="102" spans="1:28" ht="15.95" customHeight="1">
      <c r="A102" s="19" t="s">
        <v>206</v>
      </c>
      <c r="C102" s="246"/>
      <c r="D102" s="146"/>
      <c r="E102" s="146"/>
      <c r="F102" s="146"/>
      <c r="G102" s="146"/>
      <c r="H102" s="146"/>
      <c r="I102" s="146"/>
      <c r="J102" s="146">
        <f>J97*J89*J90</f>
        <v>0</v>
      </c>
      <c r="K102" s="146">
        <f t="shared" ref="K102:S102" si="40">K97*K89*K90</f>
        <v>0</v>
      </c>
      <c r="L102" s="146">
        <f t="shared" si="40"/>
        <v>0</v>
      </c>
      <c r="M102" s="146">
        <f t="shared" si="40"/>
        <v>0</v>
      </c>
      <c r="N102" s="146">
        <f t="shared" si="40"/>
        <v>0</v>
      </c>
      <c r="O102" s="146">
        <f t="shared" si="40"/>
        <v>0</v>
      </c>
      <c r="P102" s="146">
        <f t="shared" si="40"/>
        <v>0</v>
      </c>
      <c r="Q102" s="146">
        <f t="shared" si="40"/>
        <v>0</v>
      </c>
      <c r="R102" s="146">
        <f t="shared" si="40"/>
        <v>0</v>
      </c>
      <c r="S102" s="146">
        <f t="shared" si="40"/>
        <v>0</v>
      </c>
      <c r="T102" s="146"/>
      <c r="U102" s="146"/>
      <c r="V102" s="146"/>
      <c r="W102" s="146"/>
      <c r="X102" s="146"/>
      <c r="Y102" s="146"/>
      <c r="Z102" s="146"/>
    </row>
    <row r="103" spans="1:28" ht="15.95" customHeight="1">
      <c r="A103" s="19" t="s">
        <v>207</v>
      </c>
      <c r="C103" s="246"/>
      <c r="D103" s="146"/>
      <c r="E103" s="146"/>
      <c r="F103" s="146"/>
      <c r="G103" s="146"/>
      <c r="H103" s="146"/>
      <c r="I103" s="146"/>
      <c r="J103" s="75">
        <f>-J98-J102</f>
        <v>0</v>
      </c>
      <c r="K103" s="75">
        <f t="shared" ref="K103:S103" si="41">-K98-K102</f>
        <v>0</v>
      </c>
      <c r="L103" s="75">
        <f t="shared" si="41"/>
        <v>0</v>
      </c>
      <c r="M103" s="75">
        <f t="shared" si="41"/>
        <v>0</v>
      </c>
      <c r="N103" s="75">
        <f t="shared" si="41"/>
        <v>0</v>
      </c>
      <c r="O103" s="75">
        <f t="shared" si="41"/>
        <v>0</v>
      </c>
      <c r="P103" s="75">
        <f t="shared" si="41"/>
        <v>0</v>
      </c>
      <c r="Q103" s="75">
        <f t="shared" si="41"/>
        <v>0</v>
      </c>
      <c r="R103" s="75">
        <f t="shared" si="41"/>
        <v>0</v>
      </c>
      <c r="S103" s="75">
        <f t="shared" si="41"/>
        <v>0</v>
      </c>
      <c r="T103" s="75"/>
      <c r="U103" s="146"/>
      <c r="V103" s="146"/>
      <c r="W103" s="146"/>
      <c r="X103" s="146"/>
      <c r="Y103" s="146"/>
      <c r="Z103" s="146"/>
    </row>
    <row r="104" spans="1:28" ht="15.95" customHeight="1">
      <c r="A104" s="60"/>
      <c r="C104" s="2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</row>
    <row r="105" spans="1:28" s="442" customFormat="1" ht="15.95" customHeight="1">
      <c r="A105" s="19" t="s">
        <v>213</v>
      </c>
      <c r="B105" s="197"/>
      <c r="C105" s="2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450"/>
      <c r="U105" s="450"/>
      <c r="V105" s="450"/>
      <c r="W105" s="450"/>
      <c r="X105" s="450"/>
      <c r="Y105" s="450"/>
      <c r="Z105" s="450"/>
      <c r="AA105" s="450"/>
      <c r="AB105" s="450"/>
    </row>
    <row r="106" spans="1:28" s="442" customFormat="1" ht="15.95" customHeight="1">
      <c r="A106" s="19" t="s">
        <v>214</v>
      </c>
      <c r="B106" s="197"/>
      <c r="C106" s="2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450"/>
      <c r="U106" s="450"/>
      <c r="V106" s="450"/>
      <c r="W106" s="450"/>
      <c r="X106" s="450"/>
      <c r="Y106" s="450"/>
      <c r="Z106" s="450"/>
      <c r="AA106" s="450"/>
      <c r="AB106" s="450"/>
    </row>
    <row r="107" spans="1:28" s="442" customFormat="1" ht="15.95" customHeight="1">
      <c r="A107" s="60" t="s">
        <v>140</v>
      </c>
      <c r="B107" s="197"/>
      <c r="C107" s="246"/>
      <c r="D107" s="477"/>
      <c r="E107" s="477"/>
      <c r="F107" s="477"/>
      <c r="G107" s="477"/>
      <c r="H107" s="477"/>
      <c r="I107" s="477"/>
      <c r="J107" s="448">
        <v>0</v>
      </c>
      <c r="K107" s="448">
        <v>0</v>
      </c>
      <c r="L107" s="448">
        <v>0</v>
      </c>
      <c r="M107" s="478"/>
      <c r="N107" s="478"/>
      <c r="O107" s="478"/>
      <c r="P107" s="478"/>
      <c r="Q107" s="478"/>
      <c r="R107" s="478"/>
      <c r="S107" s="478"/>
      <c r="T107" s="450"/>
      <c r="U107" s="450"/>
      <c r="V107" s="450"/>
      <c r="W107" s="450"/>
      <c r="X107" s="450"/>
      <c r="Y107" s="450"/>
      <c r="Z107" s="450"/>
      <c r="AA107" s="450"/>
      <c r="AB107" s="450"/>
    </row>
    <row r="108" spans="1:28" s="442" customFormat="1" ht="15.95" customHeight="1">
      <c r="A108" s="60" t="s">
        <v>149</v>
      </c>
      <c r="B108" s="197"/>
      <c r="C108" s="246"/>
      <c r="D108" s="477"/>
      <c r="E108" s="477"/>
      <c r="F108" s="477"/>
      <c r="G108" s="477"/>
      <c r="H108" s="477"/>
      <c r="I108" s="477"/>
      <c r="J108" s="448">
        <v>0</v>
      </c>
      <c r="K108" s="448">
        <v>0</v>
      </c>
      <c r="L108" s="448">
        <v>0</v>
      </c>
      <c r="M108" s="478"/>
      <c r="N108" s="478"/>
      <c r="O108" s="478"/>
      <c r="P108" s="478"/>
      <c r="Q108" s="478"/>
      <c r="R108" s="478"/>
      <c r="S108" s="478"/>
      <c r="T108" s="450"/>
      <c r="U108" s="450"/>
      <c r="V108" s="450"/>
      <c r="W108" s="450"/>
      <c r="X108" s="450"/>
      <c r="Y108" s="450"/>
      <c r="Z108" s="450"/>
      <c r="AA108" s="450"/>
      <c r="AB108" s="450"/>
    </row>
    <row r="109" spans="1:28" s="442" customFormat="1" ht="15.95" customHeight="1">
      <c r="A109" s="60" t="s">
        <v>215</v>
      </c>
      <c r="B109" s="197"/>
      <c r="C109" s="246"/>
      <c r="D109" s="477"/>
      <c r="E109" s="477"/>
      <c r="F109" s="477"/>
      <c r="G109" s="477"/>
      <c r="H109" s="477"/>
      <c r="I109" s="477"/>
      <c r="J109" s="448">
        <v>0</v>
      </c>
      <c r="K109" s="448">
        <v>0</v>
      </c>
      <c r="L109" s="448">
        <v>0</v>
      </c>
      <c r="M109" s="478"/>
      <c r="N109" s="478"/>
      <c r="O109" s="478"/>
      <c r="P109" s="478"/>
      <c r="Q109" s="478"/>
      <c r="R109" s="478"/>
      <c r="S109" s="478"/>
      <c r="T109" s="450"/>
      <c r="U109" s="450"/>
      <c r="V109" s="450"/>
      <c r="W109" s="450"/>
      <c r="X109" s="450"/>
      <c r="Y109" s="450"/>
      <c r="Z109" s="450"/>
      <c r="AA109" s="450"/>
      <c r="AB109" s="450"/>
    </row>
    <row r="110" spans="1:28" s="442" customFormat="1" ht="15.95" customHeight="1">
      <c r="A110" s="19" t="s">
        <v>216</v>
      </c>
      <c r="B110" s="197"/>
      <c r="C110" s="246"/>
      <c r="D110" s="477"/>
      <c r="E110" s="477"/>
      <c r="F110" s="477"/>
      <c r="G110" s="477"/>
      <c r="H110" s="477"/>
      <c r="I110" s="477"/>
      <c r="J110" s="448">
        <v>0</v>
      </c>
      <c r="K110" s="448">
        <v>0</v>
      </c>
      <c r="L110" s="448">
        <v>0</v>
      </c>
      <c r="M110" s="478"/>
      <c r="N110" s="478"/>
      <c r="O110" s="478"/>
      <c r="P110" s="478"/>
      <c r="Q110" s="478"/>
      <c r="R110" s="478"/>
      <c r="S110" s="478"/>
      <c r="T110" s="450"/>
      <c r="U110" s="450"/>
      <c r="V110" s="450"/>
      <c r="W110" s="450"/>
      <c r="X110" s="450"/>
      <c r="Y110" s="450"/>
      <c r="Z110" s="450"/>
      <c r="AA110" s="450"/>
      <c r="AB110" s="450"/>
    </row>
    <row r="111" spans="1:28" ht="15.95" customHeight="1">
      <c r="A111" s="60" t="s">
        <v>217</v>
      </c>
      <c r="B111" s="197"/>
      <c r="C111" s="442"/>
      <c r="D111" s="442"/>
      <c r="E111" s="442"/>
      <c r="F111" s="442"/>
      <c r="G111" s="442"/>
      <c r="H111" s="442"/>
      <c r="I111" s="442"/>
      <c r="J111" s="479">
        <v>0</v>
      </c>
      <c r="K111" s="479">
        <v>0</v>
      </c>
      <c r="L111" s="479">
        <v>0</v>
      </c>
      <c r="M111" s="479">
        <v>0</v>
      </c>
      <c r="N111" s="479">
        <v>0</v>
      </c>
      <c r="O111" s="479">
        <v>0</v>
      </c>
      <c r="P111" s="479">
        <v>0</v>
      </c>
      <c r="Q111" s="479">
        <v>0</v>
      </c>
      <c r="R111" s="479">
        <v>0</v>
      </c>
      <c r="S111" s="479">
        <v>0</v>
      </c>
      <c r="T111" s="452"/>
      <c r="U111" s="452"/>
      <c r="V111" s="452"/>
      <c r="W111" s="452"/>
      <c r="X111" s="452"/>
      <c r="Y111" s="452"/>
      <c r="Z111" s="452"/>
      <c r="AA111" s="452"/>
      <c r="AB111" s="452"/>
    </row>
    <row r="112" spans="1:28" ht="15.95" customHeight="1">
      <c r="A112" s="60"/>
      <c r="C112" s="2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</row>
    <row r="113" spans="1:28" s="442" customFormat="1" ht="15.95" customHeight="1">
      <c r="A113" s="19" t="s">
        <v>218</v>
      </c>
      <c r="B113" s="239"/>
      <c r="C113" s="480"/>
      <c r="D113" s="477"/>
      <c r="E113" s="477"/>
      <c r="F113" s="477"/>
      <c r="G113" s="477"/>
      <c r="H113" s="477"/>
      <c r="I113" s="477"/>
      <c r="J113" s="450"/>
      <c r="K113" s="477"/>
      <c r="L113" s="477"/>
      <c r="M113" s="450"/>
      <c r="N113" s="477"/>
      <c r="O113" s="477"/>
      <c r="P113" s="450"/>
      <c r="Q113" s="477"/>
      <c r="R113" s="477"/>
      <c r="S113" s="450"/>
      <c r="T113" s="450"/>
      <c r="U113" s="450"/>
      <c r="V113" s="450"/>
      <c r="W113" s="450"/>
      <c r="X113" s="450"/>
      <c r="Y113" s="450"/>
      <c r="Z113" s="450"/>
      <c r="AA113" s="450"/>
      <c r="AB113" s="450"/>
    </row>
    <row r="114" spans="1:28" s="442" customFormat="1" ht="15.95" customHeight="1">
      <c r="A114" s="19" t="s">
        <v>219</v>
      </c>
      <c r="B114" s="197"/>
      <c r="C114" s="246"/>
      <c r="D114" s="146">
        <f>资产负债表!K35</f>
        <v>0</v>
      </c>
      <c r="E114" s="146">
        <f>D117</f>
        <v>0</v>
      </c>
      <c r="F114" s="146">
        <f>E117</f>
        <v>0</v>
      </c>
      <c r="G114" s="146">
        <f>F117</f>
        <v>0</v>
      </c>
      <c r="H114" s="146">
        <f>G117</f>
        <v>0</v>
      </c>
      <c r="I114" s="146">
        <f>H117</f>
        <v>0</v>
      </c>
      <c r="J114" s="146">
        <f>F117</f>
        <v>0</v>
      </c>
      <c r="K114" s="146">
        <f t="shared" ref="K114:S114" si="42">J117</f>
        <v>0</v>
      </c>
      <c r="L114" s="146">
        <f t="shared" si="42"/>
        <v>0</v>
      </c>
      <c r="M114" s="146">
        <f t="shared" si="42"/>
        <v>0</v>
      </c>
      <c r="N114" s="146">
        <f t="shared" si="42"/>
        <v>0</v>
      </c>
      <c r="O114" s="146">
        <f t="shared" si="42"/>
        <v>0</v>
      </c>
      <c r="P114" s="146">
        <f t="shared" si="42"/>
        <v>0</v>
      </c>
      <c r="Q114" s="146">
        <f t="shared" si="42"/>
        <v>0</v>
      </c>
      <c r="R114" s="146">
        <f t="shared" si="42"/>
        <v>0</v>
      </c>
      <c r="S114" s="146">
        <f t="shared" si="42"/>
        <v>0</v>
      </c>
      <c r="T114" s="450"/>
      <c r="U114" s="450"/>
      <c r="V114" s="450"/>
      <c r="W114" s="450"/>
      <c r="X114" s="450"/>
      <c r="Y114" s="450"/>
      <c r="Z114" s="450"/>
      <c r="AA114" s="450"/>
      <c r="AB114" s="450"/>
    </row>
    <row r="115" spans="1:28" s="442" customFormat="1" ht="15.95" customHeight="1">
      <c r="A115" s="60" t="s">
        <v>220</v>
      </c>
      <c r="B115" s="195"/>
      <c r="C115" s="246"/>
      <c r="D115" s="146">
        <f t="shared" ref="D115:F115" si="43">D117-D114</f>
        <v>0</v>
      </c>
      <c r="E115" s="146">
        <f t="shared" si="43"/>
        <v>0</v>
      </c>
      <c r="F115" s="146">
        <f t="shared" si="43"/>
        <v>0</v>
      </c>
      <c r="G115" s="146">
        <f>IF(财务基础数据!$W$2=0,0,G117-F117)</f>
        <v>0</v>
      </c>
      <c r="H115" s="146">
        <f>IF(财务基础数据!$W$2&lt;=1,0,H117-G117)</f>
        <v>0</v>
      </c>
      <c r="I115" s="146">
        <f>IF(财务基础数据!$W$2&lt;=2,0,I117-H117)</f>
        <v>0</v>
      </c>
      <c r="J115" s="448">
        <v>0</v>
      </c>
      <c r="K115" s="448">
        <v>0</v>
      </c>
      <c r="L115" s="448">
        <v>0</v>
      </c>
      <c r="M115" s="448">
        <v>0</v>
      </c>
      <c r="N115" s="448">
        <v>0</v>
      </c>
      <c r="O115" s="448">
        <v>0</v>
      </c>
      <c r="P115" s="448">
        <v>0</v>
      </c>
      <c r="Q115" s="448">
        <v>0</v>
      </c>
      <c r="R115" s="448">
        <v>0</v>
      </c>
      <c r="S115" s="448">
        <v>0</v>
      </c>
      <c r="T115" s="450"/>
      <c r="U115" s="450"/>
      <c r="V115" s="450"/>
      <c r="W115" s="450"/>
      <c r="X115" s="450"/>
      <c r="Y115" s="450"/>
      <c r="Z115" s="450"/>
      <c r="AA115" s="450"/>
      <c r="AB115" s="450"/>
    </row>
    <row r="116" spans="1:28" s="442" customFormat="1" ht="15.95" customHeight="1">
      <c r="A116" s="60" t="s">
        <v>221</v>
      </c>
      <c r="B116" s="195"/>
      <c r="C116" s="246"/>
      <c r="D116" s="146"/>
      <c r="E116" s="146"/>
      <c r="F116" s="146"/>
      <c r="G116" s="146"/>
      <c r="H116" s="146"/>
      <c r="I116" s="146"/>
      <c r="J116" s="448">
        <v>0</v>
      </c>
      <c r="K116" s="448">
        <v>0</v>
      </c>
      <c r="L116" s="448">
        <v>0</v>
      </c>
      <c r="M116" s="448">
        <v>0</v>
      </c>
      <c r="N116" s="448">
        <v>0</v>
      </c>
      <c r="O116" s="448">
        <v>0</v>
      </c>
      <c r="P116" s="448">
        <v>0</v>
      </c>
      <c r="Q116" s="448">
        <v>0</v>
      </c>
      <c r="R116" s="448">
        <v>0</v>
      </c>
      <c r="S116" s="448">
        <v>0</v>
      </c>
      <c r="T116" s="450"/>
      <c r="U116" s="450"/>
      <c r="V116" s="450"/>
      <c r="W116" s="450"/>
      <c r="X116" s="450"/>
      <c r="Y116" s="450"/>
      <c r="Z116" s="450"/>
      <c r="AA116" s="450"/>
      <c r="AB116" s="450"/>
    </row>
    <row r="117" spans="1:28" s="442" customFormat="1" ht="15.95" customHeight="1">
      <c r="A117" s="19" t="s">
        <v>222</v>
      </c>
      <c r="B117" s="197"/>
      <c r="C117" s="246"/>
      <c r="D117" s="146">
        <f>资产负债表!O35</f>
        <v>0</v>
      </c>
      <c r="E117" s="146">
        <f>资产负债表!S35</f>
        <v>0</v>
      </c>
      <c r="F117" s="146">
        <f>资产负债表!W35</f>
        <v>0</v>
      </c>
      <c r="G117" s="146">
        <f>资产负债表!X35</f>
        <v>0</v>
      </c>
      <c r="H117" s="146">
        <f>资产负债表!Y35</f>
        <v>0</v>
      </c>
      <c r="I117" s="146">
        <f>资产负债表!Z35</f>
        <v>0</v>
      </c>
      <c r="J117" s="146">
        <f t="shared" ref="J117:S117" si="44">J114+J115+J116</f>
        <v>0</v>
      </c>
      <c r="K117" s="146">
        <f t="shared" si="44"/>
        <v>0</v>
      </c>
      <c r="L117" s="146">
        <f t="shared" si="44"/>
        <v>0</v>
      </c>
      <c r="M117" s="146">
        <f t="shared" si="44"/>
        <v>0</v>
      </c>
      <c r="N117" s="146">
        <f t="shared" si="44"/>
        <v>0</v>
      </c>
      <c r="O117" s="146">
        <f t="shared" si="44"/>
        <v>0</v>
      </c>
      <c r="P117" s="146">
        <f t="shared" si="44"/>
        <v>0</v>
      </c>
      <c r="Q117" s="146">
        <f t="shared" si="44"/>
        <v>0</v>
      </c>
      <c r="R117" s="146">
        <f t="shared" si="44"/>
        <v>0</v>
      </c>
      <c r="S117" s="146">
        <f t="shared" si="44"/>
        <v>0</v>
      </c>
      <c r="T117" s="450"/>
      <c r="U117" s="450"/>
      <c r="V117" s="450"/>
      <c r="W117" s="450"/>
      <c r="X117" s="450"/>
      <c r="Y117" s="450"/>
      <c r="Z117" s="450"/>
      <c r="AA117" s="450"/>
      <c r="AB117" s="450"/>
    </row>
    <row r="118" spans="1:28" s="442" customFormat="1" ht="15.95" customHeight="1">
      <c r="A118" s="247" t="s">
        <v>223</v>
      </c>
      <c r="B118" s="250">
        <v>0</v>
      </c>
      <c r="D118" s="477"/>
      <c r="E118" s="477"/>
      <c r="F118" s="477"/>
      <c r="G118" s="477"/>
      <c r="H118" s="477"/>
      <c r="I118" s="477"/>
      <c r="J118" s="250">
        <f t="shared" ref="J118:S118" si="45">$B$118</f>
        <v>0</v>
      </c>
      <c r="K118" s="250">
        <f t="shared" si="45"/>
        <v>0</v>
      </c>
      <c r="L118" s="250">
        <f t="shared" si="45"/>
        <v>0</v>
      </c>
      <c r="M118" s="250">
        <f t="shared" si="45"/>
        <v>0</v>
      </c>
      <c r="N118" s="250">
        <f t="shared" si="45"/>
        <v>0</v>
      </c>
      <c r="O118" s="250">
        <f t="shared" si="45"/>
        <v>0</v>
      </c>
      <c r="P118" s="250">
        <f t="shared" si="45"/>
        <v>0</v>
      </c>
      <c r="Q118" s="250">
        <f t="shared" si="45"/>
        <v>0</v>
      </c>
      <c r="R118" s="250">
        <f t="shared" si="45"/>
        <v>0</v>
      </c>
      <c r="S118" s="250">
        <f t="shared" si="45"/>
        <v>0</v>
      </c>
      <c r="T118" s="450"/>
      <c r="U118" s="450"/>
      <c r="V118" s="450"/>
      <c r="W118" s="450"/>
      <c r="X118" s="450"/>
      <c r="Y118" s="450"/>
      <c r="Z118" s="450"/>
      <c r="AA118" s="450"/>
      <c r="AB118" s="450"/>
    </row>
    <row r="119" spans="1:28" s="442" customFormat="1" ht="15.95" customHeight="1">
      <c r="A119" s="19" t="s">
        <v>224</v>
      </c>
      <c r="B119" s="197"/>
      <c r="C119" s="246"/>
      <c r="D119" s="146"/>
      <c r="E119" s="146"/>
      <c r="F119" s="146"/>
      <c r="G119" s="146"/>
      <c r="H119" s="146"/>
      <c r="I119" s="146"/>
      <c r="J119" s="146">
        <f t="shared" ref="J119:S119" si="46">IF(ISERROR(J114*J118+(J115+J116)*J118*0.5),"—",J114*J118+(J115+J116)*J118*0.5)</f>
        <v>0</v>
      </c>
      <c r="K119" s="146">
        <f t="shared" si="46"/>
        <v>0</v>
      </c>
      <c r="L119" s="146">
        <f t="shared" si="46"/>
        <v>0</v>
      </c>
      <c r="M119" s="146">
        <f t="shared" si="46"/>
        <v>0</v>
      </c>
      <c r="N119" s="146">
        <f t="shared" si="46"/>
        <v>0</v>
      </c>
      <c r="O119" s="146">
        <f t="shared" si="46"/>
        <v>0</v>
      </c>
      <c r="P119" s="146">
        <f t="shared" si="46"/>
        <v>0</v>
      </c>
      <c r="Q119" s="146">
        <f t="shared" si="46"/>
        <v>0</v>
      </c>
      <c r="R119" s="146">
        <f t="shared" si="46"/>
        <v>0</v>
      </c>
      <c r="S119" s="146">
        <f t="shared" si="46"/>
        <v>0</v>
      </c>
      <c r="T119" s="450"/>
      <c r="U119" s="450"/>
      <c r="V119" s="450"/>
      <c r="W119" s="450"/>
      <c r="X119" s="450"/>
      <c r="Y119" s="450"/>
      <c r="Z119" s="450"/>
      <c r="AA119" s="450"/>
      <c r="AB119" s="450"/>
    </row>
    <row r="120" spans="1:28" s="442" customFormat="1" ht="15.95" customHeight="1">
      <c r="A120" s="19"/>
      <c r="B120" s="197"/>
      <c r="C120" s="2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450"/>
      <c r="U120" s="450"/>
      <c r="V120" s="450"/>
      <c r="W120" s="450"/>
      <c r="X120" s="450"/>
      <c r="Y120" s="450"/>
      <c r="Z120" s="450"/>
      <c r="AA120" s="450"/>
      <c r="AB120" s="450"/>
    </row>
    <row r="121" spans="1:28" ht="15.95" customHeight="1">
      <c r="A121" s="19" t="s">
        <v>225</v>
      </c>
    </row>
    <row r="122" spans="1:28" s="442" customFormat="1" ht="15.95" customHeight="1">
      <c r="A122" s="19" t="s">
        <v>219</v>
      </c>
      <c r="B122" s="195"/>
      <c r="D122" s="481">
        <f>资产负债表!K31</f>
        <v>0</v>
      </c>
      <c r="E122" s="481">
        <f>D124</f>
        <v>0</v>
      </c>
      <c r="F122" s="481">
        <f>E124</f>
        <v>0</v>
      </c>
      <c r="G122" s="481">
        <f>F124</f>
        <v>0</v>
      </c>
      <c r="H122" s="481">
        <f>G124</f>
        <v>0</v>
      </c>
      <c r="I122" s="481">
        <f>H124</f>
        <v>0</v>
      </c>
      <c r="J122" s="481">
        <f>F124</f>
        <v>0</v>
      </c>
      <c r="K122" s="481">
        <f t="shared" ref="K122:S122" si="47">J124</f>
        <v>0</v>
      </c>
      <c r="L122" s="481">
        <f t="shared" si="47"/>
        <v>0</v>
      </c>
      <c r="M122" s="481">
        <f t="shared" si="47"/>
        <v>0</v>
      </c>
      <c r="N122" s="481">
        <f t="shared" si="47"/>
        <v>0</v>
      </c>
      <c r="O122" s="481">
        <f t="shared" si="47"/>
        <v>0</v>
      </c>
      <c r="P122" s="481">
        <f t="shared" si="47"/>
        <v>0</v>
      </c>
      <c r="Q122" s="481">
        <f t="shared" si="47"/>
        <v>0</v>
      </c>
      <c r="R122" s="481">
        <f t="shared" si="47"/>
        <v>0</v>
      </c>
      <c r="S122" s="481">
        <f t="shared" si="47"/>
        <v>0</v>
      </c>
      <c r="T122" s="450"/>
      <c r="U122" s="450"/>
      <c r="V122" s="450"/>
      <c r="W122" s="450"/>
      <c r="X122" s="450"/>
      <c r="Y122" s="450"/>
      <c r="Z122" s="450"/>
      <c r="AA122" s="450"/>
    </row>
    <row r="123" spans="1:28" s="442" customFormat="1" ht="15.95" customHeight="1">
      <c r="A123" s="60" t="s">
        <v>226</v>
      </c>
      <c r="B123" s="197"/>
      <c r="C123" s="438"/>
      <c r="D123" s="481">
        <f t="shared" ref="D123:F123" si="48">D124-D122</f>
        <v>0</v>
      </c>
      <c r="E123" s="481">
        <f t="shared" si="48"/>
        <v>0</v>
      </c>
      <c r="F123" s="481">
        <f t="shared" si="48"/>
        <v>0</v>
      </c>
      <c r="G123" s="146">
        <f>IF(财务基础数据!$W$2=0,0,G124-F124)</f>
        <v>0</v>
      </c>
      <c r="H123" s="146">
        <f>IF(财务基础数据!$W$2&lt;=1,0,H124-G124)</f>
        <v>0</v>
      </c>
      <c r="I123" s="146">
        <f>IF(财务基础数据!$W$2&lt;=2,0,I124-H124)</f>
        <v>0</v>
      </c>
      <c r="J123" s="478"/>
      <c r="K123" s="478"/>
      <c r="L123" s="478"/>
      <c r="M123" s="478"/>
      <c r="N123" s="478"/>
      <c r="O123" s="478"/>
      <c r="P123" s="478"/>
      <c r="Q123" s="478"/>
      <c r="R123" s="478"/>
      <c r="S123" s="478"/>
      <c r="T123" s="450"/>
      <c r="U123" s="450"/>
      <c r="V123" s="450"/>
      <c r="W123" s="450"/>
      <c r="X123" s="450"/>
      <c r="Y123" s="450"/>
      <c r="Z123" s="450"/>
      <c r="AA123" s="450"/>
      <c r="AB123" s="450"/>
    </row>
    <row r="124" spans="1:28" ht="15.95" customHeight="1">
      <c r="A124" s="19" t="s">
        <v>222</v>
      </c>
      <c r="C124" s="482"/>
      <c r="D124" s="481">
        <f>资产负债表!O31</f>
        <v>0</v>
      </c>
      <c r="E124" s="481">
        <f>资产负债表!S31</f>
        <v>0</v>
      </c>
      <c r="F124" s="481">
        <f>资产负债表!W31</f>
        <v>0</v>
      </c>
      <c r="G124" s="481">
        <f>资产负债表!X31</f>
        <v>0</v>
      </c>
      <c r="H124" s="481">
        <f>资产负债表!Y31</f>
        <v>0</v>
      </c>
      <c r="I124" s="481">
        <f>资产负债表!Z31</f>
        <v>0</v>
      </c>
      <c r="J124" s="481">
        <f>F124+J123</f>
        <v>0</v>
      </c>
      <c r="K124" s="481">
        <f t="shared" ref="K124:S124" si="49">J124+K123</f>
        <v>0</v>
      </c>
      <c r="L124" s="481">
        <f t="shared" si="49"/>
        <v>0</v>
      </c>
      <c r="M124" s="481">
        <f t="shared" si="49"/>
        <v>0</v>
      </c>
      <c r="N124" s="481">
        <f t="shared" si="49"/>
        <v>0</v>
      </c>
      <c r="O124" s="481">
        <f t="shared" si="49"/>
        <v>0</v>
      </c>
      <c r="P124" s="481">
        <f t="shared" si="49"/>
        <v>0</v>
      </c>
      <c r="Q124" s="481">
        <f t="shared" si="49"/>
        <v>0</v>
      </c>
      <c r="R124" s="481">
        <f t="shared" si="49"/>
        <v>0</v>
      </c>
      <c r="S124" s="481">
        <f t="shared" si="49"/>
        <v>0</v>
      </c>
      <c r="T124" s="452"/>
      <c r="U124" s="452"/>
      <c r="V124" s="452"/>
      <c r="W124" s="452"/>
      <c r="X124" s="452"/>
      <c r="Y124" s="452"/>
      <c r="Z124" s="452"/>
      <c r="AA124" s="452"/>
      <c r="AB124" s="452"/>
    </row>
    <row r="125" spans="1:28" s="442" customFormat="1" ht="15.95" customHeight="1">
      <c r="A125" s="247" t="s">
        <v>227</v>
      </c>
      <c r="B125" s="250"/>
      <c r="D125" s="477"/>
      <c r="E125" s="477"/>
      <c r="F125" s="477"/>
      <c r="G125" s="477"/>
      <c r="H125" s="477"/>
      <c r="I125" s="477"/>
      <c r="J125" s="250">
        <f t="shared" ref="J125:S125" si="50">$B$125</f>
        <v>0</v>
      </c>
      <c r="K125" s="250">
        <f t="shared" si="50"/>
        <v>0</v>
      </c>
      <c r="L125" s="250">
        <f t="shared" si="50"/>
        <v>0</v>
      </c>
      <c r="M125" s="250">
        <f t="shared" si="50"/>
        <v>0</v>
      </c>
      <c r="N125" s="250">
        <f t="shared" si="50"/>
        <v>0</v>
      </c>
      <c r="O125" s="250">
        <f t="shared" si="50"/>
        <v>0</v>
      </c>
      <c r="P125" s="250">
        <f t="shared" si="50"/>
        <v>0</v>
      </c>
      <c r="Q125" s="250">
        <f t="shared" si="50"/>
        <v>0</v>
      </c>
      <c r="R125" s="250">
        <f t="shared" si="50"/>
        <v>0</v>
      </c>
      <c r="S125" s="250">
        <f t="shared" si="50"/>
        <v>0</v>
      </c>
      <c r="T125" s="450"/>
      <c r="U125" s="450"/>
      <c r="V125" s="450"/>
      <c r="W125" s="450"/>
      <c r="X125" s="450"/>
      <c r="Y125" s="450"/>
      <c r="Z125" s="450"/>
      <c r="AA125" s="450"/>
      <c r="AB125" s="450"/>
    </row>
    <row r="126" spans="1:28" ht="15.95" customHeight="1">
      <c r="A126" s="19" t="s">
        <v>224</v>
      </c>
      <c r="C126" s="482"/>
      <c r="D126" s="481"/>
      <c r="E126" s="481"/>
      <c r="F126" s="481"/>
      <c r="G126" s="481"/>
      <c r="H126" s="481"/>
      <c r="I126" s="481"/>
      <c r="J126" s="75">
        <f t="shared" ref="J126:S126" si="51">IF(ISERROR(J122*J125+J123*J125*0.5),0,J122*J125+J123*J125*0.5)</f>
        <v>0</v>
      </c>
      <c r="K126" s="75">
        <f t="shared" si="51"/>
        <v>0</v>
      </c>
      <c r="L126" s="75">
        <f t="shared" si="51"/>
        <v>0</v>
      </c>
      <c r="M126" s="75">
        <f t="shared" si="51"/>
        <v>0</v>
      </c>
      <c r="N126" s="75">
        <f t="shared" si="51"/>
        <v>0</v>
      </c>
      <c r="O126" s="75">
        <f t="shared" si="51"/>
        <v>0</v>
      </c>
      <c r="P126" s="75">
        <f t="shared" si="51"/>
        <v>0</v>
      </c>
      <c r="Q126" s="75">
        <f t="shared" si="51"/>
        <v>0</v>
      </c>
      <c r="R126" s="75">
        <f t="shared" si="51"/>
        <v>0</v>
      </c>
      <c r="S126" s="75">
        <f t="shared" si="51"/>
        <v>0</v>
      </c>
      <c r="T126" s="452"/>
      <c r="U126" s="452"/>
      <c r="V126" s="452"/>
      <c r="W126" s="452"/>
      <c r="X126" s="452"/>
      <c r="Y126" s="452"/>
      <c r="Z126" s="452"/>
      <c r="AA126" s="452"/>
      <c r="AB126" s="452"/>
    </row>
    <row r="127" spans="1:28" s="442" customFormat="1" ht="15.95" customHeight="1">
      <c r="A127" s="439"/>
      <c r="B127" s="195"/>
      <c r="C127" s="482"/>
      <c r="D127" s="483"/>
      <c r="E127" s="483"/>
      <c r="F127" s="483"/>
      <c r="G127" s="483"/>
      <c r="H127" s="483"/>
      <c r="I127" s="483"/>
      <c r="J127" s="255"/>
      <c r="K127" s="484"/>
      <c r="L127" s="484"/>
      <c r="M127" s="484"/>
      <c r="N127" s="484"/>
      <c r="O127" s="484"/>
      <c r="P127" s="484"/>
      <c r="Q127" s="484"/>
      <c r="R127" s="484"/>
      <c r="S127" s="484"/>
      <c r="T127" s="450"/>
      <c r="U127" s="450"/>
      <c r="V127" s="450"/>
      <c r="W127" s="450"/>
      <c r="X127" s="450"/>
      <c r="Y127" s="450"/>
      <c r="Z127" s="450"/>
      <c r="AA127" s="450"/>
      <c r="AB127" s="450"/>
    </row>
    <row r="128" spans="1:28" s="433" customFormat="1" ht="15.95" customHeight="1">
      <c r="A128" s="79" t="s">
        <v>228</v>
      </c>
      <c r="B128" s="239"/>
      <c r="C128" s="485"/>
      <c r="D128" s="486">
        <f>利润表!O19</f>
        <v>0</v>
      </c>
      <c r="E128" s="486">
        <f>利润表!S19</f>
        <v>0</v>
      </c>
      <c r="F128" s="486">
        <f>利润表!W19</f>
        <v>0</v>
      </c>
      <c r="G128" s="486">
        <f>利润表!X19</f>
        <v>0</v>
      </c>
      <c r="H128" s="486">
        <f>利润表!Y19</f>
        <v>0</v>
      </c>
      <c r="I128" s="486">
        <f>利润表!Z19</f>
        <v>0</v>
      </c>
      <c r="J128" s="91">
        <f t="shared" ref="J128:S128" si="52">IF(ISERROR(J119+J126+J129),"0",J119+J126+J129)</f>
        <v>0</v>
      </c>
      <c r="K128" s="91">
        <f t="shared" si="52"/>
        <v>0</v>
      </c>
      <c r="L128" s="91">
        <f t="shared" si="52"/>
        <v>0</v>
      </c>
      <c r="M128" s="91">
        <f t="shared" si="52"/>
        <v>0</v>
      </c>
      <c r="N128" s="91">
        <f t="shared" si="52"/>
        <v>0</v>
      </c>
      <c r="O128" s="91">
        <f t="shared" si="52"/>
        <v>0</v>
      </c>
      <c r="P128" s="91">
        <f t="shared" si="52"/>
        <v>0</v>
      </c>
      <c r="Q128" s="91">
        <f t="shared" si="52"/>
        <v>0</v>
      </c>
      <c r="R128" s="91">
        <f t="shared" si="52"/>
        <v>0</v>
      </c>
      <c r="S128" s="91">
        <f t="shared" si="52"/>
        <v>0</v>
      </c>
      <c r="T128" s="487"/>
      <c r="U128" s="487"/>
      <c r="V128" s="487"/>
      <c r="W128" s="487"/>
      <c r="X128" s="487"/>
      <c r="Y128" s="487"/>
      <c r="Z128" s="487"/>
      <c r="AA128" s="487"/>
      <c r="AB128" s="487"/>
    </row>
    <row r="129" spans="1:28" s="442" customFormat="1" ht="15.95" customHeight="1">
      <c r="A129" s="439" t="s">
        <v>229</v>
      </c>
      <c r="B129" s="195"/>
      <c r="C129" s="482"/>
      <c r="D129" s="481"/>
      <c r="E129" s="481"/>
      <c r="F129" s="481"/>
      <c r="G129" s="481"/>
      <c r="H129" s="481"/>
      <c r="I129" s="481"/>
      <c r="J129" s="162">
        <v>0</v>
      </c>
      <c r="K129" s="162">
        <v>0</v>
      </c>
      <c r="L129" s="162">
        <v>0</v>
      </c>
      <c r="M129" s="162">
        <v>0</v>
      </c>
      <c r="N129" s="162">
        <v>0</v>
      </c>
      <c r="O129" s="162">
        <v>0</v>
      </c>
      <c r="P129" s="162">
        <v>0</v>
      </c>
      <c r="Q129" s="162">
        <v>0</v>
      </c>
      <c r="R129" s="162">
        <v>0</v>
      </c>
      <c r="S129" s="162">
        <v>0</v>
      </c>
      <c r="T129" s="450"/>
      <c r="U129" s="450"/>
      <c r="V129" s="450"/>
      <c r="W129" s="450"/>
      <c r="X129" s="450"/>
      <c r="Y129" s="450"/>
      <c r="Z129" s="450"/>
      <c r="AA129" s="450"/>
      <c r="AB129" s="450"/>
    </row>
    <row r="130" spans="1:28" ht="15.95" customHeight="1">
      <c r="C130" s="440"/>
      <c r="D130" s="146"/>
      <c r="E130" s="146"/>
      <c r="F130" s="146"/>
      <c r="G130" s="146"/>
      <c r="H130" s="146"/>
      <c r="I130" s="146"/>
      <c r="J130" s="75"/>
      <c r="K130" s="75"/>
      <c r="L130" s="75"/>
      <c r="M130" s="75"/>
      <c r="N130" s="75"/>
      <c r="O130" s="75"/>
      <c r="P130" s="75"/>
      <c r="Q130" s="75"/>
      <c r="R130" s="75"/>
      <c r="S130" s="75"/>
    </row>
    <row r="131" spans="1:28" ht="15.95" customHeight="1">
      <c r="A131" s="247" t="s">
        <v>230</v>
      </c>
      <c r="B131" s="250"/>
      <c r="D131" s="146"/>
      <c r="E131" s="146"/>
      <c r="F131" s="146"/>
      <c r="G131" s="146"/>
      <c r="H131" s="146"/>
      <c r="I131" s="146"/>
      <c r="J131" s="250">
        <f t="shared" ref="J131:S131" si="53">$B$131</f>
        <v>0</v>
      </c>
      <c r="K131" s="250">
        <f t="shared" si="53"/>
        <v>0</v>
      </c>
      <c r="L131" s="250">
        <f t="shared" si="53"/>
        <v>0</v>
      </c>
      <c r="M131" s="250">
        <f t="shared" si="53"/>
        <v>0</v>
      </c>
      <c r="N131" s="250">
        <f t="shared" si="53"/>
        <v>0</v>
      </c>
      <c r="O131" s="250">
        <f t="shared" si="53"/>
        <v>0</v>
      </c>
      <c r="P131" s="250">
        <f t="shared" si="53"/>
        <v>0</v>
      </c>
      <c r="Q131" s="250">
        <f t="shared" si="53"/>
        <v>0</v>
      </c>
      <c r="R131" s="250">
        <f t="shared" si="53"/>
        <v>0</v>
      </c>
      <c r="S131" s="250">
        <f t="shared" si="53"/>
        <v>0</v>
      </c>
    </row>
    <row r="132" spans="1:28" s="433" customFormat="1" ht="15.95" customHeight="1">
      <c r="A132" s="79" t="s">
        <v>99</v>
      </c>
      <c r="B132" s="256"/>
      <c r="D132" s="486">
        <f>利润表!O18</f>
        <v>0</v>
      </c>
      <c r="E132" s="486">
        <f>利润表!S18</f>
        <v>0</v>
      </c>
      <c r="F132" s="486">
        <f>利润表!W18</f>
        <v>0</v>
      </c>
      <c r="G132" s="486">
        <f>利润表!X18</f>
        <v>0</v>
      </c>
      <c r="H132" s="486">
        <f>利润表!Y18</f>
        <v>0</v>
      </c>
      <c r="I132" s="486">
        <f>利润表!Z18</f>
        <v>0</v>
      </c>
      <c r="J132" s="91">
        <f t="shared" ref="J132:S132" si="54">IF(ISERROR(J135*J131+J133),0,(J135*J131+J133))</f>
        <v>0</v>
      </c>
      <c r="K132" s="91">
        <f t="shared" si="54"/>
        <v>0</v>
      </c>
      <c r="L132" s="91">
        <f t="shared" si="54"/>
        <v>0</v>
      </c>
      <c r="M132" s="91">
        <f t="shared" si="54"/>
        <v>0</v>
      </c>
      <c r="N132" s="91">
        <f t="shared" si="54"/>
        <v>0</v>
      </c>
      <c r="O132" s="91">
        <f t="shared" si="54"/>
        <v>0</v>
      </c>
      <c r="P132" s="91">
        <f t="shared" si="54"/>
        <v>0</v>
      </c>
      <c r="Q132" s="91">
        <f t="shared" si="54"/>
        <v>0</v>
      </c>
      <c r="R132" s="91">
        <f t="shared" si="54"/>
        <v>0</v>
      </c>
      <c r="S132" s="91">
        <f t="shared" si="54"/>
        <v>0</v>
      </c>
      <c r="T132" s="146"/>
    </row>
    <row r="133" spans="1:28" ht="15.95" customHeight="1">
      <c r="A133" s="488" t="s">
        <v>231</v>
      </c>
      <c r="B133" s="257"/>
      <c r="C133" s="489"/>
      <c r="D133" s="490"/>
      <c r="E133" s="490"/>
      <c r="F133" s="490"/>
      <c r="G133" s="490"/>
      <c r="H133" s="490"/>
      <c r="I133" s="490"/>
      <c r="J133" s="260">
        <v>0</v>
      </c>
      <c r="K133" s="260">
        <v>0</v>
      </c>
      <c r="L133" s="260">
        <v>0</v>
      </c>
      <c r="M133" s="260">
        <v>0</v>
      </c>
      <c r="N133" s="260">
        <v>0</v>
      </c>
      <c r="O133" s="260">
        <v>0</v>
      </c>
      <c r="P133" s="260">
        <v>0</v>
      </c>
      <c r="Q133" s="260">
        <v>0</v>
      </c>
      <c r="R133" s="260">
        <v>0</v>
      </c>
      <c r="S133" s="260">
        <v>0</v>
      </c>
      <c r="T133" s="452"/>
      <c r="U133" s="452"/>
      <c r="V133" s="452"/>
      <c r="W133" s="452"/>
      <c r="X133" s="452"/>
      <c r="Y133" s="452"/>
      <c r="Z133" s="452"/>
      <c r="AA133" s="452"/>
      <c r="AB133" s="452"/>
    </row>
    <row r="134" spans="1:28" ht="15.95" customHeight="1">
      <c r="A134" s="439"/>
      <c r="C134" s="482"/>
      <c r="D134" s="481"/>
      <c r="E134" s="481"/>
      <c r="F134" s="481"/>
      <c r="G134" s="481"/>
      <c r="H134" s="481"/>
      <c r="I134" s="481"/>
      <c r="J134" s="261"/>
      <c r="K134" s="261"/>
      <c r="L134" s="261"/>
      <c r="M134" s="261"/>
      <c r="N134" s="261"/>
      <c r="O134" s="261"/>
      <c r="P134" s="261"/>
      <c r="Q134" s="261"/>
      <c r="R134" s="261"/>
      <c r="S134" s="261"/>
      <c r="T134" s="452"/>
      <c r="U134" s="452"/>
      <c r="V134" s="452"/>
      <c r="W134" s="452"/>
      <c r="X134" s="452"/>
      <c r="Y134" s="452"/>
      <c r="Z134" s="452"/>
      <c r="AA134" s="452"/>
      <c r="AB134" s="452"/>
    </row>
    <row r="135" spans="1:28" s="492" customFormat="1" ht="15.95" customHeight="1">
      <c r="A135" s="79" t="s">
        <v>232</v>
      </c>
      <c r="B135" s="258"/>
      <c r="C135" s="131"/>
      <c r="D135" s="486">
        <f>现金流量表!O37</f>
        <v>0</v>
      </c>
      <c r="E135" s="486">
        <f>现金流量表!S37</f>
        <v>0</v>
      </c>
      <c r="F135" s="486">
        <f>现金流量表!W37</f>
        <v>0</v>
      </c>
      <c r="G135" s="486"/>
      <c r="H135" s="486">
        <f>现金流量表!Y37</f>
        <v>0</v>
      </c>
      <c r="I135" s="486"/>
      <c r="J135" s="91">
        <f>资产负债表!W6</f>
        <v>0</v>
      </c>
      <c r="K135" s="91">
        <f>资产负债表!AA6</f>
        <v>0</v>
      </c>
      <c r="L135" s="91">
        <f>资产负债表!AB6</f>
        <v>0</v>
      </c>
      <c r="M135" s="91">
        <f>资产负债表!AC6</f>
        <v>0</v>
      </c>
      <c r="N135" s="91">
        <f>资产负债表!AD6</f>
        <v>0</v>
      </c>
      <c r="O135" s="91">
        <f>资产负债表!AE6</f>
        <v>0</v>
      </c>
      <c r="P135" s="91">
        <f>资产负债表!AF6</f>
        <v>0</v>
      </c>
      <c r="Q135" s="91">
        <f>资产负债表!AG6</f>
        <v>0</v>
      </c>
      <c r="R135" s="91">
        <f>资产负债表!AH6</f>
        <v>0</v>
      </c>
      <c r="S135" s="91">
        <f>资产负债表!AI6</f>
        <v>0</v>
      </c>
      <c r="T135" s="491"/>
      <c r="U135" s="491"/>
      <c r="V135" s="491"/>
      <c r="W135" s="491"/>
      <c r="X135" s="491"/>
      <c r="Y135" s="491"/>
      <c r="Z135" s="491"/>
      <c r="AA135" s="491"/>
      <c r="AB135" s="491"/>
    </row>
    <row r="136" spans="1:28" s="442" customFormat="1" ht="15.95" customHeight="1">
      <c r="A136" s="19" t="s">
        <v>233</v>
      </c>
      <c r="B136" s="195"/>
      <c r="C136" s="132"/>
      <c r="D136" s="20"/>
      <c r="E136" s="20"/>
      <c r="F136" s="20"/>
      <c r="G136" s="20"/>
      <c r="H136" s="20"/>
      <c r="I136" s="20"/>
      <c r="J136" s="413"/>
      <c r="K136" s="413"/>
      <c r="L136" s="413"/>
      <c r="M136" s="413"/>
      <c r="N136" s="413"/>
      <c r="O136" s="413"/>
      <c r="P136" s="413"/>
      <c r="Q136" s="413"/>
      <c r="R136" s="413"/>
      <c r="S136" s="413"/>
      <c r="T136" s="450"/>
      <c r="U136" s="450"/>
      <c r="V136" s="450"/>
      <c r="W136" s="450"/>
      <c r="X136" s="450"/>
      <c r="Y136" s="450"/>
      <c r="Z136" s="450"/>
      <c r="AA136" s="450"/>
      <c r="AB136" s="450"/>
    </row>
    <row r="137" spans="1:28" ht="15.95" customHeight="1">
      <c r="A137" s="60" t="s">
        <v>234</v>
      </c>
      <c r="C137" s="132"/>
      <c r="D137" s="481">
        <f>现金流量表!O16</f>
        <v>0</v>
      </c>
      <c r="E137" s="481">
        <f>现金流量表!S16</f>
        <v>0</v>
      </c>
      <c r="F137" s="481">
        <f>现金流量表!W16</f>
        <v>0</v>
      </c>
      <c r="G137" s="481"/>
      <c r="H137" s="481">
        <f>现金流量表!Y16</f>
        <v>0</v>
      </c>
      <c r="I137" s="481"/>
      <c r="J137" s="481">
        <f>现金流量表!AA16</f>
        <v>0</v>
      </c>
      <c r="K137" s="75">
        <f>现金流量表!AB16</f>
        <v>0</v>
      </c>
      <c r="L137" s="75">
        <f>现金流量表!AC16</f>
        <v>0</v>
      </c>
      <c r="M137" s="75">
        <f>现金流量表!AD16</f>
        <v>0</v>
      </c>
      <c r="N137" s="75">
        <f>现金流量表!AE16</f>
        <v>0</v>
      </c>
      <c r="O137" s="75">
        <f>现金流量表!AF16</f>
        <v>0</v>
      </c>
      <c r="P137" s="75">
        <f>现金流量表!AG16</f>
        <v>0</v>
      </c>
      <c r="Q137" s="75">
        <f>现金流量表!AH16</f>
        <v>0</v>
      </c>
      <c r="R137" s="75">
        <f>现金流量表!AI16</f>
        <v>0</v>
      </c>
      <c r="S137" s="75">
        <f>现金流量表!AJ16</f>
        <v>0</v>
      </c>
      <c r="T137" s="146"/>
      <c r="U137" s="146"/>
      <c r="V137" s="146"/>
      <c r="W137" s="146"/>
      <c r="X137" s="146"/>
      <c r="Y137" s="146"/>
      <c r="Z137" s="146"/>
    </row>
    <row r="138" spans="1:28" ht="15.95" customHeight="1">
      <c r="A138" s="60" t="s">
        <v>235</v>
      </c>
      <c r="C138" s="132"/>
      <c r="D138" s="481">
        <f>现金流量表!O29</f>
        <v>0</v>
      </c>
      <c r="E138" s="481">
        <f>现金流量表!S29</f>
        <v>0</v>
      </c>
      <c r="F138" s="481">
        <f>现金流量表!W29</f>
        <v>0</v>
      </c>
      <c r="G138" s="481"/>
      <c r="H138" s="481">
        <f>现金流量表!Y29</f>
        <v>0</v>
      </c>
      <c r="I138" s="481"/>
      <c r="J138" s="75">
        <f>现金流量表!AA29</f>
        <v>0</v>
      </c>
      <c r="K138" s="75">
        <f>现金流量表!AB29</f>
        <v>0</v>
      </c>
      <c r="L138" s="75">
        <f>现金流量表!AC29</f>
        <v>0</v>
      </c>
      <c r="M138" s="75">
        <f>现金流量表!AD29</f>
        <v>0</v>
      </c>
      <c r="N138" s="75">
        <f>现金流量表!AE29</f>
        <v>0</v>
      </c>
      <c r="O138" s="75">
        <f>现金流量表!AF29</f>
        <v>0</v>
      </c>
      <c r="P138" s="75">
        <f>现金流量表!AG29</f>
        <v>0</v>
      </c>
      <c r="Q138" s="75">
        <f>现金流量表!AH29</f>
        <v>0</v>
      </c>
      <c r="R138" s="75">
        <f>现金流量表!AI29</f>
        <v>0</v>
      </c>
      <c r="S138" s="75">
        <f>现金流量表!AJ29</f>
        <v>0</v>
      </c>
      <c r="T138" s="75"/>
      <c r="U138" s="146"/>
      <c r="V138" s="146"/>
      <c r="W138" s="146"/>
      <c r="X138" s="146"/>
      <c r="Y138" s="146"/>
    </row>
    <row r="139" spans="1:28" ht="15.95" customHeight="1">
      <c r="A139" s="60" t="s">
        <v>236</v>
      </c>
      <c r="C139" s="132"/>
      <c r="D139" s="481">
        <f>现金流量表!O34</f>
        <v>0</v>
      </c>
      <c r="E139" s="481">
        <f>现金流量表!S34</f>
        <v>0</v>
      </c>
      <c r="F139" s="481">
        <f>现金流量表!W34</f>
        <v>0</v>
      </c>
      <c r="G139" s="481"/>
      <c r="H139" s="481">
        <f>现金流量表!Y34</f>
        <v>0</v>
      </c>
      <c r="I139" s="481"/>
      <c r="J139" s="75">
        <f>现金流量表!AA34</f>
        <v>0</v>
      </c>
      <c r="K139" s="75">
        <f>现金流量表!AB34</f>
        <v>0</v>
      </c>
      <c r="L139" s="75">
        <f>现金流量表!AC34</f>
        <v>0</v>
      </c>
      <c r="M139" s="75">
        <f>现金流量表!AD34</f>
        <v>0</v>
      </c>
      <c r="N139" s="75">
        <f>现金流量表!AE34</f>
        <v>0</v>
      </c>
      <c r="O139" s="75">
        <f>现金流量表!AF34</f>
        <v>0</v>
      </c>
      <c r="P139" s="75">
        <f>现金流量表!AG34</f>
        <v>0</v>
      </c>
      <c r="Q139" s="75">
        <f>现金流量表!AH34</f>
        <v>0</v>
      </c>
      <c r="R139" s="75">
        <f>现金流量表!AI34</f>
        <v>0</v>
      </c>
      <c r="S139" s="75">
        <f>现金流量表!AJ34</f>
        <v>0</v>
      </c>
      <c r="U139" s="146"/>
      <c r="V139" s="146"/>
      <c r="W139" s="146"/>
      <c r="X139" s="146"/>
      <c r="Y139" s="146"/>
    </row>
    <row r="140" spans="1:28" ht="15.95" customHeight="1">
      <c r="A140" s="60" t="s">
        <v>237</v>
      </c>
      <c r="C140" s="132"/>
      <c r="D140" s="481">
        <f>现金流量表!O35</f>
        <v>0</v>
      </c>
      <c r="E140" s="481">
        <f>现金流量表!S35</f>
        <v>0</v>
      </c>
      <c r="F140" s="481">
        <f>现金流量表!W35</f>
        <v>0</v>
      </c>
      <c r="G140" s="481"/>
      <c r="H140" s="481">
        <f>现金流量表!Y35</f>
        <v>0</v>
      </c>
      <c r="I140" s="481"/>
      <c r="J140" s="75">
        <f>现金流量表!AA35</f>
        <v>0</v>
      </c>
      <c r="K140" s="75">
        <f>现金流量表!AB35</f>
        <v>0</v>
      </c>
      <c r="L140" s="75">
        <f>现金流量表!AC35</f>
        <v>0</v>
      </c>
      <c r="M140" s="75">
        <f>现金流量表!AD35</f>
        <v>0</v>
      </c>
      <c r="N140" s="75">
        <f>现金流量表!AE35</f>
        <v>0</v>
      </c>
      <c r="O140" s="75">
        <f>现金流量表!AF35</f>
        <v>0</v>
      </c>
      <c r="P140" s="75">
        <f>现金流量表!AG35</f>
        <v>0</v>
      </c>
      <c r="Q140" s="75">
        <f>现金流量表!AH35</f>
        <v>0</v>
      </c>
      <c r="R140" s="75">
        <f>现金流量表!AI35</f>
        <v>0</v>
      </c>
      <c r="S140" s="75">
        <f>现金流量表!AJ35</f>
        <v>0</v>
      </c>
      <c r="T140" s="262"/>
      <c r="U140" s="146"/>
      <c r="V140" s="146"/>
      <c r="W140" s="146"/>
      <c r="X140" s="146"/>
      <c r="Y140" s="146"/>
    </row>
    <row r="141" spans="1:28" ht="15.95" customHeight="1">
      <c r="A141" s="60" t="s">
        <v>238</v>
      </c>
      <c r="B141" s="493">
        <v>1</v>
      </c>
      <c r="C141" s="132"/>
      <c r="D141" s="481"/>
      <c r="E141" s="481"/>
      <c r="F141" s="481"/>
      <c r="G141" s="481"/>
      <c r="H141" s="481"/>
      <c r="I141" s="481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569" t="s">
        <v>239</v>
      </c>
      <c r="U141" s="146"/>
      <c r="V141" s="146"/>
      <c r="W141" s="146"/>
      <c r="X141" s="146"/>
      <c r="Y141" s="146"/>
    </row>
    <row r="142" spans="1:28" ht="15.95" customHeight="1">
      <c r="A142" s="259" t="s">
        <v>240</v>
      </c>
      <c r="B142" s="257"/>
      <c r="C142" s="494"/>
      <c r="D142" s="490"/>
      <c r="E142" s="490"/>
      <c r="F142" s="490"/>
      <c r="G142" s="490"/>
      <c r="H142" s="490"/>
      <c r="I142" s="490"/>
      <c r="J142" s="260">
        <f>(利润表!AA8-现金流量表!AA6)*$B$141/12</f>
        <v>0</v>
      </c>
      <c r="K142" s="260">
        <f>(利润表!AB8-现金流量表!AB6)*$B$141/12</f>
        <v>0</v>
      </c>
      <c r="L142" s="260">
        <f>(利润表!AC8-现金流量表!AC6)*$B$141/12</f>
        <v>0</v>
      </c>
      <c r="M142" s="260">
        <f>(利润表!AD8-现金流量表!AD6)*$B$141/12</f>
        <v>0</v>
      </c>
      <c r="N142" s="260">
        <f>(利润表!AE8-现金流量表!AE6)*$B$141/12</f>
        <v>0</v>
      </c>
      <c r="O142" s="260">
        <f>(利润表!AF8-现金流量表!AF6)*$B$141/12</f>
        <v>0</v>
      </c>
      <c r="P142" s="260">
        <f>(利润表!AG8-现金流量表!AG6)*$B$141/12</f>
        <v>0</v>
      </c>
      <c r="Q142" s="260">
        <f>(利润表!AH8-现金流量表!AH6)*$B$141/12</f>
        <v>0</v>
      </c>
      <c r="R142" s="260">
        <f>(利润表!AI8-现金流量表!AI6)*$B$141/12</f>
        <v>0</v>
      </c>
      <c r="S142" s="260">
        <f>(利润表!AJ8-现金流量表!AJ6)*$B$141/12</f>
        <v>0</v>
      </c>
      <c r="T142" s="569"/>
      <c r="U142" s="146"/>
      <c r="V142" s="146"/>
      <c r="W142" s="146"/>
      <c r="X142" s="146"/>
      <c r="Y142" s="146"/>
    </row>
    <row r="143" spans="1:28" ht="15.75" customHeight="1">
      <c r="A143" s="79" t="s">
        <v>241</v>
      </c>
      <c r="B143" s="239"/>
      <c r="C143" s="131"/>
      <c r="D143" s="495">
        <f>D135+D137+D138+D139+D140</f>
        <v>0</v>
      </c>
      <c r="E143" s="495">
        <f>E135+E137+E138+E139+E140</f>
        <v>0</v>
      </c>
      <c r="F143" s="495">
        <f>F135+F137+F138+F139+F140</f>
        <v>0</v>
      </c>
      <c r="G143" s="495"/>
      <c r="H143" s="495">
        <f>H135+H137+H138+H139+H140</f>
        <v>0</v>
      </c>
      <c r="I143" s="495"/>
      <c r="J143" s="495">
        <f>J135+J137+J138+J139+J140-J142</f>
        <v>0</v>
      </c>
      <c r="K143" s="495">
        <f t="shared" ref="K143:S143" si="55">K135+K137+K138+K139+K140-K142</f>
        <v>0</v>
      </c>
      <c r="L143" s="495">
        <f t="shared" si="55"/>
        <v>0</v>
      </c>
      <c r="M143" s="495">
        <f t="shared" si="55"/>
        <v>0</v>
      </c>
      <c r="N143" s="495">
        <f t="shared" si="55"/>
        <v>0</v>
      </c>
      <c r="O143" s="495">
        <f t="shared" si="55"/>
        <v>0</v>
      </c>
      <c r="P143" s="495">
        <f t="shared" si="55"/>
        <v>0</v>
      </c>
      <c r="Q143" s="495">
        <f t="shared" si="55"/>
        <v>0</v>
      </c>
      <c r="R143" s="495">
        <f t="shared" si="55"/>
        <v>0</v>
      </c>
      <c r="S143" s="495">
        <f t="shared" si="55"/>
        <v>0</v>
      </c>
      <c r="T143" s="569"/>
      <c r="U143" s="496"/>
      <c r="V143" s="452"/>
      <c r="W143" s="452"/>
      <c r="X143" s="452"/>
      <c r="Y143" s="452"/>
      <c r="Z143" s="452"/>
      <c r="AA143" s="452"/>
    </row>
    <row r="144" spans="1:28" ht="15.95" customHeight="1">
      <c r="T144" s="262"/>
      <c r="U144" s="496"/>
    </row>
  </sheetData>
  <protectedRanges>
    <protectedRange sqref="J125:S125 J131:S131" name="区域66_1_1"/>
    <protectedRange sqref="J118:S118" name="区域65_1_1"/>
    <protectedRange sqref="B131:B132" name="区域60_1_1"/>
    <protectedRange sqref="B125" name="区域59_1_1"/>
    <protectedRange sqref="B118" name="区域58_1_1"/>
    <protectedRange sqref="B91" name="区域56_1_1"/>
    <protectedRange sqref="J111:S111 D90:I90" name="区域35_1_1"/>
    <protectedRange sqref="J115:S116" name="区域34_1_1"/>
    <protectedRange sqref="J107:S110 J87:S91 J123:S123 J97:S97 J99:S101 J98:T98" name="区域29_1_1"/>
    <protectedRange sqref="D68:I68" name="区域28_1_1"/>
    <protectedRange sqref="J69:S69 J74:S74 J77:S77" name="区域27_1_1"/>
    <protectedRange sqref="D70:S73" name="区域25_1_2"/>
    <protectedRange sqref="J62:S62" name="区域22_1_1"/>
    <protectedRange sqref="J52:S53" name="区域16_1_2"/>
    <protectedRange sqref="J78:S78 J76:S76 J63:S63 J67:S68" name="区域13_1_1"/>
    <protectedRange sqref="J10:S10 J25:S25 J41:S41 J44:S44 J47:S47 J55:S55 J58:S58 J75:S75 J14:S14" name="区域1_1"/>
    <protectedRange sqref="J18:S18 J21:S21 J29:S29 J32:S32" name="区域3_1_1"/>
  </protectedRanges>
  <mergeCells count="1">
    <mergeCell ref="T141:T143"/>
  </mergeCells>
  <phoneticPr fontId="93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7"/>
  <dimension ref="A1:BM129"/>
  <sheetViews>
    <sheetView zoomScaleNormal="100" workbookViewId="0">
      <selection activeCell="K15" sqref="K15"/>
    </sheetView>
  </sheetViews>
  <sheetFormatPr defaultColWidth="7.75" defaultRowHeight="13.5"/>
  <cols>
    <col min="1" max="1" width="3.75" style="20" customWidth="1"/>
    <col min="2" max="2" width="20.125" style="20" customWidth="1"/>
    <col min="3" max="8" width="15.625" style="20" customWidth="1"/>
    <col min="9" max="9" width="13.5" style="20" customWidth="1"/>
    <col min="10" max="13" width="8.25" style="20" customWidth="1"/>
    <col min="14" max="15" width="8.25" style="146" customWidth="1"/>
    <col min="16" max="16" width="14.5" style="146" customWidth="1"/>
    <col min="17" max="21" width="7.625" style="146" customWidth="1"/>
    <col min="22" max="65" width="7.625" style="20" customWidth="1"/>
    <col min="66" max="69" width="9.125" style="20" customWidth="1"/>
    <col min="70" max="16384" width="7.75" style="20"/>
  </cols>
  <sheetData>
    <row r="1" spans="2:65" ht="18" customHeight="1">
      <c r="B1" s="132" t="s">
        <v>242</v>
      </c>
      <c r="C1" s="132"/>
      <c r="D1" s="497"/>
      <c r="I1" s="497"/>
      <c r="P1" s="498"/>
    </row>
    <row r="2" spans="2:65" ht="15" customHeight="1">
      <c r="D2" s="499"/>
      <c r="E2" s="499"/>
      <c r="F2" s="499"/>
      <c r="H2" s="195" t="str">
        <f>IF(目录!F8="CNY","单位：人民币",IF(目录!F8="USD","单位：美元","单位：港币"))&amp;"("&amp;IF(目录!D7="","元",目录!D7)&amp;")"</f>
        <v>单位：港币(百万)</v>
      </c>
      <c r="J2" s="433"/>
      <c r="U2" s="500"/>
      <c r="V2" s="500"/>
      <c r="W2" s="500"/>
      <c r="X2" s="500"/>
      <c r="Y2" s="500"/>
    </row>
    <row r="3" spans="2:65" ht="15" customHeight="1">
      <c r="B3" s="224" t="s">
        <v>243</v>
      </c>
      <c r="C3" s="225">
        <f>利润表!O4</f>
        <v>2019</v>
      </c>
      <c r="D3" s="225">
        <f>利润表!S4</f>
        <v>2020</v>
      </c>
      <c r="E3" s="225">
        <f>利润表!W4</f>
        <v>2021</v>
      </c>
      <c r="F3" s="226" t="str">
        <f>利润表!AA4</f>
        <v>2022E</v>
      </c>
      <c r="G3" s="227">
        <f>利润表!AB4</f>
        <v>2023</v>
      </c>
      <c r="H3" s="227">
        <f>利润表!AC4</f>
        <v>2024</v>
      </c>
    </row>
    <row r="4" spans="2:65" ht="15" customHeight="1">
      <c r="B4" s="228" t="str">
        <f>"总股本("&amp;目录!D7&amp;")"</f>
        <v>总股本(百万)</v>
      </c>
      <c r="C4" s="75" t="e">
        <f>IF(财务基础数据!O128="",目录!F7*1000000*目录!D6,财务基础数据!O128*目录!D6)</f>
        <v>#VALUE!</v>
      </c>
      <c r="D4" s="75" t="e">
        <f>IF(财务基础数据!S128="",目录!F7*1000000*目录!D6,财务基础数据!S128*目录!D6)</f>
        <v>#VALUE!</v>
      </c>
      <c r="E4" s="75" t="e">
        <f>IF(财务基础数据!W128="",目录!F7*1000000*目录!D6,财务基础数据!W128*目录!D6)</f>
        <v>#VALUE!</v>
      </c>
      <c r="F4" s="75" t="str">
        <f>IF(ISERROR(目录!F7*1000000*目录!D6),"—",目录!F7*1000000*目录!D6)</f>
        <v>—</v>
      </c>
      <c r="G4" s="75" t="str">
        <f>F4</f>
        <v>—</v>
      </c>
      <c r="H4" s="75" t="str">
        <f>G4</f>
        <v>—</v>
      </c>
      <c r="I4" s="501"/>
      <c r="N4" s="20"/>
      <c r="O4" s="20"/>
    </row>
    <row r="5" spans="2:65" ht="15" customHeight="1">
      <c r="B5" s="228" t="s">
        <v>244</v>
      </c>
      <c r="C5" s="75">
        <f>财务基础数据!$O$129</f>
        <v>0</v>
      </c>
      <c r="D5" s="75">
        <f>财务基础数据!$S$129</f>
        <v>0</v>
      </c>
      <c r="E5" s="75">
        <f>财务基础数据!$W$129</f>
        <v>0</v>
      </c>
      <c r="F5" s="75" t="str">
        <f>目录!$F$6</f>
        <v>XXXX</v>
      </c>
      <c r="G5" s="75" t="str">
        <f>目录!$F$6</f>
        <v>XXXX</v>
      </c>
      <c r="H5" s="75" t="str">
        <f>目录!$F$6</f>
        <v>XXXX</v>
      </c>
      <c r="I5" s="502"/>
      <c r="N5" s="20"/>
      <c r="O5" s="20"/>
    </row>
    <row r="6" spans="2:65" ht="15" customHeight="1">
      <c r="B6" s="228" t="s">
        <v>245</v>
      </c>
      <c r="C6" s="503">
        <f>IF(目录!$F$10=0,C5,C5*目录!$F$10)</f>
        <v>0</v>
      </c>
      <c r="D6" s="503">
        <f>IF(目录!$F$10=0,D5,D5*目录!$F$10)</f>
        <v>0</v>
      </c>
      <c r="E6" s="503">
        <f>IF(目录!$F$10=0,E5,E5*目录!$F$10)</f>
        <v>0</v>
      </c>
      <c r="F6" s="503" t="str">
        <f>IF(目录!$F$10=0,F5,F5*目录!$F$10)</f>
        <v>XXXX</v>
      </c>
      <c r="G6" s="95" t="str">
        <f>F6</f>
        <v>XXXX</v>
      </c>
      <c r="H6" s="95" t="str">
        <f>G6</f>
        <v>XXXX</v>
      </c>
      <c r="I6" s="156"/>
      <c r="N6" s="20"/>
      <c r="O6" s="20"/>
    </row>
    <row r="7" spans="2:65" ht="15" customHeight="1">
      <c r="B7" s="229" t="s">
        <v>51</v>
      </c>
      <c r="C7" s="230" t="str">
        <f>IF(ISERROR(((C4*C6)+资产负债表!O55-资产负债表!O6)/利润表!O34),"—",((C4*C6)+资产负债表!O55-资产负债表!O6)/利润表!O34)</f>
        <v>—</v>
      </c>
      <c r="D7" s="230" t="str">
        <f>IF(ISERROR(((D4*D6)+资产负债表!S55-资产负债表!S6)/利润表!S34),"—",((D4*D6)+资产负债表!S55-资产负债表!S6)/利润表!S34)</f>
        <v>—</v>
      </c>
      <c r="E7" s="230" t="str">
        <f>IF(ISERROR(((E4*E6)+资产负债表!W55-资产负债表!W6)/利润表!W34),"—",((E4*E6)+资产负债表!W55-资产负债表!W6)/利润表!W34)</f>
        <v>—</v>
      </c>
      <c r="F7" s="230" t="str">
        <f>IF(ISERROR(((F4*F6)+资产负债表!AA55-资产负债表!AA6)/利润表!AA34),"—",((F4*F6)+资产负债表!AA55-资产负债表!AA6)/利润表!AA34)</f>
        <v>—</v>
      </c>
      <c r="G7" s="230" t="str">
        <f>IF(ISERROR(((G4*G6)+资产负债表!AB55-资产负债表!AB6)/利润表!AB34),"—",((G4*G6)+资产负债表!AB55-资产负债表!AB6)/利润表!AB34)</f>
        <v>—</v>
      </c>
      <c r="H7" s="230" t="str">
        <f>IF(ISERROR(((H4*H6)+资产负债表!AC55-资产负债表!AC6)/利润表!AC34),"—",((H4*H6)+资产负债表!AC55-资产负债表!AC6)/利润表!AC34)</f>
        <v>—</v>
      </c>
      <c r="I7" s="156"/>
      <c r="N7" s="20"/>
      <c r="O7" s="20"/>
    </row>
    <row r="8" spans="2:65" ht="15" customHeight="1">
      <c r="B8" s="229" t="s">
        <v>246</v>
      </c>
      <c r="C8" s="230" t="str">
        <f>IF(ISERROR(((C4*C6)+资产负债表!O55-资产负债表!O6)/利润表!O6),"—",((C4*C6)+资产负债表!O55-资产负债表!O6)/利润表!O6)</f>
        <v>—</v>
      </c>
      <c r="D8" s="230" t="str">
        <f>IF(ISERROR(((D4*D6)+资产负债表!S55-资产负债表!S6)/利润表!S6),"—",((D4*D6)+资产负债表!S55-资产负债表!S6)/利润表!S6)</f>
        <v>—</v>
      </c>
      <c r="E8" s="230" t="str">
        <f>IF(ISERROR(((E4*E6)+资产负债表!W55-资产负债表!W6)/利润表!W6),"—",((E4*E6)+资产负债表!W55-资产负债表!W6)/利润表!W6)</f>
        <v>—</v>
      </c>
      <c r="F8" s="230" t="str">
        <f>IF(ISERROR(((F4*F6)+资产负债表!AA55-资产负债表!AA6)/利润表!AA6),"—",((F4*F6)+资产负债表!AA55-资产负债表!AA6)/利润表!AA6)</f>
        <v>—</v>
      </c>
      <c r="G8" s="230" t="str">
        <f>IF(ISERROR(((G4*G6)+资产负债表!AB55-资产负债表!AB6)/利润表!AB6),"—",((G4*G6)+资产负债表!AB55-资产负债表!AB6)/利润表!AB6)</f>
        <v>—</v>
      </c>
      <c r="H8" s="230" t="str">
        <f>IF(ISERROR(((H4*H6)+资产负债表!AC55-资产负债表!AC6)/利润表!AC6),"—",((H4*H6)+资产负债表!AC55-资产负债表!AC6)/利润表!AC6)</f>
        <v>—</v>
      </c>
      <c r="I8" s="156"/>
      <c r="N8" s="20"/>
      <c r="O8" s="20"/>
    </row>
    <row r="9" spans="2:65" ht="15" customHeight="1">
      <c r="B9" s="231" t="s">
        <v>59</v>
      </c>
      <c r="C9" s="232" t="str">
        <f t="shared" ref="C9:H9" si="0">C16</f>
        <v>—</v>
      </c>
      <c r="D9" s="232" t="str">
        <f t="shared" si="0"/>
        <v>—</v>
      </c>
      <c r="E9" s="232" t="str">
        <f t="shared" si="0"/>
        <v>—</v>
      </c>
      <c r="F9" s="232" t="str">
        <f t="shared" si="0"/>
        <v>—</v>
      </c>
      <c r="G9" s="232" t="str">
        <f t="shared" si="0"/>
        <v>—</v>
      </c>
      <c r="H9" s="232" t="str">
        <f t="shared" si="0"/>
        <v>—</v>
      </c>
      <c r="I9" s="156"/>
      <c r="N9" s="20"/>
      <c r="O9" s="20"/>
    </row>
    <row r="10" spans="2:65" ht="15" customHeight="1">
      <c r="B10" s="233" t="s">
        <v>130</v>
      </c>
      <c r="C10" s="234" t="str">
        <f t="shared" ref="C10:H10" si="1">C19</f>
        <v>—</v>
      </c>
      <c r="D10" s="234" t="str">
        <f t="shared" si="1"/>
        <v>—</v>
      </c>
      <c r="E10" s="234" t="str">
        <f t="shared" si="1"/>
        <v>—</v>
      </c>
      <c r="F10" s="234" t="str">
        <f t="shared" si="1"/>
        <v>—</v>
      </c>
      <c r="G10" s="234" t="str">
        <f t="shared" si="1"/>
        <v>—</v>
      </c>
      <c r="H10" s="234" t="str">
        <f t="shared" si="1"/>
        <v>—</v>
      </c>
      <c r="I10" s="140"/>
      <c r="O10" s="20"/>
      <c r="P10" s="20"/>
      <c r="Q10" s="504"/>
      <c r="R10" s="504"/>
      <c r="S10" s="504"/>
      <c r="T10" s="504"/>
      <c r="U10" s="504"/>
      <c r="V10" s="504"/>
      <c r="W10" s="504"/>
      <c r="X10" s="504"/>
      <c r="Y10" s="504"/>
      <c r="Z10" s="504"/>
      <c r="AA10" s="504"/>
      <c r="AB10" s="504"/>
      <c r="AC10" s="181"/>
      <c r="AD10" s="181"/>
      <c r="AE10" s="181"/>
      <c r="AF10" s="181"/>
      <c r="AG10" s="181"/>
      <c r="AH10" s="181"/>
      <c r="AI10" s="181"/>
      <c r="AJ10" s="181"/>
      <c r="AK10" s="181"/>
      <c r="AL10" s="181"/>
      <c r="AM10" s="181"/>
      <c r="AN10" s="181"/>
      <c r="AO10" s="181"/>
      <c r="AP10" s="181"/>
      <c r="AQ10" s="181"/>
      <c r="AR10" s="181"/>
      <c r="AS10" s="181"/>
      <c r="AT10" s="181"/>
      <c r="AU10" s="181"/>
      <c r="AV10" s="181"/>
      <c r="AW10" s="181"/>
      <c r="AX10" s="181"/>
      <c r="AY10" s="181"/>
      <c r="AZ10" s="181"/>
      <c r="BA10" s="181"/>
      <c r="BB10" s="181"/>
      <c r="BC10" s="181"/>
      <c r="BD10" s="181"/>
      <c r="BE10" s="181"/>
      <c r="BF10" s="181"/>
      <c r="BG10" s="181"/>
      <c r="BH10" s="181"/>
      <c r="BI10" s="181"/>
      <c r="BJ10" s="181"/>
      <c r="BK10" s="181"/>
      <c r="BL10" s="181"/>
      <c r="BM10" s="181"/>
    </row>
    <row r="11" spans="2:65" ht="15" customHeight="1">
      <c r="B11" s="229" t="s">
        <v>135</v>
      </c>
      <c r="C11" s="234" t="str">
        <f>报表摘要!K35</f>
        <v>—</v>
      </c>
      <c r="D11" s="234" t="str">
        <f>报表摘要!L35</f>
        <v>—</v>
      </c>
      <c r="E11" s="234" t="str">
        <f>报表摘要!M35</f>
        <v>—</v>
      </c>
      <c r="F11" s="234" t="str">
        <f>报表摘要!N35</f>
        <v>—</v>
      </c>
      <c r="G11" s="234" t="str">
        <f>报表摘要!O35</f>
        <v>—</v>
      </c>
      <c r="H11" s="234" t="str">
        <f>报表摘要!P35</f>
        <v>—</v>
      </c>
      <c r="I11" s="156"/>
      <c r="N11" s="20"/>
      <c r="O11" s="20"/>
      <c r="P11" s="505"/>
    </row>
    <row r="12" spans="2:65" ht="15" customHeight="1">
      <c r="B12" s="229" t="s">
        <v>134</v>
      </c>
      <c r="C12" s="234" t="str">
        <f>报表摘要!K36</f>
        <v>—</v>
      </c>
      <c r="D12" s="234" t="str">
        <f>报表摘要!L36</f>
        <v>—</v>
      </c>
      <c r="E12" s="234" t="str">
        <f>报表摘要!M36</f>
        <v>—</v>
      </c>
      <c r="F12" s="234" t="str">
        <f>报表摘要!N36</f>
        <v>—</v>
      </c>
      <c r="G12" s="234" t="str">
        <f>报表摘要!O36</f>
        <v>—</v>
      </c>
      <c r="H12" s="234" t="str">
        <f>报表摘要!P36</f>
        <v>—</v>
      </c>
      <c r="I12" s="156"/>
      <c r="N12" s="20"/>
      <c r="O12" s="20"/>
    </row>
    <row r="13" spans="2:65" ht="15" customHeight="1">
      <c r="B13" s="229"/>
      <c r="C13" s="229"/>
      <c r="D13" s="140"/>
      <c r="E13" s="140"/>
      <c r="F13" s="140"/>
      <c r="G13" s="140"/>
      <c r="H13" s="140"/>
      <c r="I13" s="156"/>
      <c r="N13" s="20"/>
      <c r="O13" s="20"/>
    </row>
    <row r="14" spans="2:65" ht="15" customHeight="1">
      <c r="B14" s="224" t="s">
        <v>247</v>
      </c>
      <c r="C14" s="225">
        <f t="shared" ref="C14:H14" si="2">C3</f>
        <v>2019</v>
      </c>
      <c r="D14" s="225">
        <f t="shared" si="2"/>
        <v>2020</v>
      </c>
      <c r="E14" s="225">
        <f t="shared" si="2"/>
        <v>2021</v>
      </c>
      <c r="F14" s="225" t="str">
        <f t="shared" si="2"/>
        <v>2022E</v>
      </c>
      <c r="G14" s="227">
        <f t="shared" si="2"/>
        <v>2023</v>
      </c>
      <c r="H14" s="227">
        <f t="shared" si="2"/>
        <v>2024</v>
      </c>
      <c r="I14" s="156"/>
      <c r="N14" s="20"/>
      <c r="O14" s="20"/>
    </row>
    <row r="15" spans="2:65" ht="15" customHeight="1">
      <c r="B15" s="231" t="s">
        <v>42</v>
      </c>
      <c r="C15" s="75">
        <f>利润表!O6+利润表!O7</f>
        <v>0</v>
      </c>
      <c r="D15" s="75">
        <f>利润表!S6+利润表!S7</f>
        <v>0</v>
      </c>
      <c r="E15" s="75">
        <f>利润表!W6+利润表!W7</f>
        <v>0</v>
      </c>
      <c r="F15" s="75">
        <f>利润表!AA6+利润表!AA7</f>
        <v>0</v>
      </c>
      <c r="G15" s="75">
        <f>利润表!AB6+利润表!AB7</f>
        <v>0</v>
      </c>
      <c r="H15" s="75">
        <f>利润表!AC6+利润表!AC7</f>
        <v>0</v>
      </c>
      <c r="I15" s="501"/>
      <c r="N15" s="20"/>
      <c r="O15" s="20"/>
    </row>
    <row r="16" spans="2:65" ht="15" customHeight="1">
      <c r="B16" s="235" t="s">
        <v>248</v>
      </c>
      <c r="C16" s="232" t="str">
        <f>IF(ISERROR((利润表!O6+利润表!O7-利润表!K6-利润表!K7)/ABS(利润表!K6+利润表!K7)),"—",(利润表!O6+利润表!O7-利润表!K6-利润表!K7)/ABS(利润表!K6+利润表!K7))</f>
        <v>—</v>
      </c>
      <c r="D16" s="232" t="str">
        <f>IF(ISERROR((D15-C15)/ABS(C15)),"—",(D15-C15)/ABS(C15))</f>
        <v>—</v>
      </c>
      <c r="E16" s="232" t="str">
        <f t="shared" ref="E16:H16" si="3">IF(ISERROR((E15-D15)/ABS(D15)),"—",(E15-D15)/ABS(D15))</f>
        <v>—</v>
      </c>
      <c r="F16" s="232" t="str">
        <f t="shared" si="3"/>
        <v>—</v>
      </c>
      <c r="G16" s="232" t="str">
        <f t="shared" si="3"/>
        <v>—</v>
      </c>
      <c r="H16" s="232" t="str">
        <f t="shared" si="3"/>
        <v>—</v>
      </c>
      <c r="I16" s="502"/>
      <c r="N16" s="20"/>
      <c r="O16" s="20"/>
    </row>
    <row r="17" spans="1:15" ht="15" customHeight="1">
      <c r="B17" s="229" t="s">
        <v>61</v>
      </c>
      <c r="C17" s="75">
        <f>利润表!O34</f>
        <v>0</v>
      </c>
      <c r="D17" s="75">
        <f>利润表!S34</f>
        <v>0</v>
      </c>
      <c r="E17" s="75">
        <f>利润表!W34</f>
        <v>0</v>
      </c>
      <c r="F17" s="75">
        <f>利润表!AA34</f>
        <v>0</v>
      </c>
      <c r="G17" s="75">
        <f>利润表!AB34</f>
        <v>0</v>
      </c>
      <c r="H17" s="75">
        <f>利润表!AC34</f>
        <v>0</v>
      </c>
      <c r="I17" s="156"/>
      <c r="N17" s="20"/>
      <c r="O17" s="20"/>
    </row>
    <row r="18" spans="1:15" ht="15" customHeight="1">
      <c r="B18" s="231" t="s">
        <v>137</v>
      </c>
      <c r="C18" s="75">
        <f>利润表!O29</f>
        <v>0</v>
      </c>
      <c r="D18" s="75">
        <f>利润表!S29</f>
        <v>0</v>
      </c>
      <c r="E18" s="75">
        <f>利润表!W29</f>
        <v>0</v>
      </c>
      <c r="F18" s="75">
        <f>利润表!AA29</f>
        <v>0</v>
      </c>
      <c r="G18" s="75">
        <f>利润表!AB29</f>
        <v>0</v>
      </c>
      <c r="H18" s="75">
        <f>利润表!AC29</f>
        <v>0</v>
      </c>
      <c r="I18" s="156"/>
      <c r="N18" s="20"/>
      <c r="O18" s="20"/>
    </row>
    <row r="19" spans="1:15" ht="15" customHeight="1">
      <c r="B19" s="235" t="s">
        <v>248</v>
      </c>
      <c r="C19" s="232" t="str">
        <f>报表摘要!K41</f>
        <v>—</v>
      </c>
      <c r="D19" s="232" t="str">
        <f>报表摘要!L41</f>
        <v>—</v>
      </c>
      <c r="E19" s="232" t="str">
        <f>报表摘要!M41</f>
        <v>—</v>
      </c>
      <c r="F19" s="232" t="str">
        <f>报表摘要!N41</f>
        <v>—</v>
      </c>
      <c r="G19" s="232" t="str">
        <f>报表摘要!O41</f>
        <v>—</v>
      </c>
      <c r="H19" s="232" t="str">
        <f>报表摘要!P41</f>
        <v>—</v>
      </c>
      <c r="I19" s="156"/>
      <c r="N19" s="20"/>
      <c r="O19" s="20"/>
    </row>
    <row r="20" spans="1:15" ht="15" customHeight="1">
      <c r="B20" s="229" t="s">
        <v>249</v>
      </c>
      <c r="C20" s="75">
        <f>IF(ISERROR(财务基础数据!$O$32),"—",财务基础数据!$O$32)</f>
        <v>0</v>
      </c>
      <c r="D20" s="75">
        <f>IF(ISERROR(财务基础数据!$S$32),"—",财务基础数据!$S$32)</f>
        <v>0</v>
      </c>
      <c r="E20" s="75">
        <f>IF(ISERROR(财务基础数据!$W$32),"—",财务基础数据!$W$32)</f>
        <v>0</v>
      </c>
      <c r="F20" s="75" t="str">
        <f>IF(ISERROR(F18/F4),"—",F18/F4)</f>
        <v>—</v>
      </c>
      <c r="G20" s="75" t="str">
        <f t="shared" ref="G20:H20" si="4">IF(ISERROR(G18/G4),"—",G18/G4)</f>
        <v>—</v>
      </c>
      <c r="H20" s="75" t="str">
        <f t="shared" si="4"/>
        <v>—</v>
      </c>
      <c r="I20" s="156"/>
      <c r="N20" s="20"/>
      <c r="O20" s="20"/>
    </row>
    <row r="21" spans="1:15" ht="15" customHeight="1">
      <c r="B21" s="231" t="s">
        <v>45</v>
      </c>
      <c r="C21" s="75" t="str">
        <f>IF(ISERROR((资产负债表!O45)/C4),"—",(资产负债表!O45)/C4)</f>
        <v>—</v>
      </c>
      <c r="D21" s="75" t="str">
        <f>IF(ISERROR((资产负债表!S45)/D4),"—",(资产负债表!S45)/D4)</f>
        <v>—</v>
      </c>
      <c r="E21" s="75" t="str">
        <f>IF(ISERROR((资产负债表!W45)/E4),"—",(资产负债表!W45)/E4)</f>
        <v>—</v>
      </c>
      <c r="F21" s="75" t="str">
        <f>IF(ISERROR((资产负债表!AA45)/F4),"—",(资产负债表!AA45)/F4)</f>
        <v>—</v>
      </c>
      <c r="G21" s="75" t="str">
        <f>IF(ISERROR((资产负债表!AB45)/G4),"—",(资产负债表!AB45)/G4)</f>
        <v>—</v>
      </c>
      <c r="H21" s="75" t="str">
        <f>IF(ISERROR((资产负债表!AC45)/H4),"—",(资产负债表!AC45)/H4)</f>
        <v>—</v>
      </c>
      <c r="I21" s="156"/>
      <c r="N21" s="20"/>
      <c r="O21" s="20"/>
    </row>
    <row r="22" spans="1:15" ht="15" customHeight="1">
      <c r="B22" s="229" t="s">
        <v>250</v>
      </c>
      <c r="C22" s="75" t="str">
        <f t="shared" ref="C22:H22" si="5">IF(ISERROR(C6/C20),"—",C6/C20)</f>
        <v>—</v>
      </c>
      <c r="D22" s="75" t="str">
        <f t="shared" si="5"/>
        <v>—</v>
      </c>
      <c r="E22" s="75" t="str">
        <f t="shared" si="5"/>
        <v>—</v>
      </c>
      <c r="F22" s="75" t="str">
        <f t="shared" si="5"/>
        <v>—</v>
      </c>
      <c r="G22" s="75" t="str">
        <f t="shared" si="5"/>
        <v>—</v>
      </c>
      <c r="H22" s="75" t="str">
        <f t="shared" si="5"/>
        <v>—</v>
      </c>
      <c r="I22" s="156"/>
      <c r="N22" s="20"/>
      <c r="O22" s="20"/>
    </row>
    <row r="23" spans="1:15" ht="15" customHeight="1">
      <c r="B23" s="229" t="s">
        <v>251</v>
      </c>
      <c r="C23" s="75" t="str">
        <f t="shared" ref="C23:H23" si="6">IF(ISERROR(C6/C21),"—",C6/C21)</f>
        <v>—</v>
      </c>
      <c r="D23" s="75" t="str">
        <f t="shared" si="6"/>
        <v>—</v>
      </c>
      <c r="E23" s="75" t="str">
        <f t="shared" si="6"/>
        <v>—</v>
      </c>
      <c r="F23" s="75" t="str">
        <f t="shared" si="6"/>
        <v>—</v>
      </c>
      <c r="G23" s="75" t="str">
        <f t="shared" si="6"/>
        <v>—</v>
      </c>
      <c r="H23" s="75" t="str">
        <f t="shared" si="6"/>
        <v>—</v>
      </c>
      <c r="I23" s="156"/>
      <c r="N23" s="20"/>
      <c r="O23" s="20"/>
    </row>
    <row r="24" spans="1:15" ht="15" customHeight="1">
      <c r="B24" s="229" t="s">
        <v>252</v>
      </c>
      <c r="C24" s="75" t="str">
        <f>IF(OR(ISERROR(C22/(C19*100)),C10&lt;0),"—",C22/(C19*100))</f>
        <v>—</v>
      </c>
      <c r="D24" s="75" t="str">
        <f t="shared" ref="D24:H24" si="7">IF(OR(ISERROR(D22/(D19*100)),D10&lt;0),"—",D22/(D19*100))</f>
        <v>—</v>
      </c>
      <c r="E24" s="75" t="str">
        <f t="shared" si="7"/>
        <v>—</v>
      </c>
      <c r="F24" s="75" t="str">
        <f t="shared" si="7"/>
        <v>—</v>
      </c>
      <c r="G24" s="75" t="str">
        <f t="shared" si="7"/>
        <v>—</v>
      </c>
      <c r="H24" s="75" t="str">
        <f t="shared" si="7"/>
        <v>—</v>
      </c>
    </row>
    <row r="25" spans="1:15" ht="15" customHeight="1">
      <c r="B25" s="231" t="s">
        <v>253</v>
      </c>
      <c r="C25" s="75" t="str">
        <f>IF(ISERROR(现金流量表!O16/C4),"—",现金流量表!O16/C4)</f>
        <v>—</v>
      </c>
      <c r="D25" s="75" t="str">
        <f>IF(ISERROR(现金流量表!S16/D4),"—",现金流量表!S16/D4)</f>
        <v>—</v>
      </c>
      <c r="E25" s="75" t="str">
        <f>IF(ISERROR(现金流量表!W16/E4),"—",现金流量表!W16/E4)</f>
        <v>—</v>
      </c>
      <c r="F25" s="75" t="str">
        <f>IF(ISERROR(现金流量表!AA16/F4),"—",现金流量表!AA16/F4)</f>
        <v>—</v>
      </c>
      <c r="G25" s="75" t="str">
        <f>IF(ISERROR(现金流量表!AB16/G4),"—",现金流量表!AB16/G4)</f>
        <v>—</v>
      </c>
      <c r="H25" s="75" t="str">
        <f>IF(ISERROR(现金流量表!AC16/H4),"—",现金流量表!AC16/H4)</f>
        <v>—</v>
      </c>
    </row>
    <row r="27" spans="1:15">
      <c r="B27" s="506"/>
      <c r="C27" s="506"/>
      <c r="D27" s="507"/>
      <c r="E27" s="507"/>
      <c r="F27" s="507"/>
    </row>
    <row r="30" spans="1:15">
      <c r="A30" s="132"/>
    </row>
    <row r="129" spans="5:5">
      <c r="E129" s="20">
        <f>财务基础数据!$S$128</f>
        <v>0</v>
      </c>
    </row>
  </sheetData>
  <phoneticPr fontId="9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9"/>
  <dimension ref="B2:Q72"/>
  <sheetViews>
    <sheetView zoomScaleNormal="100" workbookViewId="0">
      <selection activeCell="J2" sqref="J2"/>
    </sheetView>
  </sheetViews>
  <sheetFormatPr defaultColWidth="8.75" defaultRowHeight="14.25"/>
  <cols>
    <col min="1" max="1" width="4" style="214" customWidth="1"/>
    <col min="2" max="2" width="21.125" style="508" customWidth="1"/>
    <col min="3" max="8" width="12.625" style="214" customWidth="1"/>
    <col min="9" max="9" width="4" style="214" customWidth="1"/>
    <col min="10" max="10" width="19.125" style="508" customWidth="1"/>
    <col min="11" max="16" width="12.625" style="214" customWidth="1"/>
    <col min="17" max="17" width="18.375" style="214" customWidth="1"/>
    <col min="18" max="16384" width="8.75" style="214"/>
  </cols>
  <sheetData>
    <row r="2" spans="2:16">
      <c r="L2" s="509"/>
      <c r="M2" s="509"/>
      <c r="N2" s="509"/>
      <c r="O2" s="509"/>
      <c r="P2" s="509"/>
    </row>
    <row r="3" spans="2:16">
      <c r="B3" s="510" t="s">
        <v>254</v>
      </c>
      <c r="C3" s="215"/>
      <c r="D3" s="215"/>
      <c r="E3" s="215"/>
      <c r="F3" s="215"/>
      <c r="G3" s="215"/>
      <c r="H3" s="216" t="str">
        <f>主要财务摘要!$H$2</f>
        <v>单位：港币(百万)</v>
      </c>
      <c r="I3" s="217"/>
      <c r="J3" s="511" t="s">
        <v>36</v>
      </c>
      <c r="K3" s="512"/>
      <c r="L3" s="215"/>
      <c r="M3" s="215"/>
      <c r="N3" s="215"/>
      <c r="O3" s="215"/>
      <c r="P3" s="216" t="str">
        <f>主要财务摘要!$H$2</f>
        <v>单位：港币(百万)</v>
      </c>
    </row>
    <row r="4" spans="2:16">
      <c r="B4" s="513"/>
      <c r="C4" s="514">
        <f>利润表!O4</f>
        <v>2019</v>
      </c>
      <c r="D4" s="514">
        <f>利润表!S4</f>
        <v>2020</v>
      </c>
      <c r="E4" s="514">
        <f>利润表!W4</f>
        <v>2021</v>
      </c>
      <c r="F4" s="515" t="str">
        <f>利润表!AA4</f>
        <v>2022E</v>
      </c>
      <c r="G4" s="515">
        <f>利润表!AB4</f>
        <v>2023</v>
      </c>
      <c r="H4" s="515">
        <f>利润表!AC4</f>
        <v>2024</v>
      </c>
      <c r="I4" s="217"/>
      <c r="J4" s="516"/>
      <c r="K4" s="514">
        <f t="shared" ref="K4:P4" si="0">C4</f>
        <v>2019</v>
      </c>
      <c r="L4" s="514">
        <f t="shared" si="0"/>
        <v>2020</v>
      </c>
      <c r="M4" s="514">
        <f t="shared" si="0"/>
        <v>2021</v>
      </c>
      <c r="N4" s="515" t="str">
        <f t="shared" si="0"/>
        <v>2022E</v>
      </c>
      <c r="O4" s="515">
        <f t="shared" si="0"/>
        <v>2023</v>
      </c>
      <c r="P4" s="515">
        <f t="shared" si="0"/>
        <v>2024</v>
      </c>
    </row>
    <row r="5" spans="2:16">
      <c r="B5" s="516" t="s">
        <v>87</v>
      </c>
      <c r="C5" s="517">
        <f>利润表!O6</f>
        <v>0</v>
      </c>
      <c r="D5" s="517">
        <f>利润表!S6</f>
        <v>0</v>
      </c>
      <c r="E5" s="517">
        <f>利润表!W6</f>
        <v>0</v>
      </c>
      <c r="F5" s="517">
        <f>利润表!AA6</f>
        <v>0</v>
      </c>
      <c r="G5" s="517">
        <f>利润表!AB6</f>
        <v>0</v>
      </c>
      <c r="H5" s="517">
        <f>利润表!AC6</f>
        <v>0</v>
      </c>
      <c r="I5" s="217"/>
      <c r="J5" s="516" t="s">
        <v>68</v>
      </c>
      <c r="K5" s="509">
        <f>资产负债表!O6</f>
        <v>0</v>
      </c>
      <c r="L5" s="509">
        <f>资产负债表!S6</f>
        <v>0</v>
      </c>
      <c r="M5" s="509">
        <f>资产负债表!W6</f>
        <v>0</v>
      </c>
      <c r="N5" s="509">
        <f>资产负债表!AA6</f>
        <v>0</v>
      </c>
      <c r="O5" s="509">
        <f>资产负债表!AB6</f>
        <v>0</v>
      </c>
      <c r="P5" s="509">
        <f>资产负债表!AC6</f>
        <v>0</v>
      </c>
    </row>
    <row r="6" spans="2:16">
      <c r="B6" s="516" t="s">
        <v>112</v>
      </c>
      <c r="C6" s="518" t="str">
        <f>IF(ISERROR((利润表!O6-利润表!K6)/ABS(利润表!K6)),"—",(利润表!O6-利润表!K6)/ABS(利润表!K6))</f>
        <v>—</v>
      </c>
      <c r="D6" s="518" t="str">
        <f>IF(ISERROR((D5-C5)/ABS(C5)),"—",(D5-C5)/ABS(C5))</f>
        <v>—</v>
      </c>
      <c r="E6" s="518" t="str">
        <f>IF(ISERROR((E5-D5)/ABS(D5)),"—",(E5-D5)/ABS(D5))</f>
        <v>—</v>
      </c>
      <c r="F6" s="518" t="str">
        <f>IF(ISERROR((F5-E5)/ABS(E5)),"—",(F5-E5)/ABS(E5))</f>
        <v>—</v>
      </c>
      <c r="G6" s="518" t="str">
        <f>IF(ISERROR((G5-F5)/ABS(F5)),"—",(G5-F5)/ABS(F5))</f>
        <v>—</v>
      </c>
      <c r="H6" s="518" t="str">
        <f>IF(ISERROR((H5-G5)/ABS(G5)),"—",(H5-G5)/ABS(G5))</f>
        <v>—</v>
      </c>
      <c r="I6" s="217"/>
      <c r="J6" s="516" t="s">
        <v>107</v>
      </c>
      <c r="K6" s="509">
        <f>资产负债表!O9+资产负债表!O10</f>
        <v>0</v>
      </c>
      <c r="L6" s="509">
        <f>资产负债表!S9+资产负债表!S10</f>
        <v>0</v>
      </c>
      <c r="M6" s="509">
        <f>资产负债表!W9+资产负债表!W10</f>
        <v>0</v>
      </c>
      <c r="N6" s="509">
        <f>资产负债表!AA9+资产负债表!AA10</f>
        <v>0</v>
      </c>
      <c r="O6" s="509">
        <f>资产负债表!AB9+资产负债表!AB10</f>
        <v>0</v>
      </c>
      <c r="P6" s="509">
        <f>资产负债表!AC9+资产负债表!AC10</f>
        <v>0</v>
      </c>
    </row>
    <row r="7" spans="2:16">
      <c r="B7" s="516" t="s">
        <v>44</v>
      </c>
      <c r="C7" s="517">
        <f>利润表!O9</f>
        <v>0</v>
      </c>
      <c r="D7" s="517">
        <f>利润表!S9</f>
        <v>0</v>
      </c>
      <c r="E7" s="517">
        <f>利润表!W9</f>
        <v>0</v>
      </c>
      <c r="F7" s="517">
        <f>利润表!AA9</f>
        <v>0</v>
      </c>
      <c r="G7" s="517">
        <f>利润表!AB9</f>
        <v>0</v>
      </c>
      <c r="H7" s="517">
        <f>利润表!AC9</f>
        <v>0</v>
      </c>
      <c r="I7" s="217"/>
      <c r="J7" s="516" t="s">
        <v>70</v>
      </c>
      <c r="K7" s="509">
        <f>资产负债表!O11</f>
        <v>0</v>
      </c>
      <c r="L7" s="509">
        <f>资产负债表!S11</f>
        <v>0</v>
      </c>
      <c r="M7" s="509">
        <f>资产负债表!W11</f>
        <v>0</v>
      </c>
      <c r="N7" s="509">
        <f>资产负债表!AA11</f>
        <v>0</v>
      </c>
      <c r="O7" s="509">
        <f>资产负债表!AB11</f>
        <v>0</v>
      </c>
      <c r="P7" s="509">
        <f>资产负债表!AC11</f>
        <v>0</v>
      </c>
    </row>
    <row r="8" spans="2:16">
      <c r="B8" s="519" t="s">
        <v>255</v>
      </c>
      <c r="C8" s="520" t="str">
        <f t="shared" ref="C8:H8" si="1">IF(ISERROR(C7/C5),"—",C7/C5)</f>
        <v>—</v>
      </c>
      <c r="D8" s="520" t="str">
        <f t="shared" si="1"/>
        <v>—</v>
      </c>
      <c r="E8" s="520" t="str">
        <f t="shared" si="1"/>
        <v>—</v>
      </c>
      <c r="F8" s="520" t="str">
        <f t="shared" si="1"/>
        <v>—</v>
      </c>
      <c r="G8" s="520" t="str">
        <f t="shared" si="1"/>
        <v>—</v>
      </c>
      <c r="H8" s="520" t="str">
        <f t="shared" si="1"/>
        <v>—</v>
      </c>
      <c r="I8" s="217"/>
      <c r="J8" s="516" t="s">
        <v>96</v>
      </c>
      <c r="K8" s="509">
        <f t="shared" ref="K8:P8" si="2">K9-K5-K6-K7</f>
        <v>0</v>
      </c>
      <c r="L8" s="509">
        <f t="shared" si="2"/>
        <v>0</v>
      </c>
      <c r="M8" s="509">
        <f t="shared" si="2"/>
        <v>0</v>
      </c>
      <c r="N8" s="509">
        <f t="shared" si="2"/>
        <v>0</v>
      </c>
      <c r="O8" s="509">
        <f t="shared" si="2"/>
        <v>0</v>
      </c>
      <c r="P8" s="509">
        <f t="shared" si="2"/>
        <v>0</v>
      </c>
    </row>
    <row r="9" spans="2:16">
      <c r="B9" s="521" t="s">
        <v>113</v>
      </c>
      <c r="C9" s="522">
        <f>利润表!O16</f>
        <v>0</v>
      </c>
      <c r="D9" s="522">
        <f>利润表!S16</f>
        <v>0</v>
      </c>
      <c r="E9" s="522">
        <f>利润表!W16</f>
        <v>0</v>
      </c>
      <c r="F9" s="522">
        <f>利润表!AA16</f>
        <v>0</v>
      </c>
      <c r="G9" s="522">
        <f>利润表!AB16</f>
        <v>0</v>
      </c>
      <c r="H9" s="522">
        <f>利润表!AC16</f>
        <v>0</v>
      </c>
      <c r="I9" s="217"/>
      <c r="J9" s="521" t="s">
        <v>88</v>
      </c>
      <c r="K9" s="522">
        <f>资产负债表!O13</f>
        <v>0</v>
      </c>
      <c r="L9" s="522">
        <f>资产负债表!S13</f>
        <v>0</v>
      </c>
      <c r="M9" s="522">
        <f>资产负债表!W13</f>
        <v>0</v>
      </c>
      <c r="N9" s="522">
        <f>资产负债表!AA13</f>
        <v>0</v>
      </c>
      <c r="O9" s="522">
        <f>资产负债表!AB13</f>
        <v>0</v>
      </c>
      <c r="P9" s="522">
        <f>资产负债表!AC13</f>
        <v>0</v>
      </c>
    </row>
    <row r="10" spans="2:16">
      <c r="B10" s="519" t="s">
        <v>255</v>
      </c>
      <c r="C10" s="520" t="str">
        <f t="shared" ref="C10:H10" si="3">IF(ISERROR(C9/C5),"—",C9/C5)</f>
        <v>—</v>
      </c>
      <c r="D10" s="520" t="str">
        <f t="shared" si="3"/>
        <v>—</v>
      </c>
      <c r="E10" s="520" t="str">
        <f t="shared" si="3"/>
        <v>—</v>
      </c>
      <c r="F10" s="520" t="str">
        <f t="shared" si="3"/>
        <v>—</v>
      </c>
      <c r="G10" s="520" t="str">
        <f t="shared" si="3"/>
        <v>—</v>
      </c>
      <c r="H10" s="520" t="str">
        <f t="shared" si="3"/>
        <v>—</v>
      </c>
      <c r="I10" s="217"/>
      <c r="J10" s="516" t="s">
        <v>188</v>
      </c>
      <c r="K10" s="509">
        <f>资产负债表!O16</f>
        <v>0</v>
      </c>
      <c r="L10" s="509">
        <f>资产负债表!S16</f>
        <v>0</v>
      </c>
      <c r="M10" s="509">
        <f>资产负债表!W16</f>
        <v>0</v>
      </c>
      <c r="N10" s="509">
        <f>资产负债表!AA16</f>
        <v>0</v>
      </c>
      <c r="O10" s="509">
        <f>资产负债表!AB16</f>
        <v>0</v>
      </c>
      <c r="P10" s="509">
        <f>资产负债表!AC16</f>
        <v>0</v>
      </c>
    </row>
    <row r="11" spans="2:16">
      <c r="B11" s="516" t="s">
        <v>138</v>
      </c>
      <c r="C11" s="509">
        <f>利润表!O7</f>
        <v>0</v>
      </c>
      <c r="D11" s="509">
        <f>利润表!S7</f>
        <v>0</v>
      </c>
      <c r="E11" s="509">
        <f>利润表!W7</f>
        <v>0</v>
      </c>
      <c r="F11" s="509">
        <f>利润表!AA7</f>
        <v>0</v>
      </c>
      <c r="G11" s="509">
        <f>利润表!AB7</f>
        <v>0</v>
      </c>
      <c r="H11" s="509">
        <f>利润表!AC7</f>
        <v>0</v>
      </c>
      <c r="I11" s="217"/>
      <c r="J11" s="516" t="s">
        <v>72</v>
      </c>
      <c r="K11" s="509">
        <f>资产负债表!O15</f>
        <v>0</v>
      </c>
      <c r="L11" s="509">
        <f>资产负债表!S15</f>
        <v>0</v>
      </c>
      <c r="M11" s="509">
        <f>资产负债表!W15</f>
        <v>0</v>
      </c>
      <c r="N11" s="509">
        <f>资产负债表!AA15</f>
        <v>0</v>
      </c>
      <c r="O11" s="509">
        <f>资产负债表!AB15</f>
        <v>0</v>
      </c>
      <c r="P11" s="509">
        <f>资产负债表!AC15</f>
        <v>0</v>
      </c>
    </row>
    <row r="12" spans="2:16">
      <c r="B12" s="519" t="s">
        <v>255</v>
      </c>
      <c r="C12" s="520" t="str">
        <f t="shared" ref="C12:H12" si="4">IF(ISERROR(C11/C5),"—",C11/C5)</f>
        <v>—</v>
      </c>
      <c r="D12" s="520" t="str">
        <f t="shared" si="4"/>
        <v>—</v>
      </c>
      <c r="E12" s="520" t="str">
        <f t="shared" si="4"/>
        <v>—</v>
      </c>
      <c r="F12" s="520" t="str">
        <f t="shared" si="4"/>
        <v>—</v>
      </c>
      <c r="G12" s="520" t="str">
        <f t="shared" si="4"/>
        <v>—</v>
      </c>
      <c r="H12" s="520" t="str">
        <f t="shared" si="4"/>
        <v>—</v>
      </c>
      <c r="I12" s="217"/>
      <c r="J12" s="516" t="s">
        <v>74</v>
      </c>
      <c r="K12" s="509">
        <f>资产负债表!O20</f>
        <v>0</v>
      </c>
      <c r="L12" s="509">
        <f>资产负债表!S20</f>
        <v>0</v>
      </c>
      <c r="M12" s="509">
        <f>资产负债表!W20</f>
        <v>0</v>
      </c>
      <c r="N12" s="509">
        <f>资产负债表!AA20</f>
        <v>0</v>
      </c>
      <c r="O12" s="509">
        <f>资产负债表!AB20</f>
        <v>0</v>
      </c>
      <c r="P12" s="509">
        <f>资产负债表!AC20</f>
        <v>0</v>
      </c>
    </row>
    <row r="13" spans="2:16">
      <c r="B13" s="516" t="s">
        <v>89</v>
      </c>
      <c r="C13" s="509">
        <f>利润表!O12</f>
        <v>0</v>
      </c>
      <c r="D13" s="509">
        <f>利润表!S12</f>
        <v>0</v>
      </c>
      <c r="E13" s="509">
        <f>利润表!W12</f>
        <v>0</v>
      </c>
      <c r="F13" s="509">
        <f>利润表!AA12</f>
        <v>0</v>
      </c>
      <c r="G13" s="509">
        <f>利润表!AB12</f>
        <v>0</v>
      </c>
      <c r="H13" s="509">
        <f>利润表!AC12</f>
        <v>0</v>
      </c>
      <c r="I13" s="217"/>
      <c r="J13" s="521" t="s">
        <v>90</v>
      </c>
      <c r="K13" s="522">
        <f>资产负债表!O23</f>
        <v>0</v>
      </c>
      <c r="L13" s="522">
        <f>资产负债表!S23</f>
        <v>0</v>
      </c>
      <c r="M13" s="522">
        <f>资产负债表!W23</f>
        <v>0</v>
      </c>
      <c r="N13" s="522">
        <f>资产负债表!AA23</f>
        <v>0</v>
      </c>
      <c r="O13" s="522">
        <f>资产负债表!AB23</f>
        <v>0</v>
      </c>
      <c r="P13" s="522">
        <f>资产负债表!AC23</f>
        <v>0</v>
      </c>
    </row>
    <row r="14" spans="2:16">
      <c r="B14" s="519" t="s">
        <v>255</v>
      </c>
      <c r="C14" s="520" t="str">
        <f t="shared" ref="C14:H14" si="5">IF(ISERROR(C13/C5),"—",C13/C5)</f>
        <v>—</v>
      </c>
      <c r="D14" s="520" t="str">
        <f t="shared" si="5"/>
        <v>—</v>
      </c>
      <c r="E14" s="520" t="str">
        <f t="shared" si="5"/>
        <v>—</v>
      </c>
      <c r="F14" s="520" t="str">
        <f t="shared" si="5"/>
        <v>—</v>
      </c>
      <c r="G14" s="520" t="str">
        <f t="shared" si="5"/>
        <v>—</v>
      </c>
      <c r="H14" s="520" t="str">
        <f t="shared" si="5"/>
        <v>—</v>
      </c>
      <c r="I14" s="217"/>
      <c r="J14" s="521" t="s">
        <v>76</v>
      </c>
      <c r="K14" s="522">
        <f>资产负债表!O24</f>
        <v>0</v>
      </c>
      <c r="L14" s="522">
        <f>资产负债表!S24</f>
        <v>0</v>
      </c>
      <c r="M14" s="522">
        <f>资产负债表!W24</f>
        <v>0</v>
      </c>
      <c r="N14" s="522">
        <f>资产负债表!AA24</f>
        <v>0</v>
      </c>
      <c r="O14" s="522">
        <f>资产负债表!AB24</f>
        <v>0</v>
      </c>
      <c r="P14" s="522">
        <f>资产负债表!AC24</f>
        <v>0</v>
      </c>
    </row>
    <row r="15" spans="2:16">
      <c r="B15" s="516" t="s">
        <v>49</v>
      </c>
      <c r="C15" s="509">
        <f>利润表!O13</f>
        <v>0</v>
      </c>
      <c r="D15" s="509">
        <f>利润表!S13</f>
        <v>0</v>
      </c>
      <c r="E15" s="509">
        <f>利润表!W13</f>
        <v>0</v>
      </c>
      <c r="F15" s="509">
        <f>利润表!AA13</f>
        <v>0</v>
      </c>
      <c r="G15" s="509">
        <f>利润表!AB13</f>
        <v>0</v>
      </c>
      <c r="H15" s="509">
        <f>利润表!AC13</f>
        <v>0</v>
      </c>
      <c r="I15" s="217"/>
      <c r="J15" s="516" t="s">
        <v>108</v>
      </c>
      <c r="K15" s="509">
        <f>资产负债表!O28</f>
        <v>0</v>
      </c>
      <c r="L15" s="509">
        <f>资产负债表!S28</f>
        <v>0</v>
      </c>
      <c r="M15" s="509">
        <f>资产负债表!W28</f>
        <v>0</v>
      </c>
      <c r="N15" s="509">
        <f>资产负债表!AA28</f>
        <v>0</v>
      </c>
      <c r="O15" s="509">
        <f>资产负债表!AB28</f>
        <v>0</v>
      </c>
      <c r="P15" s="509">
        <f>资产负债表!AC28</f>
        <v>0</v>
      </c>
    </row>
    <row r="16" spans="2:16">
      <c r="B16" s="519" t="s">
        <v>255</v>
      </c>
      <c r="C16" s="520" t="str">
        <f t="shared" ref="C16:H16" si="6">IF(ISERROR(C15/C5),"—",C15/C5)</f>
        <v>—</v>
      </c>
      <c r="D16" s="520" t="str">
        <f t="shared" si="6"/>
        <v>—</v>
      </c>
      <c r="E16" s="520" t="str">
        <f t="shared" si="6"/>
        <v>—</v>
      </c>
      <c r="F16" s="520" t="str">
        <f t="shared" si="6"/>
        <v>—</v>
      </c>
      <c r="G16" s="520" t="str">
        <f t="shared" si="6"/>
        <v>—</v>
      </c>
      <c r="H16" s="520" t="str">
        <f t="shared" si="6"/>
        <v>—</v>
      </c>
      <c r="I16" s="217"/>
      <c r="J16" s="516" t="s">
        <v>77</v>
      </c>
      <c r="K16" s="509">
        <f>资产负债表!O31</f>
        <v>0</v>
      </c>
      <c r="L16" s="509">
        <f>资产负债表!S31</f>
        <v>0</v>
      </c>
      <c r="M16" s="509">
        <f>资产负债表!W31</f>
        <v>0</v>
      </c>
      <c r="N16" s="509">
        <f>资产负债表!AA31</f>
        <v>0</v>
      </c>
      <c r="O16" s="509">
        <f>资产负债表!AB31</f>
        <v>0</v>
      </c>
      <c r="P16" s="509">
        <f>资产负债表!AC31</f>
        <v>0</v>
      </c>
    </row>
    <row r="17" spans="2:17">
      <c r="B17" s="516" t="s">
        <v>52</v>
      </c>
      <c r="C17" s="509">
        <f>利润表!O14</f>
        <v>0</v>
      </c>
      <c r="D17" s="509">
        <f>利润表!S14</f>
        <v>0</v>
      </c>
      <c r="E17" s="509">
        <f>利润表!W14</f>
        <v>0</v>
      </c>
      <c r="F17" s="509">
        <f>利润表!AA14</f>
        <v>0</v>
      </c>
      <c r="G17" s="509">
        <f>利润表!AB14</f>
        <v>0</v>
      </c>
      <c r="H17" s="509">
        <f>利润表!AC14</f>
        <v>0</v>
      </c>
      <c r="I17" s="217"/>
      <c r="J17" s="516" t="s">
        <v>109</v>
      </c>
      <c r="K17" s="509">
        <f t="shared" ref="K17:P17" si="7">K18-K15-K16</f>
        <v>0</v>
      </c>
      <c r="L17" s="509">
        <f t="shared" si="7"/>
        <v>0</v>
      </c>
      <c r="M17" s="509">
        <f t="shared" si="7"/>
        <v>0</v>
      </c>
      <c r="N17" s="509">
        <f t="shared" si="7"/>
        <v>0</v>
      </c>
      <c r="O17" s="509">
        <f t="shared" si="7"/>
        <v>0</v>
      </c>
      <c r="P17" s="509">
        <f t="shared" si="7"/>
        <v>0</v>
      </c>
    </row>
    <row r="18" spans="2:17">
      <c r="B18" s="519" t="s">
        <v>255</v>
      </c>
      <c r="C18" s="520" t="str">
        <f t="shared" ref="C18:H18" si="8">IF(ISERROR(C17/C5),"—",C17/C5)</f>
        <v>—</v>
      </c>
      <c r="D18" s="520" t="str">
        <f t="shared" si="8"/>
        <v>—</v>
      </c>
      <c r="E18" s="520" t="str">
        <f t="shared" si="8"/>
        <v>—</v>
      </c>
      <c r="F18" s="520" t="str">
        <f t="shared" si="8"/>
        <v>—</v>
      </c>
      <c r="G18" s="520" t="str">
        <f t="shared" si="8"/>
        <v>—</v>
      </c>
      <c r="H18" s="520" t="str">
        <f t="shared" si="8"/>
        <v>—</v>
      </c>
      <c r="I18" s="217"/>
      <c r="J18" s="521" t="s">
        <v>91</v>
      </c>
      <c r="K18" s="522">
        <f>资产负债表!O33</f>
        <v>0</v>
      </c>
      <c r="L18" s="522">
        <f>资产负债表!S33</f>
        <v>0</v>
      </c>
      <c r="M18" s="522">
        <f>资产负债表!W33</f>
        <v>0</v>
      </c>
      <c r="N18" s="522">
        <f>资产负债表!AA33</f>
        <v>0</v>
      </c>
      <c r="O18" s="522">
        <f>资产负债表!AB33</f>
        <v>0</v>
      </c>
      <c r="P18" s="522">
        <f>资产负债表!AC33</f>
        <v>0</v>
      </c>
    </row>
    <row r="19" spans="2:17">
      <c r="B19" s="516" t="s">
        <v>55</v>
      </c>
      <c r="C19" s="509">
        <f>利润表!O19-利润表!O18</f>
        <v>0</v>
      </c>
      <c r="D19" s="509">
        <f>利润表!S19-利润表!S18</f>
        <v>0</v>
      </c>
      <c r="E19" s="509">
        <f>利润表!W19-利润表!W18</f>
        <v>0</v>
      </c>
      <c r="F19" s="509">
        <f>利润表!AA19-利润表!AA18</f>
        <v>0</v>
      </c>
      <c r="G19" s="509">
        <f>利润表!AB19-利润表!AB18</f>
        <v>0</v>
      </c>
      <c r="H19" s="509">
        <f>利润表!AC19-利润表!AC18</f>
        <v>0</v>
      </c>
      <c r="I19" s="217"/>
      <c r="J19" s="516" t="s">
        <v>139</v>
      </c>
      <c r="K19" s="509">
        <f>资产负债表!O35</f>
        <v>0</v>
      </c>
      <c r="L19" s="509">
        <f>资产负债表!S35</f>
        <v>0</v>
      </c>
      <c r="M19" s="509">
        <f>资产负债表!W35</f>
        <v>0</v>
      </c>
      <c r="N19" s="509">
        <f>资产负债表!AA35</f>
        <v>0</v>
      </c>
      <c r="O19" s="509">
        <f>资产负债表!AB35</f>
        <v>0</v>
      </c>
      <c r="P19" s="509">
        <f>资产负债表!AC35</f>
        <v>0</v>
      </c>
    </row>
    <row r="20" spans="2:17">
      <c r="B20" s="519" t="s">
        <v>255</v>
      </c>
      <c r="C20" s="520" t="str">
        <f t="shared" ref="C20:H20" si="9">IF(ISERROR(C19/C5),"—",C19/C5)</f>
        <v>—</v>
      </c>
      <c r="D20" s="520" t="str">
        <f t="shared" si="9"/>
        <v>—</v>
      </c>
      <c r="E20" s="520" t="str">
        <f t="shared" si="9"/>
        <v>—</v>
      </c>
      <c r="F20" s="520" t="str">
        <f t="shared" si="9"/>
        <v>—</v>
      </c>
      <c r="G20" s="520" t="str">
        <f t="shared" si="9"/>
        <v>—</v>
      </c>
      <c r="H20" s="520" t="str">
        <f t="shared" si="9"/>
        <v>—</v>
      </c>
      <c r="I20" s="217"/>
      <c r="J20" s="516" t="s">
        <v>110</v>
      </c>
      <c r="K20" s="509">
        <f t="shared" ref="K20:P20" si="10">K21-K19</f>
        <v>0</v>
      </c>
      <c r="L20" s="509">
        <f t="shared" si="10"/>
        <v>0</v>
      </c>
      <c r="M20" s="509">
        <f t="shared" si="10"/>
        <v>0</v>
      </c>
      <c r="N20" s="509">
        <f t="shared" si="10"/>
        <v>0</v>
      </c>
      <c r="O20" s="509">
        <f t="shared" si="10"/>
        <v>0</v>
      </c>
      <c r="P20" s="509">
        <f t="shared" si="10"/>
        <v>0</v>
      </c>
    </row>
    <row r="21" spans="2:17">
      <c r="B21" s="523" t="s">
        <v>256</v>
      </c>
      <c r="C21" s="524">
        <f>利润表!O35</f>
        <v>0</v>
      </c>
      <c r="D21" s="524">
        <f>利润表!S35</f>
        <v>0</v>
      </c>
      <c r="E21" s="524">
        <f>利润表!W35</f>
        <v>0</v>
      </c>
      <c r="F21" s="524">
        <f>利润表!AA35</f>
        <v>0</v>
      </c>
      <c r="G21" s="524">
        <f>利润表!AB35</f>
        <v>0</v>
      </c>
      <c r="H21" s="524">
        <f>利润表!AC35</f>
        <v>0</v>
      </c>
      <c r="I21" s="217"/>
      <c r="J21" s="521" t="s">
        <v>92</v>
      </c>
      <c r="K21" s="522">
        <f>资产负债表!O37</f>
        <v>0</v>
      </c>
      <c r="L21" s="522">
        <f>资产负债表!S37</f>
        <v>0</v>
      </c>
      <c r="M21" s="522">
        <f>资产负债表!W37</f>
        <v>0</v>
      </c>
      <c r="N21" s="522">
        <f>资产负债表!AA37</f>
        <v>0</v>
      </c>
      <c r="O21" s="522">
        <f>资产负债表!AB37</f>
        <v>0</v>
      </c>
      <c r="P21" s="522">
        <f>资产负债表!AC37</f>
        <v>0</v>
      </c>
    </row>
    <row r="22" spans="2:17">
      <c r="B22" s="519" t="s">
        <v>255</v>
      </c>
      <c r="C22" s="520" t="str">
        <f t="shared" ref="C22:H22" si="11">IF(ISERROR(C21/C5),"—",C21/C5)</f>
        <v>—</v>
      </c>
      <c r="D22" s="520" t="str">
        <f t="shared" si="11"/>
        <v>—</v>
      </c>
      <c r="E22" s="520" t="str">
        <f t="shared" si="11"/>
        <v>—</v>
      </c>
      <c r="F22" s="520" t="str">
        <f t="shared" si="11"/>
        <v>—</v>
      </c>
      <c r="G22" s="520" t="str">
        <f t="shared" si="11"/>
        <v>—</v>
      </c>
      <c r="H22" s="520" t="str">
        <f t="shared" si="11"/>
        <v>—</v>
      </c>
      <c r="I22" s="217"/>
      <c r="J22" s="521" t="s">
        <v>85</v>
      </c>
      <c r="K22" s="522">
        <f>资产负债表!O38</f>
        <v>0</v>
      </c>
      <c r="L22" s="522">
        <f>资产负债表!S38</f>
        <v>0</v>
      </c>
      <c r="M22" s="522">
        <f>资产负债表!W38</f>
        <v>0</v>
      </c>
      <c r="N22" s="522">
        <f>资产负债表!AA38</f>
        <v>0</v>
      </c>
      <c r="O22" s="522">
        <f>资产负债表!AB38</f>
        <v>0</v>
      </c>
      <c r="P22" s="522">
        <f>资产负债表!AC38</f>
        <v>0</v>
      </c>
    </row>
    <row r="23" spans="2:17">
      <c r="B23" s="516" t="s">
        <v>57</v>
      </c>
      <c r="C23" s="509">
        <f>利润表!O20</f>
        <v>0</v>
      </c>
      <c r="D23" s="509">
        <f>利润表!S20</f>
        <v>0</v>
      </c>
      <c r="E23" s="509">
        <f>利润表!W20</f>
        <v>0</v>
      </c>
      <c r="F23" s="509">
        <f>利润表!AA20</f>
        <v>0</v>
      </c>
      <c r="G23" s="509">
        <f>利润表!AB20</f>
        <v>0</v>
      </c>
      <c r="H23" s="509">
        <f>利润表!AC20</f>
        <v>0</v>
      </c>
      <c r="I23" s="217"/>
      <c r="J23" s="521" t="s">
        <v>551</v>
      </c>
      <c r="K23" s="522">
        <f>资产负债表!O45</f>
        <v>0</v>
      </c>
      <c r="L23" s="522">
        <f>资产负债表!S45</f>
        <v>0</v>
      </c>
      <c r="M23" s="522">
        <f>资产负债表!W45</f>
        <v>0</v>
      </c>
      <c r="N23" s="522">
        <f>资产负债表!AA45</f>
        <v>0</v>
      </c>
      <c r="O23" s="522">
        <f>资产负债表!AB45</f>
        <v>0</v>
      </c>
      <c r="P23" s="522">
        <f>资产负债表!AC45</f>
        <v>0</v>
      </c>
    </row>
    <row r="24" spans="2:17">
      <c r="B24" s="519" t="s">
        <v>257</v>
      </c>
      <c r="C24" s="520" t="str">
        <f t="shared" ref="C24:H24" si="12">IF(ISERROR(C23/C25),"—",C23/C25)</f>
        <v>—</v>
      </c>
      <c r="D24" s="520" t="str">
        <f t="shared" si="12"/>
        <v>—</v>
      </c>
      <c r="E24" s="520" t="str">
        <f t="shared" si="12"/>
        <v>—</v>
      </c>
      <c r="F24" s="520" t="str">
        <f t="shared" si="12"/>
        <v>—</v>
      </c>
      <c r="G24" s="520" t="str">
        <f t="shared" si="12"/>
        <v>—</v>
      </c>
      <c r="H24" s="520" t="str">
        <f t="shared" si="12"/>
        <v>—</v>
      </c>
      <c r="I24" s="217"/>
      <c r="J24" s="516" t="s">
        <v>86</v>
      </c>
      <c r="K24" s="509">
        <f>资产负债表!O46</f>
        <v>0</v>
      </c>
      <c r="L24" s="509">
        <f>资产负债表!S46</f>
        <v>0</v>
      </c>
      <c r="M24" s="509">
        <f>资产负债表!W46</f>
        <v>0</v>
      </c>
      <c r="N24" s="509">
        <f>资产负债表!AA46</f>
        <v>0</v>
      </c>
      <c r="O24" s="509">
        <f>资产负债表!AB46</f>
        <v>0</v>
      </c>
      <c r="P24" s="509">
        <f>资产负债表!AC46</f>
        <v>0</v>
      </c>
    </row>
    <row r="25" spans="2:17">
      <c r="B25" s="521" t="s">
        <v>549</v>
      </c>
      <c r="C25" s="522">
        <f>利润表!O24</f>
        <v>0</v>
      </c>
      <c r="D25" s="522">
        <f>利润表!S24</f>
        <v>0</v>
      </c>
      <c r="E25" s="522">
        <f>利润表!W24</f>
        <v>0</v>
      </c>
      <c r="F25" s="522">
        <f>利润表!AA24</f>
        <v>0</v>
      </c>
      <c r="G25" s="522">
        <f>利润表!AB24</f>
        <v>0</v>
      </c>
      <c r="H25" s="522">
        <f>利润表!AC24</f>
        <v>0</v>
      </c>
      <c r="I25" s="217"/>
      <c r="J25" s="511" t="s">
        <v>114</v>
      </c>
      <c r="K25" s="525">
        <f>资产负债表!O48</f>
        <v>0</v>
      </c>
      <c r="L25" s="525">
        <f>资产负债表!S48</f>
        <v>0</v>
      </c>
      <c r="M25" s="525">
        <f>资产负债表!W48</f>
        <v>0</v>
      </c>
      <c r="N25" s="525">
        <f>资产负债表!AA48</f>
        <v>0</v>
      </c>
      <c r="O25" s="525">
        <f>资产负债表!AB48</f>
        <v>0</v>
      </c>
      <c r="P25" s="525">
        <f>资产负债表!AC48</f>
        <v>0</v>
      </c>
    </row>
    <row r="26" spans="2:17">
      <c r="B26" s="519" t="s">
        <v>258</v>
      </c>
      <c r="C26" s="520" t="str">
        <f t="shared" ref="C26:H26" si="13">IF(ISERROR(C25/C5),"—",C25/C5)</f>
        <v>—</v>
      </c>
      <c r="D26" s="520" t="str">
        <f t="shared" si="13"/>
        <v>—</v>
      </c>
      <c r="E26" s="520" t="str">
        <f t="shared" si="13"/>
        <v>—</v>
      </c>
      <c r="F26" s="520" t="str">
        <f t="shared" si="13"/>
        <v>—</v>
      </c>
      <c r="G26" s="520" t="str">
        <f t="shared" si="13"/>
        <v>—</v>
      </c>
      <c r="H26" s="520" t="str">
        <f t="shared" si="13"/>
        <v>—</v>
      </c>
      <c r="I26" s="217"/>
      <c r="J26" s="526"/>
      <c r="K26" s="217"/>
      <c r="L26" s="217"/>
      <c r="M26" s="217"/>
      <c r="N26" s="217"/>
      <c r="O26" s="527"/>
      <c r="P26" s="527"/>
      <c r="Q26" s="222"/>
    </row>
    <row r="27" spans="2:17">
      <c r="B27" s="516" t="s">
        <v>63</v>
      </c>
      <c r="C27" s="509">
        <f>利润表!O25</f>
        <v>0</v>
      </c>
      <c r="D27" s="509">
        <f>利润表!S25</f>
        <v>0</v>
      </c>
      <c r="E27" s="509">
        <f>利润表!W25</f>
        <v>0</v>
      </c>
      <c r="F27" s="509">
        <f>利润表!AA25</f>
        <v>0</v>
      </c>
      <c r="G27" s="509">
        <f>利润表!AB25</f>
        <v>0</v>
      </c>
      <c r="H27" s="509">
        <f>利润表!AC25</f>
        <v>0</v>
      </c>
      <c r="I27" s="217"/>
      <c r="J27" s="510" t="s">
        <v>115</v>
      </c>
      <c r="K27" s="528"/>
      <c r="L27" s="215"/>
      <c r="M27" s="215"/>
      <c r="N27" s="215"/>
      <c r="O27" s="215"/>
      <c r="P27" s="215"/>
    </row>
    <row r="28" spans="2:17">
      <c r="B28" s="519" t="s">
        <v>116</v>
      </c>
      <c r="C28" s="518" t="str">
        <f t="shared" ref="C28:H28" si="14">IF(ISERROR(C27/C25),"—",C27/C25)</f>
        <v>—</v>
      </c>
      <c r="D28" s="518" t="str">
        <f t="shared" si="14"/>
        <v>—</v>
      </c>
      <c r="E28" s="518" t="str">
        <f t="shared" si="14"/>
        <v>—</v>
      </c>
      <c r="F28" s="518" t="str">
        <f t="shared" si="14"/>
        <v>—</v>
      </c>
      <c r="G28" s="518" t="str">
        <f t="shared" si="14"/>
        <v>—</v>
      </c>
      <c r="H28" s="518" t="str">
        <f t="shared" si="14"/>
        <v>—</v>
      </c>
      <c r="I28" s="217"/>
      <c r="J28" s="523"/>
      <c r="K28" s="514">
        <f t="shared" ref="K28:P28" si="15">C4</f>
        <v>2019</v>
      </c>
      <c r="L28" s="514">
        <f t="shared" si="15"/>
        <v>2020</v>
      </c>
      <c r="M28" s="514">
        <f t="shared" si="15"/>
        <v>2021</v>
      </c>
      <c r="N28" s="515" t="str">
        <f t="shared" si="15"/>
        <v>2022E</v>
      </c>
      <c r="O28" s="515">
        <f t="shared" si="15"/>
        <v>2023</v>
      </c>
      <c r="P28" s="515">
        <f t="shared" si="15"/>
        <v>2024</v>
      </c>
    </row>
    <row r="29" spans="2:17">
      <c r="B29" s="523" t="s">
        <v>550</v>
      </c>
      <c r="C29" s="522">
        <f>C25-C27</f>
        <v>0</v>
      </c>
      <c r="D29" s="522">
        <f t="shared" ref="D29:H29" si="16">D25-D27</f>
        <v>0</v>
      </c>
      <c r="E29" s="522">
        <f t="shared" si="16"/>
        <v>0</v>
      </c>
      <c r="F29" s="522">
        <f t="shared" si="16"/>
        <v>0</v>
      </c>
      <c r="G29" s="522">
        <f t="shared" si="16"/>
        <v>0</v>
      </c>
      <c r="H29" s="522">
        <f t="shared" si="16"/>
        <v>0</v>
      </c>
      <c r="I29" s="217"/>
      <c r="J29" s="521" t="s">
        <v>106</v>
      </c>
    </row>
    <row r="30" spans="2:17">
      <c r="B30" s="516" t="s">
        <v>65</v>
      </c>
      <c r="C30" s="509">
        <f>利润表!O27</f>
        <v>0</v>
      </c>
      <c r="D30" s="509">
        <f>利润表!S27</f>
        <v>0</v>
      </c>
      <c r="E30" s="509">
        <f>利润表!W27</f>
        <v>0</v>
      </c>
      <c r="F30" s="509">
        <f>利润表!AA27</f>
        <v>0</v>
      </c>
      <c r="G30" s="509">
        <f>利润表!AB27</f>
        <v>0</v>
      </c>
      <c r="H30" s="509">
        <f>利润表!AC27</f>
        <v>0</v>
      </c>
      <c r="I30" s="217"/>
      <c r="J30" s="516" t="s">
        <v>43</v>
      </c>
      <c r="K30" s="218">
        <f>主要财务摘要!C20</f>
        <v>0</v>
      </c>
      <c r="L30" s="218">
        <f>主要财务摘要!D20</f>
        <v>0</v>
      </c>
      <c r="M30" s="218">
        <f>主要财务摘要!E20</f>
        <v>0</v>
      </c>
      <c r="N30" s="218" t="str">
        <f>主要财务摘要!F20</f>
        <v>—</v>
      </c>
      <c r="O30" s="218" t="str">
        <f>主要财务摘要!G20</f>
        <v>—</v>
      </c>
      <c r="P30" s="218" t="str">
        <f>主要财务摘要!H20</f>
        <v>—</v>
      </c>
    </row>
    <row r="31" spans="2:17">
      <c r="B31" s="521" t="s">
        <v>117</v>
      </c>
      <c r="C31" s="522">
        <f>利润表!O29</f>
        <v>0</v>
      </c>
      <c r="D31" s="522">
        <f>利润表!S29</f>
        <v>0</v>
      </c>
      <c r="E31" s="522">
        <f>利润表!W29</f>
        <v>0</v>
      </c>
      <c r="F31" s="522">
        <f>利润表!AA29</f>
        <v>0</v>
      </c>
      <c r="G31" s="522">
        <f>利润表!AB29</f>
        <v>0</v>
      </c>
      <c r="H31" s="522">
        <f>利润表!AC29</f>
        <v>0</v>
      </c>
      <c r="I31" s="217"/>
      <c r="J31" s="516" t="s">
        <v>45</v>
      </c>
      <c r="K31" s="218" t="str">
        <f>主要财务摘要!C21</f>
        <v>—</v>
      </c>
      <c r="L31" s="218" t="str">
        <f>主要财务摘要!D21</f>
        <v>—</v>
      </c>
      <c r="M31" s="218" t="str">
        <f>主要财务摘要!E21</f>
        <v>—</v>
      </c>
      <c r="N31" s="218" t="str">
        <f>主要财务摘要!F21</f>
        <v>—</v>
      </c>
      <c r="O31" s="218" t="str">
        <f>主要财务摘要!G21</f>
        <v>—</v>
      </c>
      <c r="P31" s="218" t="str">
        <f>主要财务摘要!H21</f>
        <v>—</v>
      </c>
    </row>
    <row r="32" spans="2:17">
      <c r="B32" s="516" t="s">
        <v>112</v>
      </c>
      <c r="C32" s="518" t="str">
        <f>IF(ISERROR((利润表!O29-利润表!K29)/ABS(利润表!K29)),"—",(利润表!O29-利润表!K29)/ABS(利润表!K29))</f>
        <v>—</v>
      </c>
      <c r="D32" s="518" t="str">
        <f>IF(ISERROR((D31-C31)/ABS(C31)),"—",(D31-C31)/ABS(C31))</f>
        <v>—</v>
      </c>
      <c r="E32" s="518" t="str">
        <f t="shared" ref="E32:H32" si="17">IF(ISERROR((E31-D31)/ABS(D31)),"—",(E31-D31)/ABS(D31))</f>
        <v>—</v>
      </c>
      <c r="F32" s="518" t="str">
        <f t="shared" si="17"/>
        <v>—</v>
      </c>
      <c r="G32" s="518" t="str">
        <f t="shared" si="17"/>
        <v>—</v>
      </c>
      <c r="H32" s="518" t="str">
        <f t="shared" si="17"/>
        <v>—</v>
      </c>
      <c r="I32" s="217"/>
      <c r="J32" s="516" t="s">
        <v>118</v>
      </c>
      <c r="K32" s="218" t="str">
        <f>主要财务摘要!C25</f>
        <v>—</v>
      </c>
      <c r="L32" s="218" t="str">
        <f>主要财务摘要!D25</f>
        <v>—</v>
      </c>
      <c r="M32" s="218" t="str">
        <f>主要财务摘要!E25</f>
        <v>—</v>
      </c>
      <c r="N32" s="218" t="str">
        <f>主要财务摘要!F25</f>
        <v>—</v>
      </c>
      <c r="O32" s="218" t="str">
        <f>主要财务摘要!G25</f>
        <v>—</v>
      </c>
      <c r="P32" s="218" t="str">
        <f>主要财务摘要!H25</f>
        <v>—</v>
      </c>
    </row>
    <row r="33" spans="2:17">
      <c r="B33" s="529" t="s">
        <v>259</v>
      </c>
      <c r="C33" s="530" t="str">
        <f>IF(ISERROR(C31/C5),"—",C31/C5)</f>
        <v>—</v>
      </c>
      <c r="D33" s="530" t="str">
        <f>IF(ISERROR(D31/D5),"—",D31/D5)</f>
        <v>—</v>
      </c>
      <c r="E33" s="530" t="str">
        <f>IF(ISERROR(E31/E5),"—",E31/E5)</f>
        <v>—</v>
      </c>
      <c r="F33" s="530" t="str">
        <f t="shared" ref="F33:H33" si="18">IF(ISERROR(F31/F5),"—",F31/F5)</f>
        <v>—</v>
      </c>
      <c r="G33" s="530" t="str">
        <f t="shared" si="18"/>
        <v>—</v>
      </c>
      <c r="H33" s="530" t="str">
        <f t="shared" si="18"/>
        <v>—</v>
      </c>
      <c r="I33" s="217"/>
      <c r="J33" s="516" t="s">
        <v>46</v>
      </c>
      <c r="K33" s="218">
        <f>资产预测!D100</f>
        <v>0</v>
      </c>
      <c r="L33" s="218">
        <f>资产预测!E100</f>
        <v>0</v>
      </c>
      <c r="M33" s="218">
        <f>资产预测!F100</f>
        <v>0</v>
      </c>
      <c r="N33" s="218">
        <f>IF(ISERROR(资产预测!J100),"—",资产预测!J100)</f>
        <v>0</v>
      </c>
      <c r="O33" s="218">
        <f>IF(ISERROR(资产预测!K100),"—",资产预测!K100)</f>
        <v>0</v>
      </c>
      <c r="P33" s="218">
        <f>IF(ISERROR(资产预测!L100),"—",资产预测!L100)</f>
        <v>0</v>
      </c>
    </row>
    <row r="34" spans="2:17">
      <c r="B34" s="519"/>
      <c r="C34" s="520"/>
      <c r="D34" s="520"/>
      <c r="E34" s="520"/>
      <c r="F34" s="520"/>
      <c r="G34" s="520"/>
      <c r="H34" s="520"/>
      <c r="I34" s="217"/>
      <c r="J34" s="521" t="s">
        <v>119</v>
      </c>
    </row>
    <row r="35" spans="2:17">
      <c r="B35" s="519"/>
      <c r="C35" s="520"/>
      <c r="D35" s="520"/>
      <c r="E35" s="520"/>
      <c r="F35" s="520"/>
      <c r="G35" s="520"/>
      <c r="H35" s="520"/>
      <c r="I35" s="217"/>
      <c r="J35" s="516" t="s">
        <v>56</v>
      </c>
      <c r="K35" s="219" t="str">
        <f>IF(ISERROR(C31/K23),"—",C31/K23)</f>
        <v>—</v>
      </c>
      <c r="L35" s="219" t="str">
        <f t="shared" ref="L35:P35" si="19">IF(ISERROR(D31/L23),"—",D31/L23)</f>
        <v>—</v>
      </c>
      <c r="M35" s="219" t="str">
        <f t="shared" si="19"/>
        <v>—</v>
      </c>
      <c r="N35" s="219" t="str">
        <f t="shared" si="19"/>
        <v>—</v>
      </c>
      <c r="O35" s="219" t="str">
        <f t="shared" si="19"/>
        <v>—</v>
      </c>
      <c r="P35" s="219" t="str">
        <f t="shared" si="19"/>
        <v>—</v>
      </c>
    </row>
    <row r="36" spans="2:17">
      <c r="C36" s="527"/>
      <c r="D36" s="527"/>
      <c r="E36" s="527"/>
      <c r="F36" s="527"/>
      <c r="G36" s="527"/>
      <c r="H36" s="527"/>
      <c r="I36" s="217"/>
      <c r="J36" s="516" t="s">
        <v>120</v>
      </c>
      <c r="K36" s="219" t="str">
        <f t="shared" ref="K36:P36" si="20">IF(ISERROR(C31/K25),"—",C31/K25)</f>
        <v>—</v>
      </c>
      <c r="L36" s="219" t="str">
        <f t="shared" si="20"/>
        <v>—</v>
      </c>
      <c r="M36" s="219" t="str">
        <f t="shared" si="20"/>
        <v>—</v>
      </c>
      <c r="N36" s="219" t="str">
        <f t="shared" si="20"/>
        <v>—</v>
      </c>
      <c r="O36" s="219" t="str">
        <f t="shared" si="20"/>
        <v>—</v>
      </c>
      <c r="P36" s="219" t="str">
        <f t="shared" si="20"/>
        <v>—</v>
      </c>
    </row>
    <row r="37" spans="2:17">
      <c r="I37" s="217"/>
      <c r="J37" s="516" t="s">
        <v>121</v>
      </c>
      <c r="K37" s="219" t="str">
        <f>IF(ISERROR(C21*(1-利润表!O25/利润表!O24)/资产负债表!O58),"—",C21*(1-利润表!O25/利润表!O24)/资产负债表!O58)</f>
        <v>—</v>
      </c>
      <c r="L37" s="219" t="str">
        <f>IF(ISERROR(D21*(1-利润表!S25/利润表!S24)/资产负债表!S58),"—",D21*(1-利润表!S25/利润表!S24)/资产负债表!S58)</f>
        <v>—</v>
      </c>
      <c r="M37" s="219" t="str">
        <f>IF(ISERROR(E21*(1-利润表!W25/利润表!W24)/资产负债表!W58),"—",E21*(1-利润表!W25/利润表!W24)/资产负债表!W58)</f>
        <v>—</v>
      </c>
      <c r="N37" s="219" t="str">
        <f>IF(ISERROR(F21*(1-利润表!AA25/利润表!AA24)/资产负债表!AA58),"—",F21*(1-利润表!AA25/利润表!AA24)/资产负债表!AA58)</f>
        <v>—</v>
      </c>
      <c r="O37" s="219" t="str">
        <f>IF(ISERROR(G21*(1-利润表!AB25/利润表!AB24)/资产负债表!AB58),"—",G21*(1-利润表!AB25/利润表!AB24)/资产负债表!AB58)</f>
        <v>—</v>
      </c>
      <c r="P37" s="219" t="str">
        <f>IF(ISERROR(H21*(1-利润表!AC25/利润表!AC24)/资产负债表!AC58),"—",H21*(1-利润表!AC25/利润表!AC24)/资产负债表!AC58)</f>
        <v>—</v>
      </c>
      <c r="Q37" s="531"/>
    </row>
    <row r="38" spans="2:17" ht="15" thickBot="1">
      <c r="B38" s="510" t="s">
        <v>38</v>
      </c>
      <c r="C38" s="528"/>
      <c r="D38" s="528"/>
      <c r="E38" s="528"/>
      <c r="F38" s="528"/>
      <c r="G38" s="528"/>
      <c r="H38" s="216" t="str">
        <f>主要财务摘要!$H$2</f>
        <v>单位：港币(百万)</v>
      </c>
      <c r="I38" s="217"/>
      <c r="J38" s="521" t="s">
        <v>122</v>
      </c>
    </row>
    <row r="39" spans="2:17" ht="15" thickTop="1">
      <c r="B39" s="516"/>
      <c r="C39" s="514">
        <f t="shared" ref="C39:H39" si="21">C4</f>
        <v>2019</v>
      </c>
      <c r="D39" s="514">
        <f t="shared" si="21"/>
        <v>2020</v>
      </c>
      <c r="E39" s="514">
        <f t="shared" si="21"/>
        <v>2021</v>
      </c>
      <c r="F39" s="515" t="str">
        <f t="shared" si="21"/>
        <v>2022E</v>
      </c>
      <c r="G39" s="515">
        <f t="shared" si="21"/>
        <v>2023</v>
      </c>
      <c r="H39" s="515">
        <f t="shared" si="21"/>
        <v>2024</v>
      </c>
      <c r="I39" s="217"/>
      <c r="J39" s="516" t="s">
        <v>59</v>
      </c>
      <c r="K39" s="219" t="str">
        <f t="shared" ref="K39:P39" si="22">C6</f>
        <v>—</v>
      </c>
      <c r="L39" s="219" t="str">
        <f t="shared" si="22"/>
        <v>—</v>
      </c>
      <c r="M39" s="219" t="str">
        <f t="shared" si="22"/>
        <v>—</v>
      </c>
      <c r="N39" s="219" t="str">
        <f t="shared" si="22"/>
        <v>—</v>
      </c>
      <c r="O39" s="219" t="str">
        <f t="shared" si="22"/>
        <v>—</v>
      </c>
      <c r="P39" s="219" t="str">
        <f t="shared" si="22"/>
        <v>—</v>
      </c>
    </row>
    <row r="40" spans="2:17">
      <c r="B40" s="516" t="s">
        <v>73</v>
      </c>
      <c r="C40" s="509">
        <f>利润表!O29</f>
        <v>0</v>
      </c>
      <c r="D40" s="509">
        <f>利润表!S29</f>
        <v>0</v>
      </c>
      <c r="E40" s="509">
        <f>利润表!W29</f>
        <v>0</v>
      </c>
      <c r="F40" s="509">
        <f>利润表!AA29</f>
        <v>0</v>
      </c>
      <c r="G40" s="509">
        <f>利润表!AB29</f>
        <v>0</v>
      </c>
      <c r="H40" s="509">
        <f>利润表!AC29</f>
        <v>0</v>
      </c>
      <c r="I40" s="217"/>
      <c r="J40" s="516" t="s">
        <v>60</v>
      </c>
      <c r="K40" s="219" t="str">
        <f>IF(ISERROR((利润表!O35-利润表!K35)/ABS(利润表!K35)),"—",(利润表!O35-利润表!K35)/ABS(利润表!K35))</f>
        <v>—</v>
      </c>
      <c r="L40" s="219" t="str">
        <f>IF(ISERROR((利润表!S35-利润表!O35)/ABS(利润表!O35)),"—",(利润表!S35-利润表!O35)/ABS(利润表!O35))</f>
        <v>—</v>
      </c>
      <c r="M40" s="219" t="str">
        <f>IF(ISERROR((利润表!W35-利润表!S35)/ABS(利润表!S35)),"—",(利润表!W35-利润表!S35)/ABS(利润表!S35))</f>
        <v>—</v>
      </c>
      <c r="N40" s="219" t="str">
        <f>IF(ISERROR((利润表!AA35-利润表!W35)/ABS(利润表!W35)),"—",(利润表!AA35-利润表!W35)/ABS(利润表!W35))</f>
        <v>—</v>
      </c>
      <c r="O40" s="219" t="str">
        <f>IF(ISERROR((利润表!AB35-利润表!AA35)/ABS(利润表!AA35)),"—",(利润表!AB35-利润表!AA35)/ABS(利润表!AA35))</f>
        <v>—</v>
      </c>
      <c r="P40" s="219" t="str">
        <f>IF(ISERROR((利润表!AC35-利润表!AB35)/ABS(利润表!AB35)),"—",(利润表!AC35-利润表!AB35)/ABS(利润表!AB35))</f>
        <v>—</v>
      </c>
    </row>
    <row r="41" spans="2:17">
      <c r="B41" s="516" t="s">
        <v>65</v>
      </c>
      <c r="C41" s="509">
        <f>利润表!O27</f>
        <v>0</v>
      </c>
      <c r="D41" s="509">
        <f>利润表!S27</f>
        <v>0</v>
      </c>
      <c r="E41" s="509">
        <f>利润表!W27</f>
        <v>0</v>
      </c>
      <c r="F41" s="509">
        <f>利润表!AA27</f>
        <v>0</v>
      </c>
      <c r="G41" s="509">
        <f>利润表!AB27</f>
        <v>0</v>
      </c>
      <c r="H41" s="509">
        <f>利润表!AC27</f>
        <v>0</v>
      </c>
      <c r="J41" s="516" t="s">
        <v>62</v>
      </c>
      <c r="K41" s="219" t="str">
        <f>IF(ISERROR((利润表!O29-利润表!K29)/ABS(利润表!K29)),"—",(利润表!O29-利润表!K29)/ABS(利润表!K29))</f>
        <v>—</v>
      </c>
      <c r="L41" s="219" t="str">
        <f>IF(ISERROR((利润表!S29-利润表!O29)/ABS(利润表!O29)),"—",(利润表!S29-利润表!O29)/ABS(利润表!O29))</f>
        <v>—</v>
      </c>
      <c r="M41" s="219" t="str">
        <f>IF(ISERROR((利润表!W29-利润表!S29)/ABS(利润表!S29)),"—",(利润表!W29-利润表!S29)/ABS(利润表!S29))</f>
        <v>—</v>
      </c>
      <c r="N41" s="219" t="str">
        <f>IF(ISERROR((利润表!AA29-利润表!W29)/ABS(利润表!W29)),"—",(利润表!AA29-利润表!W29)/ABS(利润表!W29))</f>
        <v>—</v>
      </c>
      <c r="O41" s="219" t="str">
        <f>IF(ISERROR((利润表!AB29-利润表!AA29)/ABS(利润表!AA29)),"—",(利润表!AB29-利润表!AA29)/ABS(利润表!AA29))</f>
        <v>—</v>
      </c>
      <c r="P41" s="219" t="str">
        <f>IF(ISERROR((利润表!AC29-利润表!AB29)/ABS(利润表!AB29)),"—",(利润表!AC29-利润表!AB29)/ABS(利润表!AB29))</f>
        <v>—</v>
      </c>
    </row>
    <row r="42" spans="2:17">
      <c r="B42" s="516" t="s">
        <v>78</v>
      </c>
      <c r="C42" s="509">
        <f>现金流量表!$O$7</f>
        <v>0</v>
      </c>
      <c r="D42" s="509">
        <f>现金流量表!$S$7</f>
        <v>0</v>
      </c>
      <c r="E42" s="509">
        <f>现金流量表!$W$7</f>
        <v>0</v>
      </c>
      <c r="F42" s="509">
        <f>现金流量表!$AA$7</f>
        <v>0</v>
      </c>
      <c r="G42" s="509">
        <f>现金流量表!$AB$7</f>
        <v>0</v>
      </c>
      <c r="H42" s="509">
        <f>现金流量表!$AC$7</f>
        <v>0</v>
      </c>
      <c r="J42" s="516" t="s">
        <v>123</v>
      </c>
      <c r="K42" s="219" t="str">
        <f>IF(ISERROR((资产负债表!O24-资产负债表!K24)/ABS(资产负债表!K24)),"—",(资产负债表!O24-资产负债表!K24)/ABS(资产负债表!K24))</f>
        <v>—</v>
      </c>
      <c r="L42" s="219" t="str">
        <f>IF(ISERROR((资产负债表!S24-资产负债表!O24)/ABS(资产负债表!O24)),"—",(资产负债表!S24-资产负债表!O24)/ABS(资产负债表!O24))</f>
        <v>—</v>
      </c>
      <c r="M42" s="219" t="str">
        <f>IF(ISERROR((资产负债表!W24-资产负债表!S24)/ABS(资产负债表!S24)),"—",(资产负债表!W24-资产负债表!S24)/ABS(资产负债表!S24))</f>
        <v>—</v>
      </c>
      <c r="N42" s="219" t="str">
        <f>IF(ISERROR((资产负债表!AA24-资产负债表!W24)/ABS(资产负债表!W24)),"—",(资产负债表!AA24-资产负债表!W24)/ABS(资产负债表!W24))</f>
        <v>—</v>
      </c>
      <c r="O42" s="219" t="str">
        <f>IF(ISERROR((资产负债表!AB24-资产负债表!AA24)/ABS(资产负债表!AA24)),"—",(资产负债表!AB24-资产负债表!AA24)/ABS(资产负债表!AA24))</f>
        <v>—</v>
      </c>
      <c r="P42" s="219" t="str">
        <f>IF(ISERROR((资产负债表!AC24-资产负债表!AB24)/ABS(资产负债表!AB24)),"—",(资产负债表!AC24-资产负债表!AB24)/ABS(资产负债表!AB24))</f>
        <v>—</v>
      </c>
    </row>
    <row r="43" spans="2:17">
      <c r="B43" s="516" t="s">
        <v>217</v>
      </c>
      <c r="C43" s="509">
        <f>C44-C42-C41-C40</f>
        <v>0</v>
      </c>
      <c r="D43" s="509">
        <f t="shared" ref="D43:H43" si="23">D44-D42-D41-D40</f>
        <v>0</v>
      </c>
      <c r="E43" s="509">
        <f t="shared" si="23"/>
        <v>0</v>
      </c>
      <c r="F43" s="509">
        <f t="shared" si="23"/>
        <v>0</v>
      </c>
      <c r="G43" s="509">
        <f t="shared" si="23"/>
        <v>0</v>
      </c>
      <c r="H43" s="509">
        <f t="shared" si="23"/>
        <v>0</v>
      </c>
      <c r="J43" s="521" t="s">
        <v>124</v>
      </c>
    </row>
    <row r="44" spans="2:17">
      <c r="B44" s="521" t="s">
        <v>260</v>
      </c>
      <c r="C44" s="522">
        <f>现金流量表!$O$16</f>
        <v>0</v>
      </c>
      <c r="D44" s="522">
        <f>现金流量表!$S$16</f>
        <v>0</v>
      </c>
      <c r="E44" s="522">
        <f>现金流量表!$W$16</f>
        <v>0</v>
      </c>
      <c r="F44" s="522">
        <f>现金流量表!$AA$16</f>
        <v>0</v>
      </c>
      <c r="G44" s="522">
        <f>现金流量表!$AB$16</f>
        <v>0</v>
      </c>
      <c r="H44" s="522">
        <f>现金流量表!$AC$16</f>
        <v>0</v>
      </c>
      <c r="J44" s="516" t="s">
        <v>125</v>
      </c>
      <c r="K44" s="220" t="str">
        <f>IF(ISERROR(360/(资产预测!D5*2/(资产预测!D9+资产负债表!K9))),"—",360/(资产预测!D5*2/(资产预测!D9+资产负债表!K9)))</f>
        <v>—</v>
      </c>
      <c r="L44" s="220" t="str">
        <f>IF(ISERROR(360/(资产预测!E5*2/(资产预测!E9+资产预测!D9))),"—",360/(资产预测!E5*2/(资产预测!E9+资产预测!D9)))</f>
        <v>—</v>
      </c>
      <c r="M44" s="220" t="str">
        <f>IF(ISERROR(360/(资产预测!F5*2/(资产预测!F9+资产预测!E9))),"—",360/(资产预测!F5*2/(资产预测!F9+资产预测!E9)))</f>
        <v>—</v>
      </c>
      <c r="N44" s="220" t="str">
        <f>IF(ISERROR(360/(资产预测!J5*2/(资产预测!J9+资产预测!F9))),"—",360/(资产预测!J5*2/(资产预测!J9+资产预测!F9)))</f>
        <v>—</v>
      </c>
      <c r="O44" s="220" t="str">
        <f>IF(ISERROR(360/(资产预测!K5*2/(资产预测!K9+资产预测!J9))),"—",360/(资产预测!K5*2/(资产预测!K9+资产预测!J9)))</f>
        <v>—</v>
      </c>
      <c r="P44" s="220" t="str">
        <f>IF(ISERROR(360/(资产预测!L5*2/(资产预测!L9+资产预测!K9))),"—",360/(资产预测!L5*2/(资产预测!L9+资产预测!K9)))</f>
        <v>—</v>
      </c>
      <c r="Q44" s="570" t="s">
        <v>261</v>
      </c>
    </row>
    <row r="45" spans="2:17">
      <c r="B45" s="516" t="s">
        <v>104</v>
      </c>
      <c r="C45" s="509">
        <f>现金流量表!$O$17</f>
        <v>0</v>
      </c>
      <c r="D45" s="509">
        <f>现金流量表!$S$17</f>
        <v>0</v>
      </c>
      <c r="E45" s="509">
        <f>现金流量表!$W$17</f>
        <v>0</v>
      </c>
      <c r="F45" s="509">
        <f>现金流量表!$AA$17</f>
        <v>0</v>
      </c>
      <c r="G45" s="509">
        <f>现金流量表!$AB$17</f>
        <v>0</v>
      </c>
      <c r="H45" s="509">
        <f>现金流量表!$AC$17</f>
        <v>0</v>
      </c>
      <c r="J45" s="516" t="s">
        <v>69</v>
      </c>
      <c r="K45" s="220" t="str">
        <f>IF(ISERROR(360/(资产预测!D6*2/(资产预测!D13+资产负债表!K11))),"—",360/(资产预测!D6*2/(资产预测!D13+资产负债表!K11)))</f>
        <v>—</v>
      </c>
      <c r="L45" s="220" t="str">
        <f>IF(ISERROR(360/(资产预测!E6*2/(资产预测!E13+资产预测!D13))),"—",360/(资产预测!E6*2/(资产预测!E13+资产预测!D13)))</f>
        <v>—</v>
      </c>
      <c r="M45" s="220" t="str">
        <f>IF(ISERROR(360/(资产预测!F6*2/(资产预测!F13+资产预测!E13))),"—",360/(资产预测!F6*2/(资产预测!F13+资产预测!E13)))</f>
        <v>—</v>
      </c>
      <c r="N45" s="220" t="str">
        <f>IF(ISERROR(360/(资产预测!J6*2/(资产预测!J13+资产预测!F13))),"—",360/(资产预测!J6*2/(资产预测!J13+资产预测!F13)))</f>
        <v>—</v>
      </c>
      <c r="O45" s="220" t="str">
        <f>IF(ISERROR(360/(资产预测!K6*2/(资产预测!K13+资产预测!J13))),"—",360/(资产预测!K6*2/(资产预测!K13+资产预测!J13)))</f>
        <v>—</v>
      </c>
      <c r="P45" s="220" t="str">
        <f>IF(ISERROR(360/(资产预测!L6*2/(资产预测!L13+资产预测!K13))),"—",360/(资产预测!L6*2/(资产预测!L13+资产预测!K13)))</f>
        <v>—</v>
      </c>
      <c r="Q45" s="570"/>
    </row>
    <row r="46" spans="2:17">
      <c r="B46" s="516" t="s">
        <v>79</v>
      </c>
      <c r="C46" s="509">
        <f>现金流量表!$O$21</f>
        <v>0</v>
      </c>
      <c r="D46" s="509">
        <f>现金流量表!$S$21</f>
        <v>0</v>
      </c>
      <c r="E46" s="509">
        <f>现金流量表!$W$21</f>
        <v>0</v>
      </c>
      <c r="F46" s="509">
        <f>现金流量表!$AA$21</f>
        <v>0</v>
      </c>
      <c r="G46" s="509">
        <f>现金流量表!$AB$21</f>
        <v>0</v>
      </c>
      <c r="H46" s="509">
        <f>现金流量表!$AC$21</f>
        <v>0</v>
      </c>
      <c r="J46" s="516" t="s">
        <v>126</v>
      </c>
      <c r="K46" s="220" t="str">
        <f>IF(ISERROR(360/(资产预测!D6*2/(资产预测!D24+资产负债表!K28))),"—",360/(资产预测!D6*2/(资产预测!D24+资产负债表!K28)))</f>
        <v>—</v>
      </c>
      <c r="L46" s="220" t="str">
        <f>IF(ISERROR(360/(资产预测!E6*2/(资产预测!E24+资产预测!D24))),"—",360/(资产预测!E6*2/(资产预测!E24+资产预测!D24)))</f>
        <v>—</v>
      </c>
      <c r="M46" s="220" t="str">
        <f>IF(ISERROR(360/(资产预测!F6*2/(资产预测!F24+资产预测!E24))),"—",360/(资产预测!F6*2/(资产预测!F24+资产预测!E24)))</f>
        <v>—</v>
      </c>
      <c r="N46" s="220" t="str">
        <f>IF(ISERROR(360/(资产预测!J6*2/(资产预测!J24+资产预测!F24))),"—",360/(资产预测!J6*2/(资产预测!J24+资产预测!F24)))</f>
        <v>—</v>
      </c>
      <c r="O46" s="220" t="str">
        <f>IF(ISERROR(360/(资产预测!K6*2/(资产预测!K24+资产预测!J24))),"—",360/(资产预测!K6*2/(资产预测!K24+资产预测!J24)))</f>
        <v>—</v>
      </c>
      <c r="P46" s="220" t="str">
        <f>IF(ISERROR(360/(资产预测!L6*2/(资产预测!L24+资产预测!K24))),"—",360/(资产预测!L6*2/(资产预测!L24+资产预测!K24)))</f>
        <v>—</v>
      </c>
      <c r="Q46" s="570"/>
    </row>
    <row r="47" spans="2:17">
      <c r="B47" s="516" t="s">
        <v>81</v>
      </c>
      <c r="C47" s="509">
        <f t="shared" ref="C47:H47" si="24">C48-C45-C46</f>
        <v>0</v>
      </c>
      <c r="D47" s="509">
        <f t="shared" si="24"/>
        <v>0</v>
      </c>
      <c r="E47" s="509">
        <f t="shared" si="24"/>
        <v>0</v>
      </c>
      <c r="F47" s="509">
        <f t="shared" si="24"/>
        <v>0</v>
      </c>
      <c r="G47" s="509">
        <f t="shared" si="24"/>
        <v>0</v>
      </c>
      <c r="H47" s="509">
        <f t="shared" si="24"/>
        <v>0</v>
      </c>
      <c r="J47" s="516" t="s">
        <v>127</v>
      </c>
      <c r="K47" s="220" t="str">
        <f>IF(ISERROR(360/(利润表!O6*2/(资产负债表!O15+资产负债表!K15))),"—",360/(利润表!O6*2/(资产负债表!O15+资产负债表!K15)))</f>
        <v>—</v>
      </c>
      <c r="L47" s="220" t="str">
        <f>IF(ISERROR(360/(利润表!S6*2/(资产负债表!S15+资产负债表!O15))),"—",360/(利润表!S6*2/(资产负债表!S15+资产负债表!O15)))</f>
        <v>—</v>
      </c>
      <c r="M47" s="220" t="str">
        <f>IF(ISERROR(360/(利润表!W6*2/(资产负债表!W15+资产负债表!S15))),"—",360/(利润表!W6*2/(资产负债表!W15+资产负债表!S15)))</f>
        <v>—</v>
      </c>
      <c r="N47" s="220" t="str">
        <f>IF(ISERROR(360/(利润表!AA6*2/(资产负债表!AA15+资产负债表!W15))),"—",360/(利润表!AA6*2/(资产负债表!AA15+资产负债表!W15)))</f>
        <v>—</v>
      </c>
      <c r="O47" s="220" t="str">
        <f>IF(ISERROR(360/(利润表!AB6*2/(资产负债表!AB15+资产负债表!AA15))),"—",360/(利润表!AB6*2/(资产负债表!AB15+资产负债表!AA15)))</f>
        <v>—</v>
      </c>
      <c r="P47" s="220" t="str">
        <f>IF(ISERROR(360/(利润表!AC6*2/(资产负债表!AC15+资产负债表!AB15))),"—",360/(利润表!AC6*2/(资产负债表!AC15+资产负债表!AB15)))</f>
        <v>—</v>
      </c>
      <c r="Q47" s="570"/>
    </row>
    <row r="48" spans="2:17">
      <c r="B48" s="521" t="s">
        <v>262</v>
      </c>
      <c r="C48" s="522">
        <f>现金流量表!$O$29</f>
        <v>0</v>
      </c>
      <c r="D48" s="522">
        <f>现金流量表!$S$29</f>
        <v>0</v>
      </c>
      <c r="E48" s="522">
        <f>现金流量表!$W$29</f>
        <v>0</v>
      </c>
      <c r="F48" s="522">
        <f>现金流量表!$AA$29</f>
        <v>0</v>
      </c>
      <c r="G48" s="522">
        <f>现金流量表!$AB$29</f>
        <v>0</v>
      </c>
      <c r="H48" s="522">
        <f>现金流量表!$AC$29</f>
        <v>0</v>
      </c>
      <c r="J48" s="521" t="s">
        <v>93</v>
      </c>
    </row>
    <row r="49" spans="2:17">
      <c r="B49" s="516" t="s">
        <v>84</v>
      </c>
      <c r="C49" s="509">
        <f>现金流量表!$O$31</f>
        <v>0</v>
      </c>
      <c r="D49" s="509">
        <f>现金流量表!$S$31</f>
        <v>0</v>
      </c>
      <c r="E49" s="509">
        <f>现金流量表!$W$31</f>
        <v>0</v>
      </c>
      <c r="F49" s="509">
        <f>现金流量表!$AA$31</f>
        <v>0</v>
      </c>
      <c r="G49" s="509">
        <f>现金流量表!$AB$31</f>
        <v>0</v>
      </c>
      <c r="H49" s="509">
        <f>现金流量表!$AC$31</f>
        <v>0</v>
      </c>
      <c r="J49" s="516" t="s">
        <v>66</v>
      </c>
      <c r="K49" s="218" t="str">
        <f>IF(ISERROR(资产负债表!O13/资产负债表!O33),"—",资产负债表!O13/资产负债表!O33)</f>
        <v>—</v>
      </c>
      <c r="L49" s="218" t="str">
        <f>IF(ISERROR(资产负债表!S13/资产负债表!S33),"—",资产负债表!S13/资产负债表!S33)</f>
        <v>—</v>
      </c>
      <c r="M49" s="218" t="str">
        <f>IF(ISERROR(资产负债表!W13/资产负债表!W33),"—",资产负债表!W13/资产负债表!W33)</f>
        <v>—</v>
      </c>
      <c r="N49" s="218" t="str">
        <f>IF(ISERROR(资产负债表!AA13/资产负债表!AA33),"—",资产负债表!AA13/资产负债表!AA33)</f>
        <v>—</v>
      </c>
      <c r="O49" s="218" t="str">
        <f>IF(ISERROR(资产负债表!AB13/资产负债表!AB33),"—",资产负债表!AB13/资产负债表!AB33)</f>
        <v>—</v>
      </c>
      <c r="P49" s="218" t="str">
        <f>IF(ISERROR(资产负债表!AC13/资产负债表!AC33),"—",资产负债表!AC13/资产负债表!AC33)</f>
        <v>—</v>
      </c>
    </row>
    <row r="50" spans="2:17">
      <c r="B50" s="516" t="s">
        <v>82</v>
      </c>
      <c r="C50" s="509">
        <f>现金流量表!$O$30</f>
        <v>0</v>
      </c>
      <c r="D50" s="509">
        <f>现金流量表!$S$30</f>
        <v>0</v>
      </c>
      <c r="E50" s="509">
        <f>现金流量表!$W$30</f>
        <v>0</v>
      </c>
      <c r="F50" s="509">
        <f>现金流量表!$AA$30</f>
        <v>0</v>
      </c>
      <c r="G50" s="509">
        <f>现金流量表!$AB$30</f>
        <v>0</v>
      </c>
      <c r="H50" s="509">
        <f>现金流量表!$AC$30</f>
        <v>0</v>
      </c>
      <c r="J50" s="516" t="s">
        <v>67</v>
      </c>
      <c r="K50" s="218" t="str">
        <f>IF(ISERROR((资产负债表!O13-资产负债表!O11-资产负债表!O12)/资产负债表!O33),"—",(资产负债表!O13-资产负债表!O11-资产负债表!O12)/资产负债表!O33)</f>
        <v>—</v>
      </c>
      <c r="L50" s="218" t="str">
        <f>IF(ISERROR((资产负债表!S13-资产负债表!S11-资产负债表!S12)/资产负债表!S33),"—",(资产负债表!S13-资产负债表!S11-资产负债表!S12)/资产负债表!S33)</f>
        <v>—</v>
      </c>
      <c r="M50" s="218" t="str">
        <f>IF(ISERROR((资产负债表!W13-资产负债表!W11-资产负债表!W12)/资产负债表!W33),"—",(资产负债表!W13-资产负债表!W11-资产负债表!W12)/资产负债表!W33)</f>
        <v>—</v>
      </c>
      <c r="N50" s="218" t="str">
        <f>IF(ISERROR((资产负债表!AA13-资产负债表!AA11-资产负债表!AA12)/资产负债表!AA33),"—",(资产负债表!AA13-资产负债表!AA11-资产负债表!AA12)/资产负债表!AA33)</f>
        <v>—</v>
      </c>
      <c r="O50" s="218" t="str">
        <f>IF(ISERROR((资产负债表!AB13-资产负债表!AB11-资产负债表!AB12)/资产负债表!AB33),"—",(资产负债表!AB13-资产负债表!AB11-资产负债表!AB12)/资产负债表!AB33)</f>
        <v>—</v>
      </c>
      <c r="P50" s="218" t="str">
        <f>IF(ISERROR((资产负债表!AC13-资产负债表!AC11-资产负债表!AC12)/资产负债表!AC33),"—",(资产负债表!AC13-资产负债表!AC11-资产负债表!AC12)/资产负债表!AC33)</f>
        <v>—</v>
      </c>
    </row>
    <row r="51" spans="2:17">
      <c r="B51" s="516" t="s">
        <v>81</v>
      </c>
      <c r="C51" s="509">
        <f t="shared" ref="C51:H51" si="25">C52-C49-C50</f>
        <v>0</v>
      </c>
      <c r="D51" s="509">
        <f t="shared" si="25"/>
        <v>0</v>
      </c>
      <c r="E51" s="509">
        <f t="shared" si="25"/>
        <v>0</v>
      </c>
      <c r="F51" s="509">
        <f t="shared" si="25"/>
        <v>0</v>
      </c>
      <c r="G51" s="509">
        <f t="shared" si="25"/>
        <v>0</v>
      </c>
      <c r="H51" s="509">
        <f t="shared" si="25"/>
        <v>0</v>
      </c>
      <c r="J51" s="516" t="s">
        <v>128</v>
      </c>
      <c r="K51" s="219" t="str">
        <f>IF(ISERROR((资产负债表!O55-资产负债表!O6)/资产负债表!O47),"—",(资产负债表!O55-资产负债表!O6)/资产负债表!O47)</f>
        <v>—</v>
      </c>
      <c r="L51" s="219" t="str">
        <f>IF(ISERROR((资产负债表!S55-资产负债表!S6)/资产负债表!S47),"—",(资产负债表!S55-资产负债表!S6)/资产负债表!S47)</f>
        <v>—</v>
      </c>
      <c r="M51" s="219" t="str">
        <f>IF(ISERROR((资产负债表!W55-资产负债表!W6)/资产负债表!W47),"—",(资产负债表!W55-资产负债表!W6)/资产负债表!W47)</f>
        <v>—</v>
      </c>
      <c r="N51" s="219" t="str">
        <f>IF(ISERROR((资产负债表!AA55-资产负债表!AA6)/资产负债表!AA47),"—",(资产负债表!AA55-资产负债表!AA6)/资产负债表!AA47)</f>
        <v>—</v>
      </c>
      <c r="O51" s="219" t="str">
        <f>IF(ISERROR((资产负债表!AB55-资产负债表!AB6)/资产负债表!AB47),"—",(资产负债表!AB55-资产负债表!AB6)/资产负债表!AB47)</f>
        <v>—</v>
      </c>
      <c r="P51" s="219" t="str">
        <f>IF(ISERROR((资产负债表!AC55-资产负债表!AC6)/资产负债表!AC47),"—",(资产负债表!AC55-资产负债表!AC6)/资产负债表!AC47)</f>
        <v>—</v>
      </c>
    </row>
    <row r="52" spans="2:17">
      <c r="B52" s="521" t="s">
        <v>263</v>
      </c>
      <c r="C52" s="522">
        <f>现金流量表!$O$34</f>
        <v>0</v>
      </c>
      <c r="D52" s="522">
        <f>现金流量表!$S$34</f>
        <v>0</v>
      </c>
      <c r="E52" s="522">
        <f>现金流量表!$W$34</f>
        <v>0</v>
      </c>
      <c r="F52" s="522">
        <f>现金流量表!$AA$34</f>
        <v>0</v>
      </c>
      <c r="G52" s="522">
        <f>现金流量表!$AB$34</f>
        <v>0</v>
      </c>
      <c r="H52" s="522">
        <f>现金流量表!$AC$34</f>
        <v>0</v>
      </c>
      <c r="J52" s="516" t="s">
        <v>264</v>
      </c>
      <c r="K52" s="220" t="str">
        <f>IF(ISERROR(利润表!O35/利润表!O19),"—",利润表!O35/利润表!O19)</f>
        <v>—</v>
      </c>
      <c r="L52" s="220" t="str">
        <f>IF(ISERROR(利润表!S35/利润表!S19),"—",利润表!S35/利润表!S19)</f>
        <v>—</v>
      </c>
      <c r="M52" s="220" t="str">
        <f>IF(ISERROR(利润表!W35/利润表!W19),"—",利润表!W35/利润表!W19)</f>
        <v>—</v>
      </c>
      <c r="N52" s="220" t="str">
        <f>IF(ISERROR(利润表!AA35/利润表!AA19),"—",利润表!AA35/利润表!AA19)</f>
        <v>—</v>
      </c>
      <c r="O52" s="220" t="str">
        <f>IF(ISERROR(利润表!AB35/利润表!AB19),"—",利润表!AB35/利润表!AB19)</f>
        <v>—</v>
      </c>
      <c r="P52" s="220" t="str">
        <f>IF(ISERROR(利润表!AC35/利润表!AC19),"—",利润表!AC35/利润表!AC19)</f>
        <v>—</v>
      </c>
    </row>
    <row r="53" spans="2:17">
      <c r="B53" s="511" t="s">
        <v>265</v>
      </c>
      <c r="C53" s="525">
        <f>现金流量表!$O$36</f>
        <v>0</v>
      </c>
      <c r="D53" s="525">
        <f>现金流量表!$S$36</f>
        <v>0</v>
      </c>
      <c r="E53" s="525">
        <f>现金流量表!$W$36</f>
        <v>0</v>
      </c>
      <c r="F53" s="525">
        <f>现金流量表!$AA$36</f>
        <v>0</v>
      </c>
      <c r="G53" s="525">
        <f>现金流量表!$AB$36</f>
        <v>0</v>
      </c>
      <c r="H53" s="525">
        <f>现金流量表!$AC$36</f>
        <v>0</v>
      </c>
      <c r="J53" s="532" t="s">
        <v>64</v>
      </c>
      <c r="K53" s="221" t="str">
        <f>IF(ISERROR(K22/K14),"—",K22/K14)</f>
        <v>—</v>
      </c>
      <c r="L53" s="221" t="str">
        <f t="shared" ref="L53:P53" si="26">IF(ISERROR(L22/L14),"—",L22/L14)</f>
        <v>—</v>
      </c>
      <c r="M53" s="221" t="str">
        <f t="shared" si="26"/>
        <v>—</v>
      </c>
      <c r="N53" s="221" t="str">
        <f t="shared" si="26"/>
        <v>—</v>
      </c>
      <c r="O53" s="221" t="str">
        <f t="shared" si="26"/>
        <v>—</v>
      </c>
      <c r="P53" s="221" t="str">
        <f t="shared" si="26"/>
        <v>—</v>
      </c>
      <c r="Q53" s="223"/>
    </row>
    <row r="54" spans="2:17">
      <c r="D54" s="509"/>
      <c r="E54" s="509"/>
      <c r="F54" s="509"/>
      <c r="G54" s="509"/>
      <c r="H54" s="509"/>
      <c r="J54" s="516"/>
      <c r="Q54" s="223"/>
    </row>
    <row r="55" spans="2:17">
      <c r="D55" s="509"/>
      <c r="E55" s="509"/>
      <c r="F55" s="509"/>
      <c r="G55" s="509"/>
      <c r="H55" s="509"/>
      <c r="J55" s="516"/>
      <c r="Q55" s="223"/>
    </row>
    <row r="56" spans="2:17">
      <c r="J56" s="516"/>
    </row>
    <row r="57" spans="2:17">
      <c r="J57" s="516"/>
    </row>
    <row r="58" spans="2:17">
      <c r="J58" s="516"/>
    </row>
    <row r="59" spans="2:17">
      <c r="J59" s="516"/>
    </row>
    <row r="60" spans="2:17">
      <c r="J60" s="516"/>
    </row>
    <row r="61" spans="2:17">
      <c r="J61" s="516"/>
    </row>
    <row r="62" spans="2:17">
      <c r="J62" s="516"/>
    </row>
    <row r="63" spans="2:17">
      <c r="J63" s="516"/>
    </row>
    <row r="64" spans="2:17">
      <c r="J64" s="516"/>
    </row>
    <row r="65" spans="10:10">
      <c r="J65" s="516"/>
    </row>
    <row r="66" spans="10:10">
      <c r="J66" s="516"/>
    </row>
    <row r="67" spans="10:10">
      <c r="J67" s="516"/>
    </row>
    <row r="68" spans="10:10">
      <c r="J68" s="516"/>
    </row>
    <row r="69" spans="10:10">
      <c r="J69" s="516"/>
    </row>
    <row r="70" spans="10:10">
      <c r="J70" s="516"/>
    </row>
    <row r="71" spans="10:10">
      <c r="J71" s="516"/>
    </row>
    <row r="72" spans="10:10">
      <c r="J72" s="516"/>
    </row>
  </sheetData>
  <mergeCells count="1">
    <mergeCell ref="Q44:Q47"/>
  </mergeCells>
  <phoneticPr fontId="9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"/>
  <dimension ref="A2:AK60"/>
  <sheetViews>
    <sheetView zoomScaleNormal="100" workbookViewId="0">
      <pane xSplit="2" ySplit="4" topLeftCell="C5" activePane="bottomRight" state="frozen"/>
      <selection pane="topRight"/>
      <selection pane="bottomLeft"/>
      <selection pane="bottomRight" activeCell="W4" sqref="W4"/>
    </sheetView>
  </sheetViews>
  <sheetFormatPr defaultColWidth="9" defaultRowHeight="17.25"/>
  <cols>
    <col min="1" max="1" width="1.625" style="132" customWidth="1"/>
    <col min="2" max="2" width="29.125" style="60" customWidth="1"/>
    <col min="3" max="3" width="3" style="20" customWidth="1"/>
    <col min="4" max="10" width="14.375" style="191" hidden="1" customWidth="1"/>
    <col min="11" max="11" width="14.375" style="191" customWidth="1"/>
    <col min="12" max="14" width="14.375" style="191" hidden="1" customWidth="1"/>
    <col min="15" max="15" width="14.375" style="191" customWidth="1"/>
    <col min="16" max="18" width="14.375" style="191" hidden="1" customWidth="1"/>
    <col min="19" max="19" width="14.375" style="191" customWidth="1"/>
    <col min="20" max="22" width="14.375" style="191" hidden="1" customWidth="1"/>
    <col min="23" max="23" width="14.375" style="191" customWidth="1"/>
    <col min="24" max="26" width="14.375" style="191" hidden="1" customWidth="1"/>
    <col min="27" max="29" width="14.375" style="191" customWidth="1"/>
    <col min="30" max="36" width="14.375" style="191" hidden="1" customWidth="1"/>
    <col min="37" max="37" width="14.375" style="20" customWidth="1"/>
    <col min="38" max="41" width="15.625" style="132" customWidth="1"/>
    <col min="42" max="16384" width="9" style="132"/>
  </cols>
  <sheetData>
    <row r="2" spans="2:37" s="189" customFormat="1" ht="15.75" customHeight="1">
      <c r="B2" s="59" t="s">
        <v>36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212"/>
    </row>
    <row r="3" spans="2:37" s="130" customFormat="1" ht="15.75">
      <c r="B3" s="192" t="str">
        <f>主要财务摘要!H2</f>
        <v>单位：港币(百万)</v>
      </c>
      <c r="C3" s="156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20"/>
    </row>
    <row r="4" spans="2:37" s="130" customFormat="1">
      <c r="B4" s="193" t="s">
        <v>266</v>
      </c>
      <c r="C4" s="158"/>
      <c r="D4" s="159" t="str">
        <f>财务基础数据!D5</f>
        <v>1Q17</v>
      </c>
      <c r="E4" s="159" t="str">
        <f>财务基础数据!E5</f>
        <v>1H17</v>
      </c>
      <c r="F4" s="159" t="str">
        <f>财务基础数据!F5</f>
        <v>3Q17</v>
      </c>
      <c r="G4" s="159">
        <f>财务基础数据!G5</f>
        <v>2017</v>
      </c>
      <c r="H4" s="159" t="str">
        <f>财务基础数据!H5</f>
        <v>1Q18</v>
      </c>
      <c r="I4" s="159" t="str">
        <f>财务基础数据!I5</f>
        <v>1H18</v>
      </c>
      <c r="J4" s="159" t="str">
        <f>财务基础数据!J5</f>
        <v>3Q18</v>
      </c>
      <c r="K4" s="159">
        <f>财务基础数据!K5</f>
        <v>2018</v>
      </c>
      <c r="L4" s="159" t="str">
        <f>财务基础数据!L5</f>
        <v>1Q19</v>
      </c>
      <c r="M4" s="159" t="str">
        <f>财务基础数据!M5</f>
        <v>1H19</v>
      </c>
      <c r="N4" s="159" t="str">
        <f>财务基础数据!N5</f>
        <v>3Q19</v>
      </c>
      <c r="O4" s="159">
        <f>财务基础数据!O5</f>
        <v>2019</v>
      </c>
      <c r="P4" s="159" t="str">
        <f>财务基础数据!P5</f>
        <v>1Q20</v>
      </c>
      <c r="Q4" s="159" t="str">
        <f>财务基础数据!Q5</f>
        <v>1H20</v>
      </c>
      <c r="R4" s="159" t="str">
        <f>财务基础数据!R5</f>
        <v>3Q20</v>
      </c>
      <c r="S4" s="159">
        <f>财务基础数据!S5</f>
        <v>2020</v>
      </c>
      <c r="T4" s="159" t="str">
        <f>财务基础数据!T5</f>
        <v>1Q21</v>
      </c>
      <c r="U4" s="159" t="str">
        <f>财务基础数据!U5</f>
        <v>1H21</v>
      </c>
      <c r="V4" s="159" t="str">
        <f>财务基础数据!V5</f>
        <v>3Q21</v>
      </c>
      <c r="W4" s="159">
        <f>财务基础数据!W5</f>
        <v>2021</v>
      </c>
      <c r="X4" s="159" t="str">
        <f>财务基础数据!X5</f>
        <v>1Q22</v>
      </c>
      <c r="Y4" s="159" t="str">
        <f>财务基础数据!Y5</f>
        <v>1H22</v>
      </c>
      <c r="Z4" s="159" t="str">
        <f>财务基础数据!Z5</f>
        <v>3Q22</v>
      </c>
      <c r="AA4" s="185" t="str">
        <f>财务基础数据!AA5&amp;"E"</f>
        <v>2022E</v>
      </c>
      <c r="AB4" s="185">
        <f>财务基础数据!AA5+1</f>
        <v>2023</v>
      </c>
      <c r="AC4" s="185">
        <f t="shared" ref="AC4:AJ4" si="0">AB4+1</f>
        <v>2024</v>
      </c>
      <c r="AD4" s="185">
        <f t="shared" si="0"/>
        <v>2025</v>
      </c>
      <c r="AE4" s="185">
        <f t="shared" si="0"/>
        <v>2026</v>
      </c>
      <c r="AF4" s="185">
        <f t="shared" si="0"/>
        <v>2027</v>
      </c>
      <c r="AG4" s="185">
        <f t="shared" si="0"/>
        <v>2028</v>
      </c>
      <c r="AH4" s="185">
        <f t="shared" si="0"/>
        <v>2029</v>
      </c>
      <c r="AI4" s="185">
        <f t="shared" si="0"/>
        <v>2030</v>
      </c>
      <c r="AJ4" s="185">
        <f t="shared" si="0"/>
        <v>2031</v>
      </c>
      <c r="AK4" s="20"/>
    </row>
    <row r="5" spans="2:37" ht="15.75">
      <c r="B5" s="194" t="s">
        <v>267</v>
      </c>
      <c r="C5" s="195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</row>
    <row r="6" spans="2:37">
      <c r="B6" s="17" t="s">
        <v>94</v>
      </c>
      <c r="C6" s="195"/>
      <c r="D6" s="36">
        <f>(财务基础数据!D44)*目录!$D$6</f>
        <v>0</v>
      </c>
      <c r="E6" s="36">
        <f>(财务基础数据!E44)*目录!$D$6</f>
        <v>0</v>
      </c>
      <c r="F6" s="36">
        <f>(财务基础数据!F44)*目录!$D$6</f>
        <v>0</v>
      </c>
      <c r="G6" s="36">
        <f>(财务基础数据!G44)*目录!$D$6</f>
        <v>0</v>
      </c>
      <c r="H6" s="36">
        <f>(财务基础数据!H44)*目录!$D$6</f>
        <v>0</v>
      </c>
      <c r="I6" s="36">
        <f>(财务基础数据!I44)*目录!$D$6</f>
        <v>0</v>
      </c>
      <c r="J6" s="36">
        <f>(财务基础数据!J44)*目录!$D$6</f>
        <v>0</v>
      </c>
      <c r="K6" s="36">
        <f>(财务基础数据!K44)*目录!$D$6</f>
        <v>0</v>
      </c>
      <c r="L6" s="36">
        <f>(财务基础数据!L44)*目录!$D$6</f>
        <v>0</v>
      </c>
      <c r="M6" s="36">
        <f>(财务基础数据!M44)*目录!$D$6</f>
        <v>0</v>
      </c>
      <c r="N6" s="36">
        <f>(财务基础数据!N44)*目录!$D$6</f>
        <v>0</v>
      </c>
      <c r="O6" s="36">
        <f>(财务基础数据!O44)*目录!$D$6</f>
        <v>0</v>
      </c>
      <c r="P6" s="36">
        <f>(财务基础数据!P44)*目录!$D$6</f>
        <v>0</v>
      </c>
      <c r="Q6" s="36">
        <f>(财务基础数据!Q44)*目录!$D$6</f>
        <v>0</v>
      </c>
      <c r="R6" s="36">
        <f>(财务基础数据!R44)*目录!$D$6</f>
        <v>0</v>
      </c>
      <c r="S6" s="36">
        <f>(财务基础数据!S44)*目录!$D$6</f>
        <v>0</v>
      </c>
      <c r="T6" s="36">
        <f>(财务基础数据!T44)*目录!$D$6</f>
        <v>0</v>
      </c>
      <c r="U6" s="36">
        <f>(财务基础数据!U44)*目录!$D$6</f>
        <v>0</v>
      </c>
      <c r="V6" s="36">
        <f>(财务基础数据!V44)*目录!$D$6</f>
        <v>0</v>
      </c>
      <c r="W6" s="36">
        <f>(财务基础数据!W44)*目录!$D$6</f>
        <v>0</v>
      </c>
      <c r="X6" s="36">
        <f>(财务基础数据!X44)*目录!$D$6</f>
        <v>0</v>
      </c>
      <c r="Y6" s="36">
        <f>(财务基础数据!Y44)*目录!$D$6</f>
        <v>0</v>
      </c>
      <c r="Z6" s="36">
        <f>(财务基础数据!Z44)*目录!$D$6</f>
        <v>0</v>
      </c>
      <c r="AA6" s="36">
        <f>现金流量表!AA38</f>
        <v>0</v>
      </c>
      <c r="AB6" s="36">
        <f>现金流量表!AB38</f>
        <v>0</v>
      </c>
      <c r="AC6" s="36">
        <f>现金流量表!AC38</f>
        <v>0</v>
      </c>
      <c r="AD6" s="36">
        <f>现金流量表!AD38</f>
        <v>0</v>
      </c>
      <c r="AE6" s="36">
        <f>现金流量表!AE38</f>
        <v>0</v>
      </c>
      <c r="AF6" s="36">
        <f>现金流量表!AF38</f>
        <v>0</v>
      </c>
      <c r="AG6" s="36">
        <f>现金流量表!AG38</f>
        <v>0</v>
      </c>
      <c r="AH6" s="36">
        <f>现金流量表!AH38</f>
        <v>0</v>
      </c>
      <c r="AI6" s="36">
        <f>现金流量表!AI38</f>
        <v>0</v>
      </c>
      <c r="AJ6" s="36">
        <f>现金流量表!AJ38</f>
        <v>0</v>
      </c>
    </row>
    <row r="7" spans="2:37">
      <c r="B7" s="17" t="s">
        <v>146</v>
      </c>
      <c r="C7" s="195"/>
      <c r="D7" s="36">
        <f>(财务基础数据!D45)*目录!$D$6</f>
        <v>0</v>
      </c>
      <c r="E7" s="36">
        <f>(财务基础数据!E45)*目录!$D$6</f>
        <v>0</v>
      </c>
      <c r="F7" s="36">
        <f>(财务基础数据!F45)*目录!$D$6</f>
        <v>0</v>
      </c>
      <c r="G7" s="36">
        <f>(财务基础数据!G45)*目录!$D$6</f>
        <v>0</v>
      </c>
      <c r="H7" s="36">
        <f>(财务基础数据!H45)*目录!$D$6</f>
        <v>0</v>
      </c>
      <c r="I7" s="36">
        <f>(财务基础数据!I45)*目录!$D$6</f>
        <v>0</v>
      </c>
      <c r="J7" s="36">
        <f>(财务基础数据!J45)*目录!$D$6</f>
        <v>0</v>
      </c>
      <c r="K7" s="36">
        <f>(财务基础数据!K45)*目录!$D$6</f>
        <v>0</v>
      </c>
      <c r="L7" s="36">
        <f>(财务基础数据!L45)*目录!$D$6</f>
        <v>0</v>
      </c>
      <c r="M7" s="36">
        <f>(财务基础数据!M45)*目录!$D$6</f>
        <v>0</v>
      </c>
      <c r="N7" s="36">
        <f>(财务基础数据!N45)*目录!$D$6</f>
        <v>0</v>
      </c>
      <c r="O7" s="36">
        <f>(财务基础数据!O45)*目录!$D$6</f>
        <v>0</v>
      </c>
      <c r="P7" s="36">
        <f>(财务基础数据!P45)*目录!$D$6</f>
        <v>0</v>
      </c>
      <c r="Q7" s="36">
        <f>(财务基础数据!Q45)*目录!$D$6</f>
        <v>0</v>
      </c>
      <c r="R7" s="36">
        <f>(财务基础数据!R45)*目录!$D$6</f>
        <v>0</v>
      </c>
      <c r="S7" s="36">
        <f>(财务基础数据!S45)*目录!$D$6</f>
        <v>0</v>
      </c>
      <c r="T7" s="36">
        <f>(财务基础数据!T45)*目录!$D$6</f>
        <v>0</v>
      </c>
      <c r="U7" s="36">
        <f>(财务基础数据!U45)*目录!$D$6</f>
        <v>0</v>
      </c>
      <c r="V7" s="36">
        <f>(财务基础数据!V45)*目录!$D$6</f>
        <v>0</v>
      </c>
      <c r="W7" s="36">
        <f>(财务基础数据!W45)*目录!$D$6</f>
        <v>0</v>
      </c>
      <c r="X7" s="36">
        <f>(财务基础数据!X45)*目录!$D$6</f>
        <v>0</v>
      </c>
      <c r="Y7" s="36">
        <f>(财务基础数据!Y45)*目录!$D$6</f>
        <v>0</v>
      </c>
      <c r="Z7" s="36">
        <f>(财务基础数据!Z45)*目录!$D$6</f>
        <v>0</v>
      </c>
      <c r="AA7" s="36">
        <f>资产预测!J40</f>
        <v>0</v>
      </c>
      <c r="AB7" s="36">
        <f>资产预测!K40</f>
        <v>0</v>
      </c>
      <c r="AC7" s="36">
        <f>资产预测!L40</f>
        <v>0</v>
      </c>
      <c r="AD7" s="36">
        <f>资产预测!M40</f>
        <v>0</v>
      </c>
      <c r="AE7" s="36">
        <f>资产预测!N40</f>
        <v>0</v>
      </c>
      <c r="AF7" s="36">
        <f>资产预测!O40</f>
        <v>0</v>
      </c>
      <c r="AG7" s="36">
        <f>资产预测!P40</f>
        <v>0</v>
      </c>
      <c r="AH7" s="36">
        <f>资产预测!Q40</f>
        <v>0</v>
      </c>
      <c r="AI7" s="36">
        <f>资产预测!R40</f>
        <v>0</v>
      </c>
      <c r="AJ7" s="36">
        <f>资产预测!S40</f>
        <v>0</v>
      </c>
    </row>
    <row r="8" spans="2:37">
      <c r="B8" s="17" t="s">
        <v>185</v>
      </c>
      <c r="C8" s="195"/>
      <c r="D8" s="36">
        <f>(财务基础数据!D46)*目录!$D$6</f>
        <v>0</v>
      </c>
      <c r="E8" s="36">
        <f>(财务基础数据!E46)*目录!$D$6</f>
        <v>0</v>
      </c>
      <c r="F8" s="36">
        <f>(财务基础数据!F46)*目录!$D$6</f>
        <v>0</v>
      </c>
      <c r="G8" s="36">
        <f>(财务基础数据!G46)*目录!$D$6</f>
        <v>0</v>
      </c>
      <c r="H8" s="36">
        <f>(财务基础数据!H46)*目录!$D$6</f>
        <v>0</v>
      </c>
      <c r="I8" s="36">
        <f>(财务基础数据!I46)*目录!$D$6</f>
        <v>0</v>
      </c>
      <c r="J8" s="36">
        <f>(财务基础数据!J46)*目录!$D$6</f>
        <v>0</v>
      </c>
      <c r="K8" s="36">
        <f>(财务基础数据!K46)*目录!$D$6</f>
        <v>0</v>
      </c>
      <c r="L8" s="36">
        <f>(财务基础数据!L46)*目录!$D$6</f>
        <v>0</v>
      </c>
      <c r="M8" s="36">
        <f>(财务基础数据!M46)*目录!$D$6</f>
        <v>0</v>
      </c>
      <c r="N8" s="36">
        <f>(财务基础数据!N46)*目录!$D$6</f>
        <v>0</v>
      </c>
      <c r="O8" s="36">
        <f>(财务基础数据!O46)*目录!$D$6</f>
        <v>0</v>
      </c>
      <c r="P8" s="36">
        <f>(财务基础数据!P46)*目录!$D$6</f>
        <v>0</v>
      </c>
      <c r="Q8" s="36">
        <f>(财务基础数据!Q46)*目录!$D$6</f>
        <v>0</v>
      </c>
      <c r="R8" s="36">
        <f>(财务基础数据!R46)*目录!$D$6</f>
        <v>0</v>
      </c>
      <c r="S8" s="36">
        <f>(财务基础数据!S46)*目录!$D$6</f>
        <v>0</v>
      </c>
      <c r="T8" s="36">
        <f>(财务基础数据!T46)*目录!$D$6</f>
        <v>0</v>
      </c>
      <c r="U8" s="36">
        <f>(财务基础数据!U46)*目录!$D$6</f>
        <v>0</v>
      </c>
      <c r="V8" s="36">
        <f>(财务基础数据!V46)*目录!$D$6</f>
        <v>0</v>
      </c>
      <c r="W8" s="36">
        <f>(财务基础数据!W46)*目录!$D$6</f>
        <v>0</v>
      </c>
      <c r="X8" s="36">
        <f>(财务基础数据!X46)*目录!$D$6</f>
        <v>0</v>
      </c>
      <c r="Y8" s="36">
        <f>(财务基础数据!Y46)*目录!$D$6</f>
        <v>0</v>
      </c>
      <c r="Z8" s="36">
        <f>(财务基础数据!Z46)*目录!$D$6</f>
        <v>0</v>
      </c>
      <c r="AA8" s="36">
        <f>资产预测!J43</f>
        <v>0</v>
      </c>
      <c r="AB8" s="36">
        <f>资产预测!K43</f>
        <v>0</v>
      </c>
      <c r="AC8" s="36">
        <f>资产预测!L43</f>
        <v>0</v>
      </c>
      <c r="AD8" s="36">
        <f>资产预测!M43</f>
        <v>0</v>
      </c>
      <c r="AE8" s="36">
        <f>资产预测!N43</f>
        <v>0</v>
      </c>
      <c r="AF8" s="36">
        <f>资产预测!O43</f>
        <v>0</v>
      </c>
      <c r="AG8" s="36">
        <f>资产预测!P43</f>
        <v>0</v>
      </c>
      <c r="AH8" s="36">
        <f>资产预测!Q43</f>
        <v>0</v>
      </c>
      <c r="AI8" s="36">
        <f>资产预测!R43</f>
        <v>0</v>
      </c>
      <c r="AJ8" s="36">
        <f>资产预测!S43</f>
        <v>0</v>
      </c>
    </row>
    <row r="9" spans="2:37">
      <c r="B9" s="17" t="s">
        <v>95</v>
      </c>
      <c r="C9" s="195"/>
      <c r="D9" s="36">
        <f>(财务基础数据!D48)*目录!$D$6</f>
        <v>0</v>
      </c>
      <c r="E9" s="36">
        <f>(财务基础数据!E48)*目录!$D$6</f>
        <v>0</v>
      </c>
      <c r="F9" s="36">
        <f>(财务基础数据!F48)*目录!$D$6</f>
        <v>0</v>
      </c>
      <c r="G9" s="36">
        <f>(财务基础数据!G48)*目录!$D$6</f>
        <v>0</v>
      </c>
      <c r="H9" s="36">
        <f>(财务基础数据!H48)*目录!$D$6</f>
        <v>0</v>
      </c>
      <c r="I9" s="36">
        <f>(财务基础数据!I48)*目录!$D$6</f>
        <v>0</v>
      </c>
      <c r="J9" s="36">
        <f>(财务基础数据!J48)*目录!$D$6</f>
        <v>0</v>
      </c>
      <c r="K9" s="36">
        <f>(财务基础数据!K48)*目录!$D$6</f>
        <v>0</v>
      </c>
      <c r="L9" s="36">
        <f>(财务基础数据!L48)*目录!$D$6</f>
        <v>0</v>
      </c>
      <c r="M9" s="36">
        <f>(财务基础数据!M48)*目录!$D$6</f>
        <v>0</v>
      </c>
      <c r="N9" s="36">
        <f>(财务基础数据!N48)*目录!$D$6</f>
        <v>0</v>
      </c>
      <c r="O9" s="36">
        <f>(财务基础数据!O48)*目录!$D$6</f>
        <v>0</v>
      </c>
      <c r="P9" s="36">
        <f>(财务基础数据!P48)*目录!$D$6</f>
        <v>0</v>
      </c>
      <c r="Q9" s="36">
        <f>(财务基础数据!Q48)*目录!$D$6</f>
        <v>0</v>
      </c>
      <c r="R9" s="36">
        <f>(财务基础数据!R48)*目录!$D$6</f>
        <v>0</v>
      </c>
      <c r="S9" s="36">
        <f>(财务基础数据!S48)*目录!$D$6</f>
        <v>0</v>
      </c>
      <c r="T9" s="36">
        <f>(财务基础数据!T48)*目录!$D$6</f>
        <v>0</v>
      </c>
      <c r="U9" s="36">
        <f>(财务基础数据!U48)*目录!$D$6</f>
        <v>0</v>
      </c>
      <c r="V9" s="36">
        <f>(财务基础数据!V48)*目录!$D$6</f>
        <v>0</v>
      </c>
      <c r="W9" s="36">
        <f>(财务基础数据!W48)*目录!$D$6</f>
        <v>0</v>
      </c>
      <c r="X9" s="36">
        <f>(财务基础数据!X48)*目录!$D$6</f>
        <v>0</v>
      </c>
      <c r="Y9" s="36">
        <f>(财务基础数据!Y48)*目录!$D$6</f>
        <v>0</v>
      </c>
      <c r="Z9" s="36">
        <f>(财务基础数据!Z48)*目录!$D$6</f>
        <v>0</v>
      </c>
      <c r="AA9" s="36">
        <f>资产预测!J9</f>
        <v>0</v>
      </c>
      <c r="AB9" s="36">
        <f>资产预测!K9</f>
        <v>0</v>
      </c>
      <c r="AC9" s="36">
        <f>资产预测!L9</f>
        <v>0</v>
      </c>
      <c r="AD9" s="36">
        <f>资产预测!M9</f>
        <v>0</v>
      </c>
      <c r="AE9" s="36">
        <f>资产预测!N9</f>
        <v>0</v>
      </c>
      <c r="AF9" s="36">
        <f>资产预测!O9</f>
        <v>0</v>
      </c>
      <c r="AG9" s="36">
        <f>资产预测!P9</f>
        <v>0</v>
      </c>
      <c r="AH9" s="36">
        <f>资产预测!Q9</f>
        <v>0</v>
      </c>
      <c r="AI9" s="36">
        <f>资产预测!R9</f>
        <v>0</v>
      </c>
      <c r="AJ9" s="36">
        <f>资产预测!S9</f>
        <v>0</v>
      </c>
    </row>
    <row r="10" spans="2:37">
      <c r="B10" s="17" t="s">
        <v>176</v>
      </c>
      <c r="C10" s="195"/>
      <c r="D10" s="36">
        <f>(财务基础数据!D49)*目录!$D$6</f>
        <v>0</v>
      </c>
      <c r="E10" s="36">
        <f>(财务基础数据!E49)*目录!$D$6</f>
        <v>0</v>
      </c>
      <c r="F10" s="36">
        <f>(财务基础数据!F49)*目录!$D$6</f>
        <v>0</v>
      </c>
      <c r="G10" s="36">
        <f>(财务基础数据!G49)*目录!$D$6</f>
        <v>0</v>
      </c>
      <c r="H10" s="36">
        <f>(财务基础数据!H49)*目录!$D$6</f>
        <v>0</v>
      </c>
      <c r="I10" s="36">
        <f>(财务基础数据!I49)*目录!$D$6</f>
        <v>0</v>
      </c>
      <c r="J10" s="36">
        <f>(财务基础数据!J49)*目录!$D$6</f>
        <v>0</v>
      </c>
      <c r="K10" s="36">
        <f>(财务基础数据!K49)*目录!$D$6</f>
        <v>0</v>
      </c>
      <c r="L10" s="36">
        <f>(财务基础数据!L49)*目录!$D$6</f>
        <v>0</v>
      </c>
      <c r="M10" s="36">
        <f>(财务基础数据!M49)*目录!$D$6</f>
        <v>0</v>
      </c>
      <c r="N10" s="36">
        <f>(财务基础数据!N49)*目录!$D$6</f>
        <v>0</v>
      </c>
      <c r="O10" s="36">
        <f>(财务基础数据!O49)*目录!$D$6</f>
        <v>0</v>
      </c>
      <c r="P10" s="36">
        <f>(财务基础数据!P49)*目录!$D$6</f>
        <v>0</v>
      </c>
      <c r="Q10" s="36">
        <f>(财务基础数据!Q49)*目录!$D$6</f>
        <v>0</v>
      </c>
      <c r="R10" s="36">
        <f>(财务基础数据!R49)*目录!$D$6</f>
        <v>0</v>
      </c>
      <c r="S10" s="36">
        <f>(财务基础数据!S49)*目录!$D$6</f>
        <v>0</v>
      </c>
      <c r="T10" s="36">
        <f>(财务基础数据!T49)*目录!$D$6</f>
        <v>0</v>
      </c>
      <c r="U10" s="36">
        <f>(财务基础数据!U49)*目录!$D$6</f>
        <v>0</v>
      </c>
      <c r="V10" s="36">
        <f>(财务基础数据!V49)*目录!$D$6</f>
        <v>0</v>
      </c>
      <c r="W10" s="36">
        <f>(财务基础数据!W49)*目录!$D$6</f>
        <v>0</v>
      </c>
      <c r="X10" s="36">
        <f>(财务基础数据!X49)*目录!$D$6</f>
        <v>0</v>
      </c>
      <c r="Y10" s="36">
        <f>(财务基础数据!Y49)*目录!$D$6</f>
        <v>0</v>
      </c>
      <c r="Z10" s="36">
        <f>(财务基础数据!Z49)*目录!$D$6</f>
        <v>0</v>
      </c>
      <c r="AA10" s="36">
        <f>资产预测!J17</f>
        <v>0</v>
      </c>
      <c r="AB10" s="36">
        <f>资产预测!K17</f>
        <v>0</v>
      </c>
      <c r="AC10" s="36">
        <f>资产预测!L17</f>
        <v>0</v>
      </c>
      <c r="AD10" s="36">
        <f>资产预测!M17</f>
        <v>0</v>
      </c>
      <c r="AE10" s="36">
        <f>资产预测!N17</f>
        <v>0</v>
      </c>
      <c r="AF10" s="36">
        <f>资产预测!O17</f>
        <v>0</v>
      </c>
      <c r="AG10" s="36">
        <f>资产预测!P17</f>
        <v>0</v>
      </c>
      <c r="AH10" s="36">
        <f>资产预测!Q17</f>
        <v>0</v>
      </c>
      <c r="AI10" s="36">
        <f>资产预测!R17</f>
        <v>0</v>
      </c>
      <c r="AJ10" s="36">
        <f>资产预测!S17</f>
        <v>0</v>
      </c>
      <c r="AK10" s="146"/>
    </row>
    <row r="11" spans="2:37">
      <c r="B11" s="17" t="s">
        <v>70</v>
      </c>
      <c r="C11" s="195"/>
      <c r="D11" s="36">
        <f>(财务基础数据!D50)*目录!$D$6</f>
        <v>0</v>
      </c>
      <c r="E11" s="36">
        <f>(财务基础数据!E50)*目录!$D$6</f>
        <v>0</v>
      </c>
      <c r="F11" s="36">
        <f>(财务基础数据!F50)*目录!$D$6</f>
        <v>0</v>
      </c>
      <c r="G11" s="36">
        <f>(财务基础数据!G50)*目录!$D$6</f>
        <v>0</v>
      </c>
      <c r="H11" s="36">
        <f>(财务基础数据!H50)*目录!$D$6</f>
        <v>0</v>
      </c>
      <c r="I11" s="36">
        <f>(财务基础数据!I50)*目录!$D$6</f>
        <v>0</v>
      </c>
      <c r="J11" s="36">
        <f>(财务基础数据!J50)*目录!$D$6</f>
        <v>0</v>
      </c>
      <c r="K11" s="36">
        <f>(财务基础数据!K50)*目录!$D$6</f>
        <v>0</v>
      </c>
      <c r="L11" s="36">
        <f>(财务基础数据!L50)*目录!$D$6</f>
        <v>0</v>
      </c>
      <c r="M11" s="36">
        <f>(财务基础数据!M50)*目录!$D$6</f>
        <v>0</v>
      </c>
      <c r="N11" s="36">
        <f>(财务基础数据!N50)*目录!$D$6</f>
        <v>0</v>
      </c>
      <c r="O11" s="36">
        <f>(财务基础数据!O50)*目录!$D$6</f>
        <v>0</v>
      </c>
      <c r="P11" s="36">
        <f>(财务基础数据!P50)*目录!$D$6</f>
        <v>0</v>
      </c>
      <c r="Q11" s="36">
        <f>(财务基础数据!Q50)*目录!$D$6</f>
        <v>0</v>
      </c>
      <c r="R11" s="36">
        <f>(财务基础数据!R50)*目录!$D$6</f>
        <v>0</v>
      </c>
      <c r="S11" s="36">
        <f>(财务基础数据!S50)*目录!$D$6</f>
        <v>0</v>
      </c>
      <c r="T11" s="36">
        <f>(财务基础数据!T50)*目录!$D$6</f>
        <v>0</v>
      </c>
      <c r="U11" s="36">
        <f>(财务基础数据!U50)*目录!$D$6</f>
        <v>0</v>
      </c>
      <c r="V11" s="36">
        <f>(财务基础数据!V50)*目录!$D$6</f>
        <v>0</v>
      </c>
      <c r="W11" s="36">
        <f>(财务基础数据!W50)*目录!$D$6</f>
        <v>0</v>
      </c>
      <c r="X11" s="36">
        <f>(财务基础数据!X50)*目录!$D$6</f>
        <v>0</v>
      </c>
      <c r="Y11" s="36">
        <f>(财务基础数据!Y50)*目录!$D$6</f>
        <v>0</v>
      </c>
      <c r="Z11" s="36">
        <f>(财务基础数据!Z50)*目录!$D$6</f>
        <v>0</v>
      </c>
      <c r="AA11" s="36">
        <f>资产预测!J13</f>
        <v>0</v>
      </c>
      <c r="AB11" s="36">
        <f>资产预测!K13</f>
        <v>0</v>
      </c>
      <c r="AC11" s="36">
        <f>资产预测!L13</f>
        <v>0</v>
      </c>
      <c r="AD11" s="36">
        <f>资产预测!M13</f>
        <v>0</v>
      </c>
      <c r="AE11" s="36">
        <f>资产预测!N13</f>
        <v>0</v>
      </c>
      <c r="AF11" s="36">
        <f>资产预测!O13</f>
        <v>0</v>
      </c>
      <c r="AG11" s="36">
        <f>资产预测!P13</f>
        <v>0</v>
      </c>
      <c r="AH11" s="36">
        <f>资产预测!Q13</f>
        <v>0</v>
      </c>
      <c r="AI11" s="36">
        <f>资产预测!R13</f>
        <v>0</v>
      </c>
      <c r="AJ11" s="36">
        <f>资产预测!S13</f>
        <v>0</v>
      </c>
      <c r="AK11" s="146"/>
    </row>
    <row r="12" spans="2:37">
      <c r="B12" s="17" t="s">
        <v>96</v>
      </c>
      <c r="C12" s="195"/>
      <c r="D12" s="36">
        <f>(财务基础数据!D51)*目录!$D$6</f>
        <v>0</v>
      </c>
      <c r="E12" s="36">
        <f>(财务基础数据!E51)*目录!$D$6</f>
        <v>0</v>
      </c>
      <c r="F12" s="36">
        <f>(财务基础数据!F51)*目录!$D$6</f>
        <v>0</v>
      </c>
      <c r="G12" s="36">
        <f>(财务基础数据!G51)*目录!$D$6</f>
        <v>0</v>
      </c>
      <c r="H12" s="36">
        <f>(财务基础数据!H51)*目录!$D$6</f>
        <v>0</v>
      </c>
      <c r="I12" s="36">
        <f>(财务基础数据!I51)*目录!$D$6</f>
        <v>0</v>
      </c>
      <c r="J12" s="36">
        <f>(财务基础数据!J51)*目录!$D$6</f>
        <v>0</v>
      </c>
      <c r="K12" s="36">
        <f>(财务基础数据!K51)*目录!$D$6</f>
        <v>0</v>
      </c>
      <c r="L12" s="36">
        <f>(财务基础数据!L51)*目录!$D$6</f>
        <v>0</v>
      </c>
      <c r="M12" s="36">
        <f>(财务基础数据!M51)*目录!$D$6</f>
        <v>0</v>
      </c>
      <c r="N12" s="36">
        <f>(财务基础数据!N51)*目录!$D$6</f>
        <v>0</v>
      </c>
      <c r="O12" s="36">
        <f>(财务基础数据!O51)*目录!$D$6</f>
        <v>0</v>
      </c>
      <c r="P12" s="36">
        <f>(财务基础数据!P51)*目录!$D$6</f>
        <v>0</v>
      </c>
      <c r="Q12" s="36">
        <f>(财务基础数据!Q51)*目录!$D$6</f>
        <v>0</v>
      </c>
      <c r="R12" s="36">
        <f>(财务基础数据!R51)*目录!$D$6</f>
        <v>0</v>
      </c>
      <c r="S12" s="36">
        <f>(财务基础数据!S51)*目录!$D$6</f>
        <v>0</v>
      </c>
      <c r="T12" s="36">
        <f>(财务基础数据!T51)*目录!$D$6</f>
        <v>0</v>
      </c>
      <c r="U12" s="36">
        <f>(财务基础数据!U51)*目录!$D$6</f>
        <v>0</v>
      </c>
      <c r="V12" s="36">
        <f>(财务基础数据!V51)*目录!$D$6</f>
        <v>0</v>
      </c>
      <c r="W12" s="36">
        <f>(财务基础数据!W51)*目录!$D$6</f>
        <v>0</v>
      </c>
      <c r="X12" s="36">
        <f>(财务基础数据!X51)*目录!$D$6</f>
        <v>0</v>
      </c>
      <c r="Y12" s="36">
        <f>(财务基础数据!Y51)*目录!$D$6</f>
        <v>0</v>
      </c>
      <c r="Z12" s="36">
        <f>(财务基础数据!Z51)*目录!$D$6</f>
        <v>0</v>
      </c>
      <c r="AA12" s="36">
        <f>资产预测!J20</f>
        <v>0</v>
      </c>
      <c r="AB12" s="36">
        <f>资产预测!K20</f>
        <v>0</v>
      </c>
      <c r="AC12" s="36">
        <f>资产预测!L20</f>
        <v>0</v>
      </c>
      <c r="AD12" s="36">
        <f>资产预测!M20</f>
        <v>0</v>
      </c>
      <c r="AE12" s="36">
        <f>资产预测!N20</f>
        <v>0</v>
      </c>
      <c r="AF12" s="36">
        <f>资产预测!O20</f>
        <v>0</v>
      </c>
      <c r="AG12" s="36">
        <f>资产预测!P20</f>
        <v>0</v>
      </c>
      <c r="AH12" s="36">
        <f>资产预测!Q20</f>
        <v>0</v>
      </c>
      <c r="AI12" s="36">
        <f>资产预测!R20</f>
        <v>0</v>
      </c>
      <c r="AJ12" s="36">
        <f>资产预测!S20</f>
        <v>0</v>
      </c>
      <c r="AK12" s="146"/>
    </row>
    <row r="13" spans="2:37">
      <c r="B13" s="17" t="s">
        <v>71</v>
      </c>
      <c r="C13" s="195"/>
      <c r="D13" s="36">
        <f t="shared" ref="D13:AJ13" si="1">SUM(D6:D12)</f>
        <v>0</v>
      </c>
      <c r="E13" s="36">
        <f t="shared" si="1"/>
        <v>0</v>
      </c>
      <c r="F13" s="36">
        <f t="shared" si="1"/>
        <v>0</v>
      </c>
      <c r="G13" s="36">
        <f t="shared" si="1"/>
        <v>0</v>
      </c>
      <c r="H13" s="36">
        <f t="shared" si="1"/>
        <v>0</v>
      </c>
      <c r="I13" s="36">
        <f t="shared" si="1"/>
        <v>0</v>
      </c>
      <c r="J13" s="36">
        <f t="shared" si="1"/>
        <v>0</v>
      </c>
      <c r="K13" s="36">
        <f t="shared" si="1"/>
        <v>0</v>
      </c>
      <c r="L13" s="36">
        <f t="shared" si="1"/>
        <v>0</v>
      </c>
      <c r="M13" s="36">
        <f t="shared" si="1"/>
        <v>0</v>
      </c>
      <c r="N13" s="36">
        <f t="shared" si="1"/>
        <v>0</v>
      </c>
      <c r="O13" s="36">
        <f t="shared" si="1"/>
        <v>0</v>
      </c>
      <c r="P13" s="36">
        <f t="shared" si="1"/>
        <v>0</v>
      </c>
      <c r="Q13" s="36">
        <f t="shared" si="1"/>
        <v>0</v>
      </c>
      <c r="R13" s="36">
        <f t="shared" si="1"/>
        <v>0</v>
      </c>
      <c r="S13" s="36">
        <f t="shared" si="1"/>
        <v>0</v>
      </c>
      <c r="T13" s="36">
        <f t="shared" si="1"/>
        <v>0</v>
      </c>
      <c r="U13" s="36">
        <f t="shared" si="1"/>
        <v>0</v>
      </c>
      <c r="V13" s="36">
        <f t="shared" si="1"/>
        <v>0</v>
      </c>
      <c r="W13" s="36">
        <f t="shared" si="1"/>
        <v>0</v>
      </c>
      <c r="X13" s="36">
        <f t="shared" si="1"/>
        <v>0</v>
      </c>
      <c r="Y13" s="36">
        <f t="shared" si="1"/>
        <v>0</v>
      </c>
      <c r="Z13" s="36">
        <f t="shared" si="1"/>
        <v>0</v>
      </c>
      <c r="AA13" s="36">
        <f t="shared" si="1"/>
        <v>0</v>
      </c>
      <c r="AB13" s="36">
        <f t="shared" si="1"/>
        <v>0</v>
      </c>
      <c r="AC13" s="36">
        <f t="shared" si="1"/>
        <v>0</v>
      </c>
      <c r="AD13" s="36">
        <f t="shared" si="1"/>
        <v>0</v>
      </c>
      <c r="AE13" s="36">
        <f t="shared" si="1"/>
        <v>0</v>
      </c>
      <c r="AF13" s="36">
        <f t="shared" si="1"/>
        <v>0</v>
      </c>
      <c r="AG13" s="36">
        <f t="shared" si="1"/>
        <v>0</v>
      </c>
      <c r="AH13" s="36">
        <f t="shared" si="1"/>
        <v>0</v>
      </c>
      <c r="AI13" s="36">
        <f t="shared" si="1"/>
        <v>0</v>
      </c>
      <c r="AJ13" s="36">
        <f t="shared" si="1"/>
        <v>0</v>
      </c>
    </row>
    <row r="14" spans="2:37" ht="15.75">
      <c r="B14" s="194" t="s">
        <v>268</v>
      </c>
      <c r="C14" s="195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</row>
    <row r="15" spans="2:37">
      <c r="B15" s="17" t="s">
        <v>269</v>
      </c>
      <c r="C15" s="195"/>
      <c r="D15" s="36">
        <f>(财务基础数据!D53)*目录!$D$6</f>
        <v>0</v>
      </c>
      <c r="E15" s="36">
        <f>(财务基础数据!E53)*目录!$D$6</f>
        <v>0</v>
      </c>
      <c r="F15" s="36">
        <f>(财务基础数据!F53)*目录!$D$6</f>
        <v>0</v>
      </c>
      <c r="G15" s="36">
        <f>(财务基础数据!G53)*目录!$D$6</f>
        <v>0</v>
      </c>
      <c r="H15" s="36">
        <f>(财务基础数据!H53)*目录!$D$6</f>
        <v>0</v>
      </c>
      <c r="I15" s="36">
        <f>(财务基础数据!I53)*目录!$D$6</f>
        <v>0</v>
      </c>
      <c r="J15" s="36">
        <f>(财务基础数据!J53)*目录!$D$6</f>
        <v>0</v>
      </c>
      <c r="K15" s="36">
        <f>(财务基础数据!K53)*目录!$D$6</f>
        <v>0</v>
      </c>
      <c r="L15" s="36">
        <f>(财务基础数据!L53)*目录!$D$6</f>
        <v>0</v>
      </c>
      <c r="M15" s="36">
        <f>(财务基础数据!M53)*目录!$D$6</f>
        <v>0</v>
      </c>
      <c r="N15" s="36">
        <f>(财务基础数据!N53)*目录!$D$6</f>
        <v>0</v>
      </c>
      <c r="O15" s="36">
        <f>(财务基础数据!O53)*目录!$D$6</f>
        <v>0</v>
      </c>
      <c r="P15" s="36">
        <f>(财务基础数据!P53)*目录!$D$6</f>
        <v>0</v>
      </c>
      <c r="Q15" s="36">
        <f>(财务基础数据!Q53)*目录!$D$6</f>
        <v>0</v>
      </c>
      <c r="R15" s="36">
        <f>(财务基础数据!R53)*目录!$D$6</f>
        <v>0</v>
      </c>
      <c r="S15" s="36">
        <f>(财务基础数据!S53)*目录!$D$6</f>
        <v>0</v>
      </c>
      <c r="T15" s="36">
        <f>(财务基础数据!T53)*目录!$D$6</f>
        <v>0</v>
      </c>
      <c r="U15" s="36">
        <f>(财务基础数据!U53)*目录!$D$6</f>
        <v>0</v>
      </c>
      <c r="V15" s="36">
        <f>(财务基础数据!V53)*目录!$D$6</f>
        <v>0</v>
      </c>
      <c r="W15" s="36">
        <f>(财务基础数据!W53)*目录!$D$6</f>
        <v>0</v>
      </c>
      <c r="X15" s="36">
        <f>(财务基础数据!X53)*目录!$D$6</f>
        <v>0</v>
      </c>
      <c r="Y15" s="36">
        <f>(财务基础数据!Y53)*目录!$D$6</f>
        <v>0</v>
      </c>
      <c r="Z15" s="36">
        <f>(财务基础数据!Z53)*目录!$D$6</f>
        <v>0</v>
      </c>
      <c r="AA15" s="36">
        <f>资产预测!J64</f>
        <v>0</v>
      </c>
      <c r="AB15" s="36">
        <f>资产预测!K64</f>
        <v>0</v>
      </c>
      <c r="AC15" s="36">
        <f>资产预测!L64</f>
        <v>0</v>
      </c>
      <c r="AD15" s="36">
        <f>资产预测!M64</f>
        <v>0</v>
      </c>
      <c r="AE15" s="36">
        <f>资产预测!N64</f>
        <v>0</v>
      </c>
      <c r="AF15" s="36">
        <f>资产预测!O64</f>
        <v>0</v>
      </c>
      <c r="AG15" s="36">
        <f>资产预测!P64</f>
        <v>0</v>
      </c>
      <c r="AH15" s="36">
        <f>资产预测!Q64</f>
        <v>0</v>
      </c>
      <c r="AI15" s="36">
        <f>资产预测!R64</f>
        <v>0</v>
      </c>
      <c r="AJ15" s="36">
        <f>资产预测!S64</f>
        <v>0</v>
      </c>
      <c r="AK15" s="146"/>
    </row>
    <row r="16" spans="2:37">
      <c r="B16" s="17" t="s">
        <v>188</v>
      </c>
      <c r="C16" s="195"/>
      <c r="D16" s="36">
        <f>(财务基础数据!D54)*目录!$D$6</f>
        <v>0</v>
      </c>
      <c r="E16" s="36">
        <f>(财务基础数据!E54)*目录!$D$6</f>
        <v>0</v>
      </c>
      <c r="F16" s="36">
        <f>(财务基础数据!F54)*目录!$D$6</f>
        <v>0</v>
      </c>
      <c r="G16" s="36">
        <f>(财务基础数据!G54)*目录!$D$6</f>
        <v>0</v>
      </c>
      <c r="H16" s="36">
        <f>(财务基础数据!H54)*目录!$D$6</f>
        <v>0</v>
      </c>
      <c r="I16" s="36">
        <f>(财务基础数据!I54)*目录!$D$6</f>
        <v>0</v>
      </c>
      <c r="J16" s="36">
        <f>(财务基础数据!J54)*目录!$D$6</f>
        <v>0</v>
      </c>
      <c r="K16" s="36">
        <f>(财务基础数据!K54)*目录!$D$6</f>
        <v>0</v>
      </c>
      <c r="L16" s="36">
        <f>(财务基础数据!L54)*目录!$D$6</f>
        <v>0</v>
      </c>
      <c r="M16" s="36">
        <f>(财务基础数据!M54)*目录!$D$6</f>
        <v>0</v>
      </c>
      <c r="N16" s="36">
        <f>(财务基础数据!N54)*目录!$D$6</f>
        <v>0</v>
      </c>
      <c r="O16" s="36">
        <f>(财务基础数据!O54)*目录!$D$6</f>
        <v>0</v>
      </c>
      <c r="P16" s="36">
        <f>(财务基础数据!P54)*目录!$D$6</f>
        <v>0</v>
      </c>
      <c r="Q16" s="36">
        <f>(财务基础数据!Q54)*目录!$D$6</f>
        <v>0</v>
      </c>
      <c r="R16" s="36">
        <f>(财务基础数据!R54)*目录!$D$6</f>
        <v>0</v>
      </c>
      <c r="S16" s="36">
        <f>(财务基础数据!S54)*目录!$D$6</f>
        <v>0</v>
      </c>
      <c r="T16" s="36">
        <f>(财务基础数据!T54)*目录!$D$6</f>
        <v>0</v>
      </c>
      <c r="U16" s="36">
        <f>(财务基础数据!U54)*目录!$D$6</f>
        <v>0</v>
      </c>
      <c r="V16" s="36">
        <f>(财务基础数据!V54)*目录!$D$6</f>
        <v>0</v>
      </c>
      <c r="W16" s="36">
        <f>(财务基础数据!W54)*目录!$D$6</f>
        <v>0</v>
      </c>
      <c r="X16" s="36">
        <f>(财务基础数据!X54)*目录!$D$6</f>
        <v>0</v>
      </c>
      <c r="Y16" s="36">
        <f>(财务基础数据!Y54)*目录!$D$6</f>
        <v>0</v>
      </c>
      <c r="Z16" s="36">
        <f>(财务基础数据!Z54)*目录!$D$6</f>
        <v>0</v>
      </c>
      <c r="AA16" s="36">
        <f>资产预测!J51</f>
        <v>0</v>
      </c>
      <c r="AB16" s="36">
        <f>资产预测!K51</f>
        <v>0</v>
      </c>
      <c r="AC16" s="36">
        <f>资产预测!L51</f>
        <v>0</v>
      </c>
      <c r="AD16" s="36">
        <f>资产预测!M51</f>
        <v>0</v>
      </c>
      <c r="AE16" s="36">
        <f>资产预测!N51</f>
        <v>0</v>
      </c>
      <c r="AF16" s="36">
        <f>资产预测!O51</f>
        <v>0</v>
      </c>
      <c r="AG16" s="36">
        <f>资产预测!P51</f>
        <v>0</v>
      </c>
      <c r="AH16" s="36">
        <f>资产预测!Q51</f>
        <v>0</v>
      </c>
      <c r="AI16" s="36">
        <f>资产预测!R51</f>
        <v>0</v>
      </c>
      <c r="AJ16" s="36">
        <f>资产预测!S51</f>
        <v>0</v>
      </c>
      <c r="AK16" s="36"/>
    </row>
    <row r="17" spans="1:37">
      <c r="B17" s="17" t="s">
        <v>189</v>
      </c>
      <c r="C17" s="196"/>
      <c r="D17" s="36">
        <f>(财务基础数据!D55)*目录!$D$6</f>
        <v>0</v>
      </c>
      <c r="E17" s="36">
        <f>(财务基础数据!E55)*目录!$D$6</f>
        <v>0</v>
      </c>
      <c r="F17" s="36">
        <f>(财务基础数据!F55)*目录!$D$6</f>
        <v>0</v>
      </c>
      <c r="G17" s="36">
        <f>(财务基础数据!G55)*目录!$D$6</f>
        <v>0</v>
      </c>
      <c r="H17" s="36">
        <f>(财务基础数据!H55)*目录!$D$6</f>
        <v>0</v>
      </c>
      <c r="I17" s="36">
        <f>(财务基础数据!I55)*目录!$D$6</f>
        <v>0</v>
      </c>
      <c r="J17" s="36">
        <f>(财务基础数据!J55)*目录!$D$6</f>
        <v>0</v>
      </c>
      <c r="K17" s="36">
        <f>(财务基础数据!K55)*目录!$D$6</f>
        <v>0</v>
      </c>
      <c r="L17" s="36">
        <f>(财务基础数据!L55)*目录!$D$6</f>
        <v>0</v>
      </c>
      <c r="M17" s="36">
        <f>(财务基础数据!M55)*目录!$D$6</f>
        <v>0</v>
      </c>
      <c r="N17" s="36">
        <f>(财务基础数据!N55)*目录!$D$6</f>
        <v>0</v>
      </c>
      <c r="O17" s="36">
        <f>(财务基础数据!O55)*目录!$D$6</f>
        <v>0</v>
      </c>
      <c r="P17" s="36">
        <f>(财务基础数据!P55)*目录!$D$6</f>
        <v>0</v>
      </c>
      <c r="Q17" s="36">
        <f>(财务基础数据!Q55)*目录!$D$6</f>
        <v>0</v>
      </c>
      <c r="R17" s="36">
        <f>(财务基础数据!R55)*目录!$D$6</f>
        <v>0</v>
      </c>
      <c r="S17" s="36">
        <f>(财务基础数据!S55)*目录!$D$6</f>
        <v>0</v>
      </c>
      <c r="T17" s="36">
        <f>(财务基础数据!T55)*目录!$D$6</f>
        <v>0</v>
      </c>
      <c r="U17" s="36">
        <f>(财务基础数据!U55)*目录!$D$6</f>
        <v>0</v>
      </c>
      <c r="V17" s="36">
        <f>(财务基础数据!V55)*目录!$D$6</f>
        <v>0</v>
      </c>
      <c r="W17" s="36">
        <f>(财务基础数据!W55)*目录!$D$6</f>
        <v>0</v>
      </c>
      <c r="X17" s="36">
        <f>(财务基础数据!X55)*目录!$D$6</f>
        <v>0</v>
      </c>
      <c r="Y17" s="36">
        <f>(财务基础数据!Y55)*目录!$D$6</f>
        <v>0</v>
      </c>
      <c r="Z17" s="36">
        <f>(财务基础数据!Z55)*目录!$D$6</f>
        <v>0</v>
      </c>
      <c r="AA17" s="36">
        <f>资产预测!J54</f>
        <v>0</v>
      </c>
      <c r="AB17" s="36">
        <f>资产预测!K54</f>
        <v>0</v>
      </c>
      <c r="AC17" s="36">
        <f>资产预测!L54</f>
        <v>0</v>
      </c>
      <c r="AD17" s="36">
        <f>资产预测!M54</f>
        <v>0</v>
      </c>
      <c r="AE17" s="36">
        <f>资产预测!N54</f>
        <v>0</v>
      </c>
      <c r="AF17" s="36">
        <f>资产预测!O54</f>
        <v>0</v>
      </c>
      <c r="AG17" s="36">
        <f>资产预测!P54</f>
        <v>0</v>
      </c>
      <c r="AH17" s="36">
        <f>资产预测!Q54</f>
        <v>0</v>
      </c>
      <c r="AI17" s="36">
        <f>资产预测!R54</f>
        <v>0</v>
      </c>
      <c r="AJ17" s="36">
        <f>资产预测!S54</f>
        <v>0</v>
      </c>
    </row>
    <row r="18" spans="1:37">
      <c r="B18" s="17" t="s">
        <v>190</v>
      </c>
      <c r="C18" s="195"/>
      <c r="D18" s="36">
        <f>(财务基础数据!D56)*目录!$D$6</f>
        <v>0</v>
      </c>
      <c r="E18" s="36">
        <f>(财务基础数据!E56)*目录!$D$6</f>
        <v>0</v>
      </c>
      <c r="F18" s="36">
        <f>(财务基础数据!F56)*目录!$D$6</f>
        <v>0</v>
      </c>
      <c r="G18" s="36">
        <f>(财务基础数据!G56)*目录!$D$6</f>
        <v>0</v>
      </c>
      <c r="H18" s="36">
        <f>(财务基础数据!H56)*目录!$D$6</f>
        <v>0</v>
      </c>
      <c r="I18" s="36">
        <f>(财务基础数据!I56)*目录!$D$6</f>
        <v>0</v>
      </c>
      <c r="J18" s="36">
        <f>(财务基础数据!J56)*目录!$D$6</f>
        <v>0</v>
      </c>
      <c r="K18" s="36">
        <f>(财务基础数据!K56)*目录!$D$6</f>
        <v>0</v>
      </c>
      <c r="L18" s="36">
        <f>(财务基础数据!L56)*目录!$D$6</f>
        <v>0</v>
      </c>
      <c r="M18" s="36">
        <f>(财务基础数据!M56)*目录!$D$6</f>
        <v>0</v>
      </c>
      <c r="N18" s="36">
        <f>(财务基础数据!N56)*目录!$D$6</f>
        <v>0</v>
      </c>
      <c r="O18" s="36">
        <f>(财务基础数据!O56)*目录!$D$6</f>
        <v>0</v>
      </c>
      <c r="P18" s="36">
        <f>(财务基础数据!P56)*目录!$D$6</f>
        <v>0</v>
      </c>
      <c r="Q18" s="36">
        <f>(财务基础数据!Q56)*目录!$D$6</f>
        <v>0</v>
      </c>
      <c r="R18" s="36">
        <f>(财务基础数据!R56)*目录!$D$6</f>
        <v>0</v>
      </c>
      <c r="S18" s="36">
        <f>(财务基础数据!S56)*目录!$D$6</f>
        <v>0</v>
      </c>
      <c r="T18" s="36">
        <f>(财务基础数据!T56)*目录!$D$6</f>
        <v>0</v>
      </c>
      <c r="U18" s="36">
        <f>(财务基础数据!U56)*目录!$D$6</f>
        <v>0</v>
      </c>
      <c r="V18" s="36">
        <f>(财务基础数据!V56)*目录!$D$6</f>
        <v>0</v>
      </c>
      <c r="W18" s="36">
        <f>(财务基础数据!W56)*目录!$D$6</f>
        <v>0</v>
      </c>
      <c r="X18" s="36">
        <f>(财务基础数据!X56)*目录!$D$6</f>
        <v>0</v>
      </c>
      <c r="Y18" s="36">
        <f>(财务基础数据!Y56)*目录!$D$6</f>
        <v>0</v>
      </c>
      <c r="Z18" s="36">
        <f>(财务基础数据!Z56)*目录!$D$6</f>
        <v>0</v>
      </c>
      <c r="AA18" s="36">
        <f>资产预测!J57</f>
        <v>0</v>
      </c>
      <c r="AB18" s="36">
        <f>资产预测!K57</f>
        <v>0</v>
      </c>
      <c r="AC18" s="36">
        <f>资产预测!L57</f>
        <v>0</v>
      </c>
      <c r="AD18" s="36">
        <f>资产预测!M57</f>
        <v>0</v>
      </c>
      <c r="AE18" s="36">
        <f>资产预测!N57</f>
        <v>0</v>
      </c>
      <c r="AF18" s="36">
        <f>资产预测!O57</f>
        <v>0</v>
      </c>
      <c r="AG18" s="36">
        <f>资产预测!P57</f>
        <v>0</v>
      </c>
      <c r="AH18" s="36">
        <f>资产预测!Q57</f>
        <v>0</v>
      </c>
      <c r="AI18" s="36">
        <f>资产预测!R57</f>
        <v>0</v>
      </c>
      <c r="AJ18" s="36">
        <f>资产预测!S57</f>
        <v>0</v>
      </c>
    </row>
    <row r="19" spans="1:37">
      <c r="B19" s="17" t="s">
        <v>101</v>
      </c>
      <c r="C19" s="195"/>
      <c r="D19" s="36">
        <f>(财务基础数据!D57)*目录!$D$6</f>
        <v>0</v>
      </c>
      <c r="E19" s="36">
        <f>(财务基础数据!E57)*目录!$D$6</f>
        <v>0</v>
      </c>
      <c r="F19" s="36">
        <f>(财务基础数据!F57)*目录!$D$6</f>
        <v>0</v>
      </c>
      <c r="G19" s="36">
        <f>(财务基础数据!G57)*目录!$D$6</f>
        <v>0</v>
      </c>
      <c r="H19" s="36">
        <f>(财务基础数据!H57)*目录!$D$6</f>
        <v>0</v>
      </c>
      <c r="I19" s="36">
        <f>(财务基础数据!I57)*目录!$D$6</f>
        <v>0</v>
      </c>
      <c r="J19" s="36">
        <f>(财务基础数据!J57)*目录!$D$6</f>
        <v>0</v>
      </c>
      <c r="K19" s="36">
        <f>(财务基础数据!K57)*目录!$D$6</f>
        <v>0</v>
      </c>
      <c r="L19" s="36">
        <f>(财务基础数据!L57)*目录!$D$6</f>
        <v>0</v>
      </c>
      <c r="M19" s="36">
        <f>(财务基础数据!M57)*目录!$D$6</f>
        <v>0</v>
      </c>
      <c r="N19" s="36">
        <f>(财务基础数据!N57)*目录!$D$6</f>
        <v>0</v>
      </c>
      <c r="O19" s="36">
        <f>(财务基础数据!O57)*目录!$D$6</f>
        <v>0</v>
      </c>
      <c r="P19" s="36">
        <f>(财务基础数据!P57)*目录!$D$6</f>
        <v>0</v>
      </c>
      <c r="Q19" s="36">
        <f>(财务基础数据!Q57)*目录!$D$6</f>
        <v>0</v>
      </c>
      <c r="R19" s="36">
        <f>(财务基础数据!R57)*目录!$D$6</f>
        <v>0</v>
      </c>
      <c r="S19" s="36">
        <f>(财务基础数据!S57)*目录!$D$6</f>
        <v>0</v>
      </c>
      <c r="T19" s="36">
        <f>(财务基础数据!T57)*目录!$D$6</f>
        <v>0</v>
      </c>
      <c r="U19" s="36">
        <f>(财务基础数据!U57)*目录!$D$6</f>
        <v>0</v>
      </c>
      <c r="V19" s="36">
        <f>(财务基础数据!V57)*目录!$D$6</f>
        <v>0</v>
      </c>
      <c r="W19" s="36">
        <f>(财务基础数据!W57)*目录!$D$6</f>
        <v>0</v>
      </c>
      <c r="X19" s="36">
        <f>(财务基础数据!X57)*目录!$D$6</f>
        <v>0</v>
      </c>
      <c r="Y19" s="36">
        <f>(财务基础数据!Y57)*目录!$D$6</f>
        <v>0</v>
      </c>
      <c r="Z19" s="36">
        <f>(财务基础数据!Z57)*目录!$D$6</f>
        <v>0</v>
      </c>
      <c r="AA19" s="36">
        <f>资产预测!J74</f>
        <v>0</v>
      </c>
      <c r="AB19" s="36">
        <f>资产预测!K74</f>
        <v>0</v>
      </c>
      <c r="AC19" s="36">
        <f>资产预测!L74</f>
        <v>0</v>
      </c>
      <c r="AD19" s="36">
        <f>资产预测!M74</f>
        <v>0</v>
      </c>
      <c r="AE19" s="36">
        <f>资产预测!N74</f>
        <v>0</v>
      </c>
      <c r="AF19" s="36">
        <f>资产预测!O74</f>
        <v>0</v>
      </c>
      <c r="AG19" s="36">
        <f>资产预测!P74</f>
        <v>0</v>
      </c>
      <c r="AH19" s="36">
        <f>资产预测!Q74</f>
        <v>0</v>
      </c>
      <c r="AI19" s="36">
        <f>资产预测!R74</f>
        <v>0</v>
      </c>
      <c r="AJ19" s="36">
        <f>资产预测!S74</f>
        <v>0</v>
      </c>
    </row>
    <row r="20" spans="1:37">
      <c r="B20" s="17" t="s">
        <v>98</v>
      </c>
      <c r="C20" s="195"/>
      <c r="D20" s="36">
        <f>(财务基础数据!D58)*目录!$D$6</f>
        <v>0</v>
      </c>
      <c r="E20" s="36">
        <f>(财务基础数据!E58)*目录!$D$6</f>
        <v>0</v>
      </c>
      <c r="F20" s="36">
        <f>(财务基础数据!F58)*目录!$D$6</f>
        <v>0</v>
      </c>
      <c r="G20" s="36">
        <f>(财务基础数据!G58)*目录!$D$6</f>
        <v>0</v>
      </c>
      <c r="H20" s="36">
        <f>(财务基础数据!H58)*目录!$D$6</f>
        <v>0</v>
      </c>
      <c r="I20" s="36">
        <f>(财务基础数据!I58)*目录!$D$6</f>
        <v>0</v>
      </c>
      <c r="J20" s="36">
        <f>(财务基础数据!J58)*目录!$D$6</f>
        <v>0</v>
      </c>
      <c r="K20" s="36">
        <f>(财务基础数据!K58)*目录!$D$6</f>
        <v>0</v>
      </c>
      <c r="L20" s="36">
        <f>(财务基础数据!L58)*目录!$D$6</f>
        <v>0</v>
      </c>
      <c r="M20" s="36">
        <f>(财务基础数据!M58)*目录!$D$6</f>
        <v>0</v>
      </c>
      <c r="N20" s="36">
        <f>(财务基础数据!N58)*目录!$D$6</f>
        <v>0</v>
      </c>
      <c r="O20" s="36">
        <f>(财务基础数据!O58)*目录!$D$6</f>
        <v>0</v>
      </c>
      <c r="P20" s="36">
        <f>(财务基础数据!P58)*目录!$D$6</f>
        <v>0</v>
      </c>
      <c r="Q20" s="36">
        <f>(财务基础数据!Q58)*目录!$D$6</f>
        <v>0</v>
      </c>
      <c r="R20" s="36">
        <f>(财务基础数据!R58)*目录!$D$6</f>
        <v>0</v>
      </c>
      <c r="S20" s="36">
        <f>(财务基础数据!S58)*目录!$D$6</f>
        <v>0</v>
      </c>
      <c r="T20" s="36">
        <f>(财务基础数据!T58)*目录!$D$6</f>
        <v>0</v>
      </c>
      <c r="U20" s="36">
        <f>(财务基础数据!U58)*目录!$D$6</f>
        <v>0</v>
      </c>
      <c r="V20" s="36">
        <f>(财务基础数据!V58)*目录!$D$6</f>
        <v>0</v>
      </c>
      <c r="W20" s="36">
        <f>(财务基础数据!W58)*目录!$D$6</f>
        <v>0</v>
      </c>
      <c r="X20" s="36">
        <f>(财务基础数据!X58)*目录!$D$6</f>
        <v>0</v>
      </c>
      <c r="Y20" s="36">
        <f>(财务基础数据!Y58)*目录!$D$6</f>
        <v>0</v>
      </c>
      <c r="Z20" s="36">
        <f>(财务基础数据!Z58)*目录!$D$6</f>
        <v>0</v>
      </c>
      <c r="AA20" s="36">
        <f>资产预测!J69</f>
        <v>0</v>
      </c>
      <c r="AB20" s="36">
        <f>资产预测!K69</f>
        <v>0</v>
      </c>
      <c r="AC20" s="36">
        <f>资产预测!L69</f>
        <v>0</v>
      </c>
      <c r="AD20" s="36">
        <f>资产预测!M69</f>
        <v>0</v>
      </c>
      <c r="AE20" s="36">
        <f>资产预测!N69</f>
        <v>0</v>
      </c>
      <c r="AF20" s="36">
        <f>资产预测!O69</f>
        <v>0</v>
      </c>
      <c r="AG20" s="36">
        <f>资产预测!P69</f>
        <v>0</v>
      </c>
      <c r="AH20" s="36">
        <f>资产预测!Q69</f>
        <v>0</v>
      </c>
      <c r="AI20" s="36">
        <f>资产预测!R69</f>
        <v>0</v>
      </c>
      <c r="AJ20" s="36">
        <f>资产预测!S69</f>
        <v>0</v>
      </c>
    </row>
    <row r="21" spans="1:37">
      <c r="B21" s="17" t="s">
        <v>199</v>
      </c>
      <c r="C21" s="195"/>
      <c r="D21" s="36">
        <f>(财务基础数据!D60)*目录!$D$6</f>
        <v>0</v>
      </c>
      <c r="E21" s="36">
        <f>(财务基础数据!E60)*目录!$D$6</f>
        <v>0</v>
      </c>
      <c r="F21" s="36">
        <f>(财务基础数据!F60)*目录!$D$6</f>
        <v>0</v>
      </c>
      <c r="G21" s="36">
        <f>(财务基础数据!G60)*目录!$D$6</f>
        <v>0</v>
      </c>
      <c r="H21" s="36">
        <f>(财务基础数据!H60)*目录!$D$6</f>
        <v>0</v>
      </c>
      <c r="I21" s="36">
        <f>(财务基础数据!I60)*目录!$D$6</f>
        <v>0</v>
      </c>
      <c r="J21" s="36">
        <f>(财务基础数据!J60)*目录!$D$6</f>
        <v>0</v>
      </c>
      <c r="K21" s="36">
        <f>(财务基础数据!K60)*目录!$D$6</f>
        <v>0</v>
      </c>
      <c r="L21" s="36">
        <f>(财务基础数据!L60)*目录!$D$6</f>
        <v>0</v>
      </c>
      <c r="M21" s="36">
        <f>(财务基础数据!M60)*目录!$D$6</f>
        <v>0</v>
      </c>
      <c r="N21" s="36">
        <f>(财务基础数据!N60)*目录!$D$6</f>
        <v>0</v>
      </c>
      <c r="O21" s="36">
        <f>(财务基础数据!O60)*目录!$D$6</f>
        <v>0</v>
      </c>
      <c r="P21" s="36">
        <f>(财务基础数据!P60)*目录!$D$6</f>
        <v>0</v>
      </c>
      <c r="Q21" s="36">
        <f>(财务基础数据!Q60)*目录!$D$6</f>
        <v>0</v>
      </c>
      <c r="R21" s="36">
        <f>(财务基础数据!R60)*目录!$D$6</f>
        <v>0</v>
      </c>
      <c r="S21" s="36">
        <f>(财务基础数据!S60)*目录!$D$6</f>
        <v>0</v>
      </c>
      <c r="T21" s="36">
        <f>(财务基础数据!T60)*目录!$D$6</f>
        <v>0</v>
      </c>
      <c r="U21" s="36">
        <f>(财务基础数据!U60)*目录!$D$6</f>
        <v>0</v>
      </c>
      <c r="V21" s="36">
        <f>(财务基础数据!V60)*目录!$D$6</f>
        <v>0</v>
      </c>
      <c r="W21" s="36">
        <f>(财务基础数据!W60)*目录!$D$6</f>
        <v>0</v>
      </c>
      <c r="X21" s="36">
        <f>(财务基础数据!X60)*目录!$D$6</f>
        <v>0</v>
      </c>
      <c r="Y21" s="36">
        <f>(财务基础数据!Y60)*目录!$D$6</f>
        <v>0</v>
      </c>
      <c r="Z21" s="36">
        <f>(财务基础数据!Z60)*目录!$D$6</f>
        <v>0</v>
      </c>
      <c r="AA21" s="36">
        <f>资产预测!J77</f>
        <v>0</v>
      </c>
      <c r="AB21" s="36">
        <f>资产预测!K77</f>
        <v>0</v>
      </c>
      <c r="AC21" s="36">
        <f>资产预测!L77</f>
        <v>0</v>
      </c>
      <c r="AD21" s="36">
        <f>资产预测!M77</f>
        <v>0</v>
      </c>
      <c r="AE21" s="36">
        <f>资产预测!N77</f>
        <v>0</v>
      </c>
      <c r="AF21" s="36">
        <f>资产预测!O77</f>
        <v>0</v>
      </c>
      <c r="AG21" s="36">
        <f>资产预测!P77</f>
        <v>0</v>
      </c>
      <c r="AH21" s="36">
        <f>资产预测!Q77</f>
        <v>0</v>
      </c>
      <c r="AI21" s="36">
        <f>资产预测!R77</f>
        <v>0</v>
      </c>
      <c r="AJ21" s="36">
        <f>资产预测!S77</f>
        <v>0</v>
      </c>
    </row>
    <row r="22" spans="1:37">
      <c r="B22" s="17" t="s">
        <v>102</v>
      </c>
      <c r="C22" s="197"/>
      <c r="D22" s="36">
        <f>(财务基础数据!D61)*目录!$D$6</f>
        <v>0</v>
      </c>
      <c r="E22" s="36">
        <f>(财务基础数据!E61)*目录!$D$6</f>
        <v>0</v>
      </c>
      <c r="F22" s="36">
        <f>(财务基础数据!F61)*目录!$D$6</f>
        <v>0</v>
      </c>
      <c r="G22" s="36">
        <f>(财务基础数据!G61)*目录!$D$6</f>
        <v>0</v>
      </c>
      <c r="H22" s="36">
        <f>(财务基础数据!H61)*目录!$D$6</f>
        <v>0</v>
      </c>
      <c r="I22" s="36">
        <f>(财务基础数据!I61)*目录!$D$6</f>
        <v>0</v>
      </c>
      <c r="J22" s="36">
        <f>(财务基础数据!J61)*目录!$D$6</f>
        <v>0</v>
      </c>
      <c r="K22" s="36">
        <f>(财务基础数据!K61)*目录!$D$6</f>
        <v>0</v>
      </c>
      <c r="L22" s="36">
        <f>(财务基础数据!L61)*目录!$D$6</f>
        <v>0</v>
      </c>
      <c r="M22" s="36">
        <f>(财务基础数据!M61)*目录!$D$6</f>
        <v>0</v>
      </c>
      <c r="N22" s="36">
        <f>(财务基础数据!N61)*目录!$D$6</f>
        <v>0</v>
      </c>
      <c r="O22" s="36">
        <f>(财务基础数据!O61)*目录!$D$6</f>
        <v>0</v>
      </c>
      <c r="P22" s="36">
        <f>(财务基础数据!P61)*目录!$D$6</f>
        <v>0</v>
      </c>
      <c r="Q22" s="36">
        <f>(财务基础数据!Q61)*目录!$D$6</f>
        <v>0</v>
      </c>
      <c r="R22" s="36">
        <f>(财务基础数据!R61)*目录!$D$6</f>
        <v>0</v>
      </c>
      <c r="S22" s="36">
        <f>(财务基础数据!S61)*目录!$D$6</f>
        <v>0</v>
      </c>
      <c r="T22" s="36">
        <f>(财务基础数据!T61)*目录!$D$6</f>
        <v>0</v>
      </c>
      <c r="U22" s="36">
        <f>(财务基础数据!U61)*目录!$D$6</f>
        <v>0</v>
      </c>
      <c r="V22" s="36">
        <f>(财务基础数据!V61)*目录!$D$6</f>
        <v>0</v>
      </c>
      <c r="W22" s="36">
        <f>(财务基础数据!W61)*目录!$D$6</f>
        <v>0</v>
      </c>
      <c r="X22" s="36">
        <f>(财务基础数据!X61)*目录!$D$6</f>
        <v>0</v>
      </c>
      <c r="Y22" s="36">
        <f>(财务基础数据!Y61)*目录!$D$6</f>
        <v>0</v>
      </c>
      <c r="Z22" s="36">
        <f>(财务基础数据!Z61)*目录!$D$6</f>
        <v>0</v>
      </c>
      <c r="AA22" s="211">
        <f>IF(财务基础数据!W$2=0,W22,IF(财务基础数据!W$2=1,X22,IF(财务基础数据!W$2=2,Y22,Z22)))</f>
        <v>0</v>
      </c>
      <c r="AB22" s="211">
        <f t="shared" ref="AB22:AJ22" si="2">AA22</f>
        <v>0</v>
      </c>
      <c r="AC22" s="211">
        <f t="shared" si="2"/>
        <v>0</v>
      </c>
      <c r="AD22" s="211">
        <f t="shared" si="2"/>
        <v>0</v>
      </c>
      <c r="AE22" s="211">
        <f t="shared" si="2"/>
        <v>0</v>
      </c>
      <c r="AF22" s="211">
        <f t="shared" si="2"/>
        <v>0</v>
      </c>
      <c r="AG22" s="211">
        <f t="shared" si="2"/>
        <v>0</v>
      </c>
      <c r="AH22" s="211">
        <f t="shared" si="2"/>
        <v>0</v>
      </c>
      <c r="AI22" s="211">
        <f t="shared" si="2"/>
        <v>0</v>
      </c>
      <c r="AJ22" s="211">
        <f t="shared" si="2"/>
        <v>0</v>
      </c>
    </row>
    <row r="23" spans="1:37">
      <c r="B23" s="198" t="s">
        <v>75</v>
      </c>
      <c r="C23" s="195"/>
      <c r="D23" s="36">
        <f t="shared" ref="D23:AJ23" si="3">SUM(D15:D22)</f>
        <v>0</v>
      </c>
      <c r="E23" s="36">
        <f t="shared" si="3"/>
        <v>0</v>
      </c>
      <c r="F23" s="36">
        <f t="shared" si="3"/>
        <v>0</v>
      </c>
      <c r="G23" s="36">
        <f t="shared" si="3"/>
        <v>0</v>
      </c>
      <c r="H23" s="36">
        <f t="shared" si="3"/>
        <v>0</v>
      </c>
      <c r="I23" s="36">
        <f t="shared" si="3"/>
        <v>0</v>
      </c>
      <c r="J23" s="36">
        <f t="shared" si="3"/>
        <v>0</v>
      </c>
      <c r="K23" s="36">
        <f t="shared" si="3"/>
        <v>0</v>
      </c>
      <c r="L23" s="36">
        <f t="shared" si="3"/>
        <v>0</v>
      </c>
      <c r="M23" s="36">
        <f t="shared" si="3"/>
        <v>0</v>
      </c>
      <c r="N23" s="36">
        <f t="shared" si="3"/>
        <v>0</v>
      </c>
      <c r="O23" s="36">
        <f t="shared" si="3"/>
        <v>0</v>
      </c>
      <c r="P23" s="36">
        <f t="shared" si="3"/>
        <v>0</v>
      </c>
      <c r="Q23" s="36">
        <f t="shared" si="3"/>
        <v>0</v>
      </c>
      <c r="R23" s="36">
        <f t="shared" si="3"/>
        <v>0</v>
      </c>
      <c r="S23" s="36">
        <f t="shared" si="3"/>
        <v>0</v>
      </c>
      <c r="T23" s="36">
        <f t="shared" si="3"/>
        <v>0</v>
      </c>
      <c r="U23" s="36">
        <f t="shared" si="3"/>
        <v>0</v>
      </c>
      <c r="V23" s="36">
        <f t="shared" si="3"/>
        <v>0</v>
      </c>
      <c r="W23" s="36">
        <f t="shared" si="3"/>
        <v>0</v>
      </c>
      <c r="X23" s="36">
        <f t="shared" si="3"/>
        <v>0</v>
      </c>
      <c r="Y23" s="36">
        <f t="shared" si="3"/>
        <v>0</v>
      </c>
      <c r="Z23" s="36">
        <f t="shared" si="3"/>
        <v>0</v>
      </c>
      <c r="AA23" s="36">
        <f t="shared" si="3"/>
        <v>0</v>
      </c>
      <c r="AB23" s="36">
        <f t="shared" si="3"/>
        <v>0</v>
      </c>
      <c r="AC23" s="36">
        <f t="shared" si="3"/>
        <v>0</v>
      </c>
      <c r="AD23" s="36">
        <f t="shared" si="3"/>
        <v>0</v>
      </c>
      <c r="AE23" s="36">
        <f t="shared" si="3"/>
        <v>0</v>
      </c>
      <c r="AF23" s="36">
        <f t="shared" si="3"/>
        <v>0</v>
      </c>
      <c r="AG23" s="36">
        <f t="shared" si="3"/>
        <v>0</v>
      </c>
      <c r="AH23" s="36">
        <f t="shared" si="3"/>
        <v>0</v>
      </c>
      <c r="AI23" s="36">
        <f t="shared" si="3"/>
        <v>0</v>
      </c>
      <c r="AJ23" s="36">
        <f t="shared" si="3"/>
        <v>0</v>
      </c>
    </row>
    <row r="24" spans="1:37" ht="15.75">
      <c r="B24" s="199" t="s">
        <v>270</v>
      </c>
      <c r="C24" s="200"/>
      <c r="D24" s="43">
        <f t="shared" ref="D24:Z24" si="4">D13+D23</f>
        <v>0</v>
      </c>
      <c r="E24" s="43">
        <f t="shared" si="4"/>
        <v>0</v>
      </c>
      <c r="F24" s="43">
        <f t="shared" si="4"/>
        <v>0</v>
      </c>
      <c r="G24" s="43">
        <f t="shared" si="4"/>
        <v>0</v>
      </c>
      <c r="H24" s="43">
        <f t="shared" si="4"/>
        <v>0</v>
      </c>
      <c r="I24" s="43">
        <f t="shared" si="4"/>
        <v>0</v>
      </c>
      <c r="J24" s="43">
        <f t="shared" si="4"/>
        <v>0</v>
      </c>
      <c r="K24" s="43">
        <f t="shared" si="4"/>
        <v>0</v>
      </c>
      <c r="L24" s="43">
        <f t="shared" si="4"/>
        <v>0</v>
      </c>
      <c r="M24" s="43">
        <f t="shared" si="4"/>
        <v>0</v>
      </c>
      <c r="N24" s="43">
        <f t="shared" si="4"/>
        <v>0</v>
      </c>
      <c r="O24" s="43">
        <f t="shared" si="4"/>
        <v>0</v>
      </c>
      <c r="P24" s="43">
        <f t="shared" si="4"/>
        <v>0</v>
      </c>
      <c r="Q24" s="43">
        <f t="shared" si="4"/>
        <v>0</v>
      </c>
      <c r="R24" s="43">
        <f t="shared" si="4"/>
        <v>0</v>
      </c>
      <c r="S24" s="43">
        <f t="shared" si="4"/>
        <v>0</v>
      </c>
      <c r="T24" s="43">
        <f t="shared" si="4"/>
        <v>0</v>
      </c>
      <c r="U24" s="43">
        <f t="shared" si="4"/>
        <v>0</v>
      </c>
      <c r="V24" s="43">
        <f t="shared" si="4"/>
        <v>0</v>
      </c>
      <c r="W24" s="43">
        <f t="shared" si="4"/>
        <v>0</v>
      </c>
      <c r="X24" s="43">
        <f t="shared" si="4"/>
        <v>0</v>
      </c>
      <c r="Y24" s="43">
        <f t="shared" si="4"/>
        <v>0</v>
      </c>
      <c r="Z24" s="43">
        <f t="shared" si="4"/>
        <v>0</v>
      </c>
      <c r="AA24" s="43">
        <f t="shared" ref="AA24:AJ24" si="5">IF(ISERROR(AA23+AA13),"0",AA23+AA13)</f>
        <v>0</v>
      </c>
      <c r="AB24" s="43">
        <f t="shared" si="5"/>
        <v>0</v>
      </c>
      <c r="AC24" s="43">
        <f t="shared" si="5"/>
        <v>0</v>
      </c>
      <c r="AD24" s="43">
        <f t="shared" si="5"/>
        <v>0</v>
      </c>
      <c r="AE24" s="43">
        <f t="shared" si="5"/>
        <v>0</v>
      </c>
      <c r="AF24" s="43">
        <f t="shared" si="5"/>
        <v>0</v>
      </c>
      <c r="AG24" s="43">
        <f t="shared" si="5"/>
        <v>0</v>
      </c>
      <c r="AH24" s="43">
        <f t="shared" si="5"/>
        <v>0</v>
      </c>
      <c r="AI24" s="43">
        <f t="shared" si="5"/>
        <v>0</v>
      </c>
      <c r="AJ24" s="43">
        <f t="shared" si="5"/>
        <v>0</v>
      </c>
    </row>
    <row r="25" spans="1:37" s="190" customFormat="1">
      <c r="A25" s="132"/>
      <c r="B25" s="201" t="s">
        <v>271</v>
      </c>
      <c r="C25" s="202"/>
      <c r="D25" s="203">
        <f>财务基础数据!D63*目录!$D$6-D24</f>
        <v>0</v>
      </c>
      <c r="E25" s="203">
        <f>财务基础数据!E63*目录!$D$6-E24</f>
        <v>0</v>
      </c>
      <c r="F25" s="203">
        <f>财务基础数据!F63*目录!$D$6-F24</f>
        <v>0</v>
      </c>
      <c r="G25" s="203">
        <f>财务基础数据!G63*目录!$D$6-G24</f>
        <v>0</v>
      </c>
      <c r="H25" s="203">
        <f>财务基础数据!H63*目录!$D$6-H24</f>
        <v>0</v>
      </c>
      <c r="I25" s="203">
        <f>财务基础数据!I63*目录!$D$6-I24</f>
        <v>0</v>
      </c>
      <c r="J25" s="203">
        <f>财务基础数据!J63*目录!$D$6-J24</f>
        <v>0</v>
      </c>
      <c r="K25" s="203">
        <f>财务基础数据!K63*目录!$D$6-K24</f>
        <v>0</v>
      </c>
      <c r="L25" s="203">
        <f>财务基础数据!L63*目录!$D$6-L24</f>
        <v>0</v>
      </c>
      <c r="M25" s="203">
        <f>财务基础数据!M63*目录!$D$6-M24</f>
        <v>0</v>
      </c>
      <c r="N25" s="203">
        <f>财务基础数据!N63*目录!$D$6-N24</f>
        <v>0</v>
      </c>
      <c r="O25" s="203">
        <f>财务基础数据!O63*目录!$D$6-O24</f>
        <v>0</v>
      </c>
      <c r="P25" s="203">
        <f>财务基础数据!P63*目录!$D$6-P24</f>
        <v>0</v>
      </c>
      <c r="Q25" s="203">
        <f>财务基础数据!Q63*目录!$D$6-Q24</f>
        <v>0</v>
      </c>
      <c r="R25" s="203">
        <f>财务基础数据!R63*目录!$D$6-R24</f>
        <v>0</v>
      </c>
      <c r="S25" s="203">
        <f>财务基础数据!S63*目录!$D$6-S24</f>
        <v>0</v>
      </c>
      <c r="T25" s="203">
        <f>财务基础数据!T63*目录!$D$6-T24</f>
        <v>0</v>
      </c>
      <c r="U25" s="203">
        <f>财务基础数据!U63*目录!$D$6-U24</f>
        <v>0</v>
      </c>
      <c r="V25" s="203">
        <f>财务基础数据!V63*目录!$D$6-V24</f>
        <v>0</v>
      </c>
      <c r="W25" s="203">
        <f>财务基础数据!W63*目录!$D$6-W24</f>
        <v>0</v>
      </c>
      <c r="X25" s="203">
        <f>财务基础数据!X63*目录!$D$6-X24</f>
        <v>0</v>
      </c>
      <c r="Y25" s="203">
        <f>财务基础数据!Y63*目录!$D$6-Y24</f>
        <v>0</v>
      </c>
      <c r="Z25" s="203">
        <f>财务基础数据!Z63*目录!$D$6-Z24</f>
        <v>0</v>
      </c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13"/>
    </row>
    <row r="26" spans="1:37" ht="15.75">
      <c r="B26" s="194"/>
      <c r="C26" s="195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</row>
    <row r="27" spans="1:37" ht="15.75">
      <c r="B27" s="194" t="s">
        <v>272</v>
      </c>
      <c r="C27" s="195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 spans="1:37">
      <c r="B28" s="17" t="s">
        <v>103</v>
      </c>
      <c r="C28" s="195"/>
      <c r="D28" s="36">
        <f>(财务基础数据!D64)*目录!$D$6</f>
        <v>0</v>
      </c>
      <c r="E28" s="36">
        <f>(财务基础数据!E64)*目录!$D$6</f>
        <v>0</v>
      </c>
      <c r="F28" s="36">
        <f>(财务基础数据!F64)*目录!$D$6</f>
        <v>0</v>
      </c>
      <c r="G28" s="36">
        <f>(财务基础数据!G64)*目录!$D$6</f>
        <v>0</v>
      </c>
      <c r="H28" s="36">
        <f>(财务基础数据!H64)*目录!$D$6</f>
        <v>0</v>
      </c>
      <c r="I28" s="36">
        <f>(财务基础数据!I64)*目录!$D$6</f>
        <v>0</v>
      </c>
      <c r="J28" s="36">
        <f>(财务基础数据!J64)*目录!$D$6</f>
        <v>0</v>
      </c>
      <c r="K28" s="36">
        <f>(财务基础数据!K64)*目录!$D$6</f>
        <v>0</v>
      </c>
      <c r="L28" s="36">
        <f>(财务基础数据!L64)*目录!$D$6</f>
        <v>0</v>
      </c>
      <c r="M28" s="36">
        <f>(财务基础数据!M64)*目录!$D$6</f>
        <v>0</v>
      </c>
      <c r="N28" s="36">
        <f>(财务基础数据!N64)*目录!$D$6</f>
        <v>0</v>
      </c>
      <c r="O28" s="36">
        <f>(财务基础数据!O64)*目录!$D$6</f>
        <v>0</v>
      </c>
      <c r="P28" s="36">
        <f>(财务基础数据!P64)*目录!$D$6</f>
        <v>0</v>
      </c>
      <c r="Q28" s="36">
        <f>(财务基础数据!Q64)*目录!$D$6</f>
        <v>0</v>
      </c>
      <c r="R28" s="36">
        <f>(财务基础数据!R64)*目录!$D$6</f>
        <v>0</v>
      </c>
      <c r="S28" s="36">
        <f>(财务基础数据!S64)*目录!$D$6</f>
        <v>0</v>
      </c>
      <c r="T28" s="36">
        <f>(财务基础数据!T64)*目录!$D$6</f>
        <v>0</v>
      </c>
      <c r="U28" s="36">
        <f>(财务基础数据!U64)*目录!$D$6</f>
        <v>0</v>
      </c>
      <c r="V28" s="36">
        <f>(财务基础数据!V64)*目录!$D$6</f>
        <v>0</v>
      </c>
      <c r="W28" s="36">
        <f>(财务基础数据!W64)*目录!$D$6</f>
        <v>0</v>
      </c>
      <c r="X28" s="36">
        <f>(财务基础数据!X64)*目录!$D$6</f>
        <v>0</v>
      </c>
      <c r="Y28" s="36">
        <f>(财务基础数据!Y64)*目录!$D$6</f>
        <v>0</v>
      </c>
      <c r="Z28" s="36">
        <f>(财务基础数据!Z64)*目录!$D$6</f>
        <v>0</v>
      </c>
      <c r="AA28" s="36">
        <f>资产预测!J24</f>
        <v>0</v>
      </c>
      <c r="AB28" s="36">
        <f>资产预测!K24</f>
        <v>0</v>
      </c>
      <c r="AC28" s="36">
        <f>资产预测!L24</f>
        <v>0</v>
      </c>
      <c r="AD28" s="36">
        <f>资产预测!M24</f>
        <v>0</v>
      </c>
      <c r="AE28" s="36">
        <f>资产预测!N24</f>
        <v>0</v>
      </c>
      <c r="AF28" s="36">
        <f>资产预测!O24</f>
        <v>0</v>
      </c>
      <c r="AG28" s="36">
        <f>资产预测!P24</f>
        <v>0</v>
      </c>
      <c r="AH28" s="36">
        <f>资产预测!Q24</f>
        <v>0</v>
      </c>
      <c r="AI28" s="36">
        <f>资产预测!R24</f>
        <v>0</v>
      </c>
      <c r="AJ28" s="36">
        <f>资产预测!S24</f>
        <v>0</v>
      </c>
    </row>
    <row r="29" spans="1:37">
      <c r="B29" s="198" t="s">
        <v>180</v>
      </c>
      <c r="C29" s="195"/>
      <c r="D29" s="36">
        <f>(财务基础数据!D65)*目录!$D$6</f>
        <v>0</v>
      </c>
      <c r="E29" s="36">
        <f>(财务基础数据!E65)*目录!$D$6</f>
        <v>0</v>
      </c>
      <c r="F29" s="36">
        <f>(财务基础数据!F65)*目录!$D$6</f>
        <v>0</v>
      </c>
      <c r="G29" s="36">
        <f>(财务基础数据!G65)*目录!$D$6</f>
        <v>0</v>
      </c>
      <c r="H29" s="36">
        <f>(财务基础数据!H65)*目录!$D$6</f>
        <v>0</v>
      </c>
      <c r="I29" s="36">
        <f>(财务基础数据!I65)*目录!$D$6</f>
        <v>0</v>
      </c>
      <c r="J29" s="36">
        <f>(财务基础数据!J65)*目录!$D$6</f>
        <v>0</v>
      </c>
      <c r="K29" s="36">
        <f>(财务基础数据!K65)*目录!$D$6</f>
        <v>0</v>
      </c>
      <c r="L29" s="36">
        <f>(财务基础数据!L65)*目录!$D$6</f>
        <v>0</v>
      </c>
      <c r="M29" s="36">
        <f>(财务基础数据!M65)*目录!$D$6</f>
        <v>0</v>
      </c>
      <c r="N29" s="36">
        <f>(财务基础数据!N65)*目录!$D$6</f>
        <v>0</v>
      </c>
      <c r="O29" s="36">
        <f>(财务基础数据!O65)*目录!$D$6</f>
        <v>0</v>
      </c>
      <c r="P29" s="36">
        <f>(财务基础数据!P65)*目录!$D$6</f>
        <v>0</v>
      </c>
      <c r="Q29" s="36">
        <f>(财务基础数据!Q65)*目录!$D$6</f>
        <v>0</v>
      </c>
      <c r="R29" s="36">
        <f>(财务基础数据!R65)*目录!$D$6</f>
        <v>0</v>
      </c>
      <c r="S29" s="36">
        <f>(财务基础数据!S65)*目录!$D$6</f>
        <v>0</v>
      </c>
      <c r="T29" s="36">
        <f>(财务基础数据!T65)*目录!$D$6</f>
        <v>0</v>
      </c>
      <c r="U29" s="36">
        <f>(财务基础数据!U65)*目录!$D$6</f>
        <v>0</v>
      </c>
      <c r="V29" s="36">
        <f>(财务基础数据!V65)*目录!$D$6</f>
        <v>0</v>
      </c>
      <c r="W29" s="36">
        <f>(财务基础数据!W65)*目录!$D$6</f>
        <v>0</v>
      </c>
      <c r="X29" s="36">
        <f>(财务基础数据!X65)*目录!$D$6</f>
        <v>0</v>
      </c>
      <c r="Y29" s="36">
        <f>(财务基础数据!Y65)*目录!$D$6</f>
        <v>0</v>
      </c>
      <c r="Z29" s="36">
        <f>(财务基础数据!Z65)*目录!$D$6</f>
        <v>0</v>
      </c>
      <c r="AA29" s="36">
        <f>资产预测!J31</f>
        <v>0</v>
      </c>
      <c r="AB29" s="36">
        <f>资产预测!K31</f>
        <v>0</v>
      </c>
      <c r="AC29" s="36">
        <f>资产预测!L31</f>
        <v>0</v>
      </c>
      <c r="AD29" s="36">
        <f>资产预测!M31</f>
        <v>0</v>
      </c>
      <c r="AE29" s="36">
        <f>资产预测!N31</f>
        <v>0</v>
      </c>
      <c r="AF29" s="36">
        <f>资产预测!O31</f>
        <v>0</v>
      </c>
      <c r="AG29" s="36">
        <f>资产预测!P31</f>
        <v>0</v>
      </c>
      <c r="AH29" s="36">
        <f>资产预测!Q31</f>
        <v>0</v>
      </c>
      <c r="AI29" s="36">
        <f>资产预测!R31</f>
        <v>0</v>
      </c>
      <c r="AJ29" s="36">
        <f>资产预测!S31</f>
        <v>0</v>
      </c>
    </row>
    <row r="30" spans="1:37">
      <c r="B30" s="17" t="s">
        <v>186</v>
      </c>
      <c r="C30" s="195"/>
      <c r="D30" s="36">
        <f>(财务基础数据!D66)*目录!$D$6</f>
        <v>0</v>
      </c>
      <c r="E30" s="36">
        <f>(财务基础数据!E66)*目录!$D$6</f>
        <v>0</v>
      </c>
      <c r="F30" s="36">
        <f>(财务基础数据!F66)*目录!$D$6</f>
        <v>0</v>
      </c>
      <c r="G30" s="36">
        <f>(财务基础数据!G66)*目录!$D$6</f>
        <v>0</v>
      </c>
      <c r="H30" s="36">
        <f>(财务基础数据!H66)*目录!$D$6</f>
        <v>0</v>
      </c>
      <c r="I30" s="36">
        <f>(财务基础数据!I66)*目录!$D$6</f>
        <v>0</v>
      </c>
      <c r="J30" s="36">
        <f>(财务基础数据!J66)*目录!$D$6</f>
        <v>0</v>
      </c>
      <c r="K30" s="36">
        <f>(财务基础数据!K66)*目录!$D$6</f>
        <v>0</v>
      </c>
      <c r="L30" s="36">
        <f>(财务基础数据!L66)*目录!$D$6</f>
        <v>0</v>
      </c>
      <c r="M30" s="36">
        <f>(财务基础数据!M66)*目录!$D$6</f>
        <v>0</v>
      </c>
      <c r="N30" s="36">
        <f>(财务基础数据!N66)*目录!$D$6</f>
        <v>0</v>
      </c>
      <c r="O30" s="36">
        <f>(财务基础数据!O66)*目录!$D$6</f>
        <v>0</v>
      </c>
      <c r="P30" s="36">
        <f>(财务基础数据!P66)*目录!$D$6</f>
        <v>0</v>
      </c>
      <c r="Q30" s="36">
        <f>(财务基础数据!Q66)*目录!$D$6</f>
        <v>0</v>
      </c>
      <c r="R30" s="36">
        <f>(财务基础数据!R66)*目录!$D$6</f>
        <v>0</v>
      </c>
      <c r="S30" s="36">
        <f>(财务基础数据!S66)*目录!$D$6</f>
        <v>0</v>
      </c>
      <c r="T30" s="36">
        <f>(财务基础数据!T66)*目录!$D$6</f>
        <v>0</v>
      </c>
      <c r="U30" s="36">
        <f>(财务基础数据!U66)*目录!$D$6</f>
        <v>0</v>
      </c>
      <c r="V30" s="36">
        <f>(财务基础数据!V66)*目录!$D$6</f>
        <v>0</v>
      </c>
      <c r="W30" s="36">
        <f>(财务基础数据!W66)*目录!$D$6</f>
        <v>0</v>
      </c>
      <c r="X30" s="36">
        <f>(财务基础数据!X66)*目录!$D$6</f>
        <v>0</v>
      </c>
      <c r="Y30" s="36">
        <f>(财务基础数据!Y66)*目录!$D$6</f>
        <v>0</v>
      </c>
      <c r="Z30" s="36">
        <f>(财务基础数据!Z66)*目录!$D$6</f>
        <v>0</v>
      </c>
      <c r="AA30" s="36">
        <f>资产预测!J46</f>
        <v>0</v>
      </c>
      <c r="AB30" s="36">
        <f>资产预测!K46</f>
        <v>0</v>
      </c>
      <c r="AC30" s="36">
        <f>资产预测!L46</f>
        <v>0</v>
      </c>
      <c r="AD30" s="36">
        <f>资产预测!M46</f>
        <v>0</v>
      </c>
      <c r="AE30" s="36">
        <f>资产预测!N46</f>
        <v>0</v>
      </c>
      <c r="AF30" s="36">
        <f>资产预测!O46</f>
        <v>0</v>
      </c>
      <c r="AG30" s="36">
        <f>资产预测!P46</f>
        <v>0</v>
      </c>
      <c r="AH30" s="36">
        <f>资产预测!Q46</f>
        <v>0</v>
      </c>
      <c r="AI30" s="36">
        <f>资产预测!R46</f>
        <v>0</v>
      </c>
      <c r="AJ30" s="36">
        <f>资产预测!S46</f>
        <v>0</v>
      </c>
    </row>
    <row r="31" spans="1:37">
      <c r="B31" s="17" t="s">
        <v>77</v>
      </c>
      <c r="C31" s="195"/>
      <c r="D31" s="36">
        <f>(财务基础数据!D67)*目录!$D$6</f>
        <v>0</v>
      </c>
      <c r="E31" s="36">
        <f>(财务基础数据!E67)*目录!$D$6</f>
        <v>0</v>
      </c>
      <c r="F31" s="36">
        <f>(财务基础数据!F67)*目录!$D$6</f>
        <v>0</v>
      </c>
      <c r="G31" s="36">
        <f>(财务基础数据!G67)*目录!$D$6</f>
        <v>0</v>
      </c>
      <c r="H31" s="36">
        <f>(财务基础数据!H67)*目录!$D$6</f>
        <v>0</v>
      </c>
      <c r="I31" s="36">
        <f>(财务基础数据!I67)*目录!$D$6</f>
        <v>0</v>
      </c>
      <c r="J31" s="36">
        <f>(财务基础数据!J67)*目录!$D$6</f>
        <v>0</v>
      </c>
      <c r="K31" s="36">
        <f>(财务基础数据!K67)*目录!$D$6</f>
        <v>0</v>
      </c>
      <c r="L31" s="36">
        <f>(财务基础数据!L67)*目录!$D$6</f>
        <v>0</v>
      </c>
      <c r="M31" s="36">
        <f>(财务基础数据!M67)*目录!$D$6</f>
        <v>0</v>
      </c>
      <c r="N31" s="36">
        <f>(财务基础数据!N67)*目录!$D$6</f>
        <v>0</v>
      </c>
      <c r="O31" s="36">
        <f>(财务基础数据!O67)*目录!$D$6</f>
        <v>0</v>
      </c>
      <c r="P31" s="36">
        <f>(财务基础数据!P67)*目录!$D$6</f>
        <v>0</v>
      </c>
      <c r="Q31" s="36">
        <f>(财务基础数据!Q67)*目录!$D$6</f>
        <v>0</v>
      </c>
      <c r="R31" s="36">
        <f>(财务基础数据!R67)*目录!$D$6</f>
        <v>0</v>
      </c>
      <c r="S31" s="36">
        <f>(财务基础数据!S67)*目录!$D$6</f>
        <v>0</v>
      </c>
      <c r="T31" s="36">
        <f>(财务基础数据!T67)*目录!$D$6</f>
        <v>0</v>
      </c>
      <c r="U31" s="36">
        <f>(财务基础数据!U67)*目录!$D$6</f>
        <v>0</v>
      </c>
      <c r="V31" s="36">
        <f>(财务基础数据!V67)*目录!$D$6</f>
        <v>0</v>
      </c>
      <c r="W31" s="36">
        <f>(财务基础数据!W67)*目录!$D$6</f>
        <v>0</v>
      </c>
      <c r="X31" s="36">
        <f>(财务基础数据!X67)*目录!$D$6</f>
        <v>0</v>
      </c>
      <c r="Y31" s="36">
        <f>(财务基础数据!Y67)*目录!$D$6</f>
        <v>0</v>
      </c>
      <c r="Z31" s="36">
        <f>(财务基础数据!Z67)*目录!$D$6</f>
        <v>0</v>
      </c>
      <c r="AA31" s="36">
        <f>资产预测!J124</f>
        <v>0</v>
      </c>
      <c r="AB31" s="36">
        <f>资产预测!K124</f>
        <v>0</v>
      </c>
      <c r="AC31" s="36">
        <f>资产预测!L124</f>
        <v>0</v>
      </c>
      <c r="AD31" s="36">
        <f>资产预测!M124</f>
        <v>0</v>
      </c>
      <c r="AE31" s="36">
        <f>资产预测!N124</f>
        <v>0</v>
      </c>
      <c r="AF31" s="36">
        <f>资产预测!O124</f>
        <v>0</v>
      </c>
      <c r="AG31" s="36">
        <f>资产预测!P124</f>
        <v>0</v>
      </c>
      <c r="AH31" s="36">
        <f>资产预测!Q124</f>
        <v>0</v>
      </c>
      <c r="AI31" s="36">
        <f>资产预测!R124</f>
        <v>0</v>
      </c>
      <c r="AJ31" s="36">
        <f>资产预测!S124</f>
        <v>0</v>
      </c>
    </row>
    <row r="32" spans="1:37">
      <c r="B32" s="17" t="s">
        <v>109</v>
      </c>
      <c r="C32" s="195"/>
      <c r="D32" s="36">
        <f>(财务基础数据!D68)*目录!$D$6</f>
        <v>0</v>
      </c>
      <c r="E32" s="36">
        <f>(财务基础数据!E68)*目录!$D$6</f>
        <v>0</v>
      </c>
      <c r="F32" s="36">
        <f>(财务基础数据!F68)*目录!$D$6</f>
        <v>0</v>
      </c>
      <c r="G32" s="36">
        <f>(财务基础数据!G68)*目录!$D$6</f>
        <v>0</v>
      </c>
      <c r="H32" s="36">
        <f>(财务基础数据!H68)*目录!$D$6</f>
        <v>0</v>
      </c>
      <c r="I32" s="36">
        <f>(财务基础数据!I68)*目录!$D$6</f>
        <v>0</v>
      </c>
      <c r="J32" s="36">
        <f>(财务基础数据!J68)*目录!$D$6</f>
        <v>0</v>
      </c>
      <c r="K32" s="36">
        <f>(财务基础数据!K68)*目录!$D$6</f>
        <v>0</v>
      </c>
      <c r="L32" s="36">
        <f>(财务基础数据!L68)*目录!$D$6</f>
        <v>0</v>
      </c>
      <c r="M32" s="36">
        <f>(财务基础数据!M68)*目录!$D$6</f>
        <v>0</v>
      </c>
      <c r="N32" s="36">
        <f>(财务基础数据!N68)*目录!$D$6</f>
        <v>0</v>
      </c>
      <c r="O32" s="36">
        <f>(财务基础数据!O68)*目录!$D$6</f>
        <v>0</v>
      </c>
      <c r="P32" s="36">
        <f>(财务基础数据!P68)*目录!$D$6</f>
        <v>0</v>
      </c>
      <c r="Q32" s="36">
        <f>(财务基础数据!Q68)*目录!$D$6</f>
        <v>0</v>
      </c>
      <c r="R32" s="36">
        <f>(财务基础数据!R68)*目录!$D$6</f>
        <v>0</v>
      </c>
      <c r="S32" s="36">
        <f>(财务基础数据!S68)*目录!$D$6</f>
        <v>0</v>
      </c>
      <c r="T32" s="36">
        <f>(财务基础数据!T68)*目录!$D$6</f>
        <v>0</v>
      </c>
      <c r="U32" s="36">
        <f>(财务基础数据!U68)*目录!$D$6</f>
        <v>0</v>
      </c>
      <c r="V32" s="36">
        <f>(财务基础数据!V68)*目录!$D$6</f>
        <v>0</v>
      </c>
      <c r="W32" s="36">
        <f>(财务基础数据!W68)*目录!$D$6</f>
        <v>0</v>
      </c>
      <c r="X32" s="36">
        <f>(财务基础数据!X68)*目录!$D$6</f>
        <v>0</v>
      </c>
      <c r="Y32" s="36">
        <f>(财务基础数据!Y68)*目录!$D$6</f>
        <v>0</v>
      </c>
      <c r="Z32" s="36">
        <f>(财务基础数据!Z68)*目录!$D$6</f>
        <v>0</v>
      </c>
      <c r="AA32" s="36">
        <f>资产预测!J28</f>
        <v>0</v>
      </c>
      <c r="AB32" s="36">
        <f>资产预测!K28</f>
        <v>0</v>
      </c>
      <c r="AC32" s="36">
        <f>资产预测!L28</f>
        <v>0</v>
      </c>
      <c r="AD32" s="36">
        <f>资产预测!M28</f>
        <v>0</v>
      </c>
      <c r="AE32" s="36">
        <f>资产预测!N28</f>
        <v>0</v>
      </c>
      <c r="AF32" s="36">
        <f>资产预测!O28</f>
        <v>0</v>
      </c>
      <c r="AG32" s="36">
        <f>资产预测!P28</f>
        <v>0</v>
      </c>
      <c r="AH32" s="36">
        <f>资产预测!Q28</f>
        <v>0</v>
      </c>
      <c r="AI32" s="36">
        <f>资产预测!R28</f>
        <v>0</v>
      </c>
      <c r="AJ32" s="36">
        <f>资产预测!S28</f>
        <v>0</v>
      </c>
    </row>
    <row r="33" spans="2:36">
      <c r="B33" s="17" t="s">
        <v>80</v>
      </c>
      <c r="C33" s="195"/>
      <c r="D33" s="36">
        <f t="shared" ref="D33:AJ33" si="6">SUM(D28:D32)</f>
        <v>0</v>
      </c>
      <c r="E33" s="36">
        <f t="shared" si="6"/>
        <v>0</v>
      </c>
      <c r="F33" s="36">
        <f t="shared" si="6"/>
        <v>0</v>
      </c>
      <c r="G33" s="36">
        <f t="shared" si="6"/>
        <v>0</v>
      </c>
      <c r="H33" s="36">
        <f t="shared" si="6"/>
        <v>0</v>
      </c>
      <c r="I33" s="36">
        <f t="shared" si="6"/>
        <v>0</v>
      </c>
      <c r="J33" s="36">
        <f t="shared" si="6"/>
        <v>0</v>
      </c>
      <c r="K33" s="36">
        <f t="shared" si="6"/>
        <v>0</v>
      </c>
      <c r="L33" s="36">
        <f t="shared" si="6"/>
        <v>0</v>
      </c>
      <c r="M33" s="36">
        <f t="shared" si="6"/>
        <v>0</v>
      </c>
      <c r="N33" s="36">
        <f t="shared" si="6"/>
        <v>0</v>
      </c>
      <c r="O33" s="36">
        <f t="shared" si="6"/>
        <v>0</v>
      </c>
      <c r="P33" s="36">
        <f t="shared" si="6"/>
        <v>0</v>
      </c>
      <c r="Q33" s="36">
        <f t="shared" si="6"/>
        <v>0</v>
      </c>
      <c r="R33" s="36">
        <f t="shared" si="6"/>
        <v>0</v>
      </c>
      <c r="S33" s="36">
        <f t="shared" si="6"/>
        <v>0</v>
      </c>
      <c r="T33" s="36">
        <f t="shared" si="6"/>
        <v>0</v>
      </c>
      <c r="U33" s="36">
        <f t="shared" si="6"/>
        <v>0</v>
      </c>
      <c r="V33" s="36">
        <f t="shared" si="6"/>
        <v>0</v>
      </c>
      <c r="W33" s="36">
        <f t="shared" si="6"/>
        <v>0</v>
      </c>
      <c r="X33" s="36">
        <f t="shared" si="6"/>
        <v>0</v>
      </c>
      <c r="Y33" s="36">
        <f t="shared" si="6"/>
        <v>0</v>
      </c>
      <c r="Z33" s="36">
        <f t="shared" si="6"/>
        <v>0</v>
      </c>
      <c r="AA33" s="36">
        <f t="shared" si="6"/>
        <v>0</v>
      </c>
      <c r="AB33" s="36">
        <f t="shared" si="6"/>
        <v>0</v>
      </c>
      <c r="AC33" s="36">
        <f t="shared" si="6"/>
        <v>0</v>
      </c>
      <c r="AD33" s="36">
        <f t="shared" si="6"/>
        <v>0</v>
      </c>
      <c r="AE33" s="36">
        <f t="shared" si="6"/>
        <v>0</v>
      </c>
      <c r="AF33" s="36">
        <f t="shared" si="6"/>
        <v>0</v>
      </c>
      <c r="AG33" s="36">
        <f t="shared" si="6"/>
        <v>0</v>
      </c>
      <c r="AH33" s="36">
        <f t="shared" si="6"/>
        <v>0</v>
      </c>
      <c r="AI33" s="36">
        <f t="shared" si="6"/>
        <v>0</v>
      </c>
      <c r="AJ33" s="36">
        <f t="shared" si="6"/>
        <v>0</v>
      </c>
    </row>
    <row r="34" spans="2:36" ht="15.75">
      <c r="B34" s="194" t="s">
        <v>273</v>
      </c>
      <c r="C34" s="19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</row>
    <row r="35" spans="2:36" ht="17.25" customHeight="1">
      <c r="B35" s="17" t="s">
        <v>274</v>
      </c>
      <c r="C35" s="195"/>
      <c r="D35" s="36">
        <f>(财务基础数据!D70)*目录!$D$6</f>
        <v>0</v>
      </c>
      <c r="E35" s="36">
        <f>(财务基础数据!E70)*目录!$D$6</f>
        <v>0</v>
      </c>
      <c r="F35" s="36">
        <f>(财务基础数据!F70)*目录!$D$6</f>
        <v>0</v>
      </c>
      <c r="G35" s="36">
        <f>(财务基础数据!G70)*目录!$D$6</f>
        <v>0</v>
      </c>
      <c r="H35" s="36">
        <f>(财务基础数据!H70)*目录!$D$6</f>
        <v>0</v>
      </c>
      <c r="I35" s="36">
        <f>(财务基础数据!I70)*目录!$D$6</f>
        <v>0</v>
      </c>
      <c r="J35" s="36">
        <f>(财务基础数据!J70)*目录!$D$6</f>
        <v>0</v>
      </c>
      <c r="K35" s="36">
        <f>(财务基础数据!K70)*目录!$D$6</f>
        <v>0</v>
      </c>
      <c r="L35" s="36">
        <f>(财务基础数据!L70)*目录!$D$6</f>
        <v>0</v>
      </c>
      <c r="M35" s="36">
        <f>(财务基础数据!M70)*目录!$D$6</f>
        <v>0</v>
      </c>
      <c r="N35" s="36">
        <f>(财务基础数据!N70)*目录!$D$6</f>
        <v>0</v>
      </c>
      <c r="O35" s="36">
        <f>(财务基础数据!O70)*目录!$D$6</f>
        <v>0</v>
      </c>
      <c r="P35" s="36">
        <f>(财务基础数据!P70)*目录!$D$6</f>
        <v>0</v>
      </c>
      <c r="Q35" s="36">
        <f>(财务基础数据!Q70)*目录!$D$6</f>
        <v>0</v>
      </c>
      <c r="R35" s="36">
        <f>(财务基础数据!R70)*目录!$D$6</f>
        <v>0</v>
      </c>
      <c r="S35" s="36">
        <f>(财务基础数据!S70)*目录!$D$6</f>
        <v>0</v>
      </c>
      <c r="T35" s="36">
        <f>(财务基础数据!T70)*目录!$D$6</f>
        <v>0</v>
      </c>
      <c r="U35" s="36">
        <f>(财务基础数据!U70)*目录!$D$6</f>
        <v>0</v>
      </c>
      <c r="V35" s="36">
        <f>(财务基础数据!V70)*目录!$D$6</f>
        <v>0</v>
      </c>
      <c r="W35" s="36">
        <f>(财务基础数据!W70)*目录!$D$6</f>
        <v>0</v>
      </c>
      <c r="X35" s="36">
        <f>(财务基础数据!X70)*目录!$D$6</f>
        <v>0</v>
      </c>
      <c r="Y35" s="36">
        <f>(财务基础数据!Y70)*目录!$D$6</f>
        <v>0</v>
      </c>
      <c r="Z35" s="36">
        <f>(财务基础数据!Z70)*目录!$D$6</f>
        <v>0</v>
      </c>
      <c r="AA35" s="36">
        <f>资产预测!J117</f>
        <v>0</v>
      </c>
      <c r="AB35" s="36">
        <f>资产预测!K117</f>
        <v>0</v>
      </c>
      <c r="AC35" s="36">
        <f>资产预测!L117</f>
        <v>0</v>
      </c>
      <c r="AD35" s="36">
        <f>资产预测!M117</f>
        <v>0</v>
      </c>
      <c r="AE35" s="36">
        <f>资产预测!N117</f>
        <v>0</v>
      </c>
      <c r="AF35" s="36">
        <f>资产预测!O117</f>
        <v>0</v>
      </c>
      <c r="AG35" s="36">
        <f>资产预测!P117</f>
        <v>0</v>
      </c>
      <c r="AH35" s="36">
        <f>资产预测!Q117</f>
        <v>0</v>
      </c>
      <c r="AI35" s="36">
        <f>资产预测!R117</f>
        <v>0</v>
      </c>
      <c r="AJ35" s="36">
        <f>资产预测!S117</f>
        <v>0</v>
      </c>
    </row>
    <row r="36" spans="2:36">
      <c r="B36" s="17" t="s">
        <v>150</v>
      </c>
      <c r="C36" s="197"/>
      <c r="D36" s="36">
        <f>(财务基础数据!D71)*目录!$D$6</f>
        <v>0</v>
      </c>
      <c r="E36" s="36">
        <f>(财务基础数据!E71)*目录!$D$6</f>
        <v>0</v>
      </c>
      <c r="F36" s="36">
        <f>(财务基础数据!F71)*目录!$D$6</f>
        <v>0</v>
      </c>
      <c r="G36" s="36">
        <f>(财务基础数据!G71)*目录!$D$6</f>
        <v>0</v>
      </c>
      <c r="H36" s="36">
        <f>(财务基础数据!H71)*目录!$D$6</f>
        <v>0</v>
      </c>
      <c r="I36" s="36">
        <f>(财务基础数据!I71)*目录!$D$6</f>
        <v>0</v>
      </c>
      <c r="J36" s="36">
        <f>(财务基础数据!J71)*目录!$D$6</f>
        <v>0</v>
      </c>
      <c r="K36" s="36">
        <f>(财务基础数据!K71)*目录!$D$6</f>
        <v>0</v>
      </c>
      <c r="L36" s="36">
        <f>(财务基础数据!L71)*目录!$D$6</f>
        <v>0</v>
      </c>
      <c r="M36" s="36">
        <f>(财务基础数据!M71)*目录!$D$6</f>
        <v>0</v>
      </c>
      <c r="N36" s="36">
        <f>(财务基础数据!N71)*目录!$D$6</f>
        <v>0</v>
      </c>
      <c r="O36" s="36">
        <f>(财务基础数据!O71)*目录!$D$6</f>
        <v>0</v>
      </c>
      <c r="P36" s="36">
        <f>(财务基础数据!P71)*目录!$D$6</f>
        <v>0</v>
      </c>
      <c r="Q36" s="36">
        <f>(财务基础数据!Q71)*目录!$D$6</f>
        <v>0</v>
      </c>
      <c r="R36" s="36">
        <f>(财务基础数据!R71)*目录!$D$6</f>
        <v>0</v>
      </c>
      <c r="S36" s="36">
        <f>(财务基础数据!S71)*目录!$D$6</f>
        <v>0</v>
      </c>
      <c r="T36" s="36">
        <f>(财务基础数据!T71)*目录!$D$6</f>
        <v>0</v>
      </c>
      <c r="U36" s="36">
        <f>(财务基础数据!U71)*目录!$D$6</f>
        <v>0</v>
      </c>
      <c r="V36" s="36">
        <f>(财务基础数据!V71)*目录!$D$6</f>
        <v>0</v>
      </c>
      <c r="W36" s="36">
        <f>(财务基础数据!W71)*目录!$D$6</f>
        <v>0</v>
      </c>
      <c r="X36" s="36">
        <f>(财务基础数据!X71)*目录!$D$6</f>
        <v>0</v>
      </c>
      <c r="Y36" s="36">
        <f>(财务基础数据!Y71)*目录!$D$6</f>
        <v>0</v>
      </c>
      <c r="Z36" s="36">
        <f>(财务基础数据!Z71)*目录!$D$6</f>
        <v>0</v>
      </c>
      <c r="AA36" s="211">
        <f>IF(财务基础数据!W$2=0,W36,IF(财务基础数据!W$2=1,X36,IF(财务基础数据!W$2=2,Y36,Z36)))</f>
        <v>0</v>
      </c>
      <c r="AB36" s="211">
        <f t="shared" ref="AB36:AJ36" si="7">AA36</f>
        <v>0</v>
      </c>
      <c r="AC36" s="211">
        <f t="shared" si="7"/>
        <v>0</v>
      </c>
      <c r="AD36" s="211">
        <f t="shared" si="7"/>
        <v>0</v>
      </c>
      <c r="AE36" s="211">
        <f t="shared" si="7"/>
        <v>0</v>
      </c>
      <c r="AF36" s="211">
        <f t="shared" si="7"/>
        <v>0</v>
      </c>
      <c r="AG36" s="211">
        <f t="shared" si="7"/>
        <v>0</v>
      </c>
      <c r="AH36" s="211">
        <f t="shared" si="7"/>
        <v>0</v>
      </c>
      <c r="AI36" s="211">
        <f t="shared" si="7"/>
        <v>0</v>
      </c>
      <c r="AJ36" s="211">
        <f t="shared" si="7"/>
        <v>0</v>
      </c>
    </row>
    <row r="37" spans="2:36">
      <c r="B37" s="17" t="s">
        <v>83</v>
      </c>
      <c r="C37" s="195"/>
      <c r="D37" s="36">
        <f t="shared" ref="D37:AJ37" si="8">SUM(D35:D36)</f>
        <v>0</v>
      </c>
      <c r="E37" s="36">
        <f t="shared" si="8"/>
        <v>0</v>
      </c>
      <c r="F37" s="36">
        <f t="shared" si="8"/>
        <v>0</v>
      </c>
      <c r="G37" s="36">
        <f t="shared" si="8"/>
        <v>0</v>
      </c>
      <c r="H37" s="36">
        <f t="shared" si="8"/>
        <v>0</v>
      </c>
      <c r="I37" s="36">
        <f t="shared" si="8"/>
        <v>0</v>
      </c>
      <c r="J37" s="36">
        <f t="shared" si="8"/>
        <v>0</v>
      </c>
      <c r="K37" s="36">
        <f t="shared" si="8"/>
        <v>0</v>
      </c>
      <c r="L37" s="36">
        <f t="shared" si="8"/>
        <v>0</v>
      </c>
      <c r="M37" s="36">
        <f t="shared" si="8"/>
        <v>0</v>
      </c>
      <c r="N37" s="36">
        <f t="shared" si="8"/>
        <v>0</v>
      </c>
      <c r="O37" s="36">
        <f t="shared" si="8"/>
        <v>0</v>
      </c>
      <c r="P37" s="36">
        <f t="shared" si="8"/>
        <v>0</v>
      </c>
      <c r="Q37" s="36">
        <f t="shared" si="8"/>
        <v>0</v>
      </c>
      <c r="R37" s="36">
        <f t="shared" si="8"/>
        <v>0</v>
      </c>
      <c r="S37" s="36">
        <f t="shared" si="8"/>
        <v>0</v>
      </c>
      <c r="T37" s="36">
        <f t="shared" si="8"/>
        <v>0</v>
      </c>
      <c r="U37" s="36">
        <f t="shared" si="8"/>
        <v>0</v>
      </c>
      <c r="V37" s="36">
        <f t="shared" si="8"/>
        <v>0</v>
      </c>
      <c r="W37" s="36">
        <f t="shared" si="8"/>
        <v>0</v>
      </c>
      <c r="X37" s="36">
        <f t="shared" si="8"/>
        <v>0</v>
      </c>
      <c r="Y37" s="36">
        <f t="shared" si="8"/>
        <v>0</v>
      </c>
      <c r="Z37" s="36">
        <f t="shared" si="8"/>
        <v>0</v>
      </c>
      <c r="AA37" s="36">
        <f t="shared" si="8"/>
        <v>0</v>
      </c>
      <c r="AB37" s="36">
        <f t="shared" si="8"/>
        <v>0</v>
      </c>
      <c r="AC37" s="36">
        <f t="shared" si="8"/>
        <v>0</v>
      </c>
      <c r="AD37" s="36">
        <f t="shared" si="8"/>
        <v>0</v>
      </c>
      <c r="AE37" s="36">
        <f t="shared" si="8"/>
        <v>0</v>
      </c>
      <c r="AF37" s="36">
        <f t="shared" si="8"/>
        <v>0</v>
      </c>
      <c r="AG37" s="36">
        <f t="shared" si="8"/>
        <v>0</v>
      </c>
      <c r="AH37" s="36">
        <f t="shared" si="8"/>
        <v>0</v>
      </c>
      <c r="AI37" s="36">
        <f t="shared" si="8"/>
        <v>0</v>
      </c>
      <c r="AJ37" s="36">
        <f t="shared" si="8"/>
        <v>0</v>
      </c>
    </row>
    <row r="38" spans="2:36">
      <c r="B38" s="17" t="s">
        <v>275</v>
      </c>
      <c r="C38" s="195"/>
      <c r="D38" s="36">
        <f t="shared" ref="D38:AJ38" si="9">D33+D37</f>
        <v>0</v>
      </c>
      <c r="E38" s="36">
        <f t="shared" si="9"/>
        <v>0</v>
      </c>
      <c r="F38" s="36">
        <f t="shared" si="9"/>
        <v>0</v>
      </c>
      <c r="G38" s="36">
        <f t="shared" si="9"/>
        <v>0</v>
      </c>
      <c r="H38" s="36">
        <f t="shared" si="9"/>
        <v>0</v>
      </c>
      <c r="I38" s="36">
        <f t="shared" si="9"/>
        <v>0</v>
      </c>
      <c r="J38" s="36">
        <f t="shared" si="9"/>
        <v>0</v>
      </c>
      <c r="K38" s="36">
        <f t="shared" si="9"/>
        <v>0</v>
      </c>
      <c r="L38" s="36">
        <f t="shared" si="9"/>
        <v>0</v>
      </c>
      <c r="M38" s="36">
        <f t="shared" si="9"/>
        <v>0</v>
      </c>
      <c r="N38" s="36">
        <f t="shared" si="9"/>
        <v>0</v>
      </c>
      <c r="O38" s="36">
        <f t="shared" si="9"/>
        <v>0</v>
      </c>
      <c r="P38" s="36">
        <f t="shared" si="9"/>
        <v>0</v>
      </c>
      <c r="Q38" s="36">
        <f t="shared" si="9"/>
        <v>0</v>
      </c>
      <c r="R38" s="36">
        <f t="shared" si="9"/>
        <v>0</v>
      </c>
      <c r="S38" s="36">
        <f t="shared" si="9"/>
        <v>0</v>
      </c>
      <c r="T38" s="36">
        <f t="shared" si="9"/>
        <v>0</v>
      </c>
      <c r="U38" s="36">
        <f t="shared" si="9"/>
        <v>0</v>
      </c>
      <c r="V38" s="36">
        <f t="shared" si="9"/>
        <v>0</v>
      </c>
      <c r="W38" s="36">
        <f t="shared" si="9"/>
        <v>0</v>
      </c>
      <c r="X38" s="36">
        <f t="shared" si="9"/>
        <v>0</v>
      </c>
      <c r="Y38" s="36">
        <f t="shared" si="9"/>
        <v>0</v>
      </c>
      <c r="Z38" s="36">
        <f t="shared" si="9"/>
        <v>0</v>
      </c>
      <c r="AA38" s="36">
        <f t="shared" si="9"/>
        <v>0</v>
      </c>
      <c r="AB38" s="36">
        <f t="shared" si="9"/>
        <v>0</v>
      </c>
      <c r="AC38" s="36">
        <f t="shared" si="9"/>
        <v>0</v>
      </c>
      <c r="AD38" s="36">
        <f t="shared" si="9"/>
        <v>0</v>
      </c>
      <c r="AE38" s="36">
        <f t="shared" si="9"/>
        <v>0</v>
      </c>
      <c r="AF38" s="36">
        <f t="shared" si="9"/>
        <v>0</v>
      </c>
      <c r="AG38" s="36">
        <f t="shared" si="9"/>
        <v>0</v>
      </c>
      <c r="AH38" s="36">
        <f t="shared" si="9"/>
        <v>0</v>
      </c>
      <c r="AI38" s="36">
        <f t="shared" si="9"/>
        <v>0</v>
      </c>
      <c r="AJ38" s="36">
        <f t="shared" si="9"/>
        <v>0</v>
      </c>
    </row>
    <row r="39" spans="2:36" ht="15.75">
      <c r="B39" s="194" t="s">
        <v>276</v>
      </c>
      <c r="C39" s="195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</row>
    <row r="40" spans="2:36">
      <c r="B40" s="17" t="s">
        <v>149</v>
      </c>
      <c r="C40" s="195"/>
      <c r="D40" s="36">
        <f>(财务基础数据!D74)*目录!$D$6</f>
        <v>0</v>
      </c>
      <c r="E40" s="36">
        <f>(财务基础数据!E74)*目录!$D$6</f>
        <v>0</v>
      </c>
      <c r="F40" s="36">
        <f>(财务基础数据!F74)*目录!$D$6</f>
        <v>0</v>
      </c>
      <c r="G40" s="36">
        <f>(财务基础数据!G74)*目录!$D$6</f>
        <v>0</v>
      </c>
      <c r="H40" s="36">
        <f>(财务基础数据!H74)*目录!$D$6</f>
        <v>0</v>
      </c>
      <c r="I40" s="36">
        <f>(财务基础数据!I74)*目录!$D$6</f>
        <v>0</v>
      </c>
      <c r="J40" s="36">
        <f>(财务基础数据!J74)*目录!$D$6</f>
        <v>0</v>
      </c>
      <c r="K40" s="36">
        <f>(财务基础数据!K74)*目录!$D$6</f>
        <v>0</v>
      </c>
      <c r="L40" s="36">
        <f>(财务基础数据!L74)*目录!$D$6</f>
        <v>0</v>
      </c>
      <c r="M40" s="36">
        <f>(财务基础数据!M74)*目录!$D$6</f>
        <v>0</v>
      </c>
      <c r="N40" s="36">
        <f>(财务基础数据!N74)*目录!$D$6</f>
        <v>0</v>
      </c>
      <c r="O40" s="36">
        <f>(财务基础数据!O74)*目录!$D$6</f>
        <v>0</v>
      </c>
      <c r="P40" s="36">
        <f>(财务基础数据!P74)*目录!$D$6</f>
        <v>0</v>
      </c>
      <c r="Q40" s="36">
        <f>(财务基础数据!Q74)*目录!$D$6</f>
        <v>0</v>
      </c>
      <c r="R40" s="36">
        <f>(财务基础数据!R74)*目录!$D$6</f>
        <v>0</v>
      </c>
      <c r="S40" s="36">
        <f>(财务基础数据!S74)*目录!$D$6</f>
        <v>0</v>
      </c>
      <c r="T40" s="36">
        <f>(财务基础数据!T74)*目录!$D$6</f>
        <v>0</v>
      </c>
      <c r="U40" s="36">
        <f>(财务基础数据!U74)*目录!$D$6</f>
        <v>0</v>
      </c>
      <c r="V40" s="36">
        <f>(财务基础数据!V74)*目录!$D$6</f>
        <v>0</v>
      </c>
      <c r="W40" s="36">
        <f>(财务基础数据!W74)*目录!$D$6</f>
        <v>0</v>
      </c>
      <c r="X40" s="36">
        <f>(财务基础数据!X74)*目录!$D$6</f>
        <v>0</v>
      </c>
      <c r="Y40" s="36">
        <f>(财务基础数据!Y74)*目录!$D$6</f>
        <v>0</v>
      </c>
      <c r="Z40" s="36">
        <f>(财务基础数据!Z74)*目录!$D$6</f>
        <v>0</v>
      </c>
      <c r="AA40" s="36">
        <f>W40+资产预测!J108</f>
        <v>0</v>
      </c>
      <c r="AB40" s="36">
        <f>AA40+资产预测!K108</f>
        <v>0</v>
      </c>
      <c r="AC40" s="36">
        <f>AB40+资产预测!L108</f>
        <v>0</v>
      </c>
      <c r="AD40" s="36">
        <f>AC40+资产预测!M108</f>
        <v>0</v>
      </c>
      <c r="AE40" s="36">
        <f>AD40+资产预测!N108</f>
        <v>0</v>
      </c>
      <c r="AF40" s="36">
        <f>AE40+资产预测!O108</f>
        <v>0</v>
      </c>
      <c r="AG40" s="36">
        <f>AF40+资产预测!P108</f>
        <v>0</v>
      </c>
      <c r="AH40" s="36">
        <f>AG40+资产预测!Q108</f>
        <v>0</v>
      </c>
      <c r="AI40" s="36">
        <f>AH40+资产预测!R108</f>
        <v>0</v>
      </c>
      <c r="AJ40" s="36">
        <f>AI40+资产预测!S108</f>
        <v>0</v>
      </c>
    </row>
    <row r="41" spans="2:36">
      <c r="B41" s="17" t="s">
        <v>215</v>
      </c>
      <c r="C41" s="195"/>
      <c r="D41" s="36">
        <f>(财务基础数据!D80)*目录!$D$6</f>
        <v>0</v>
      </c>
      <c r="E41" s="36">
        <f>(财务基础数据!E80)*目录!$D$6</f>
        <v>0</v>
      </c>
      <c r="F41" s="36">
        <f>(财务基础数据!F80)*目录!$D$6</f>
        <v>0</v>
      </c>
      <c r="G41" s="36">
        <f>(财务基础数据!G80)*目录!$D$6</f>
        <v>0</v>
      </c>
      <c r="H41" s="36">
        <f>(财务基础数据!H80)*目录!$D$6</f>
        <v>0</v>
      </c>
      <c r="I41" s="36">
        <f>(财务基础数据!I80)*目录!$D$6</f>
        <v>0</v>
      </c>
      <c r="J41" s="36">
        <f>(财务基础数据!J80)*目录!$D$6</f>
        <v>0</v>
      </c>
      <c r="K41" s="36">
        <f>(财务基础数据!K80)*目录!$D$6</f>
        <v>0</v>
      </c>
      <c r="L41" s="36">
        <f>(财务基础数据!L80)*目录!$D$6</f>
        <v>0</v>
      </c>
      <c r="M41" s="36">
        <f>(财务基础数据!M80)*目录!$D$6</f>
        <v>0</v>
      </c>
      <c r="N41" s="36">
        <f>(财务基础数据!N80)*目录!$D$6</f>
        <v>0</v>
      </c>
      <c r="O41" s="36">
        <f>(财务基础数据!O80)*目录!$D$6</f>
        <v>0</v>
      </c>
      <c r="P41" s="36">
        <f>(财务基础数据!P80)*目录!$D$6</f>
        <v>0</v>
      </c>
      <c r="Q41" s="36">
        <f>(财务基础数据!Q80)*目录!$D$6</f>
        <v>0</v>
      </c>
      <c r="R41" s="36">
        <f>(财务基础数据!R80)*目录!$D$6</f>
        <v>0</v>
      </c>
      <c r="S41" s="36">
        <f>(财务基础数据!S80)*目录!$D$6</f>
        <v>0</v>
      </c>
      <c r="T41" s="36">
        <f>(财务基础数据!T80)*目录!$D$6</f>
        <v>0</v>
      </c>
      <c r="U41" s="36">
        <f>(财务基础数据!U80)*目录!$D$6</f>
        <v>0</v>
      </c>
      <c r="V41" s="36">
        <f>(财务基础数据!V80)*目录!$D$6</f>
        <v>0</v>
      </c>
      <c r="W41" s="36">
        <f>(财务基础数据!W80)*目录!$D$6</f>
        <v>0</v>
      </c>
      <c r="X41" s="36">
        <f>(财务基础数据!X80)*目录!$D$6</f>
        <v>0</v>
      </c>
      <c r="Y41" s="36">
        <f>(财务基础数据!Y80)*目录!$D$6</f>
        <v>0</v>
      </c>
      <c r="Z41" s="36">
        <f>(财务基础数据!Z80)*目录!$D$6</f>
        <v>0</v>
      </c>
      <c r="AA41" s="36">
        <f>W41+资产预测!J109</f>
        <v>0</v>
      </c>
      <c r="AB41" s="36">
        <f>AA41+资产预测!K109</f>
        <v>0</v>
      </c>
      <c r="AC41" s="36">
        <f>AB41+资产预测!L109</f>
        <v>0</v>
      </c>
      <c r="AD41" s="36">
        <f>AC41+资产预测!M109</f>
        <v>0</v>
      </c>
      <c r="AE41" s="36">
        <f>AD41+资产预测!N109</f>
        <v>0</v>
      </c>
      <c r="AF41" s="36">
        <f>AE41+资产预测!O109</f>
        <v>0</v>
      </c>
      <c r="AG41" s="36">
        <f>AF41+资产预测!P109</f>
        <v>0</v>
      </c>
      <c r="AH41" s="36">
        <f>AG41+资产预测!Q109</f>
        <v>0</v>
      </c>
      <c r="AI41" s="36">
        <f>AH41+资产预测!R109</f>
        <v>0</v>
      </c>
      <c r="AJ41" s="36">
        <f>AI41+资产预测!S109</f>
        <v>0</v>
      </c>
    </row>
    <row r="42" spans="2:36">
      <c r="B42" s="17" t="s">
        <v>140</v>
      </c>
      <c r="C42" s="195"/>
      <c r="D42" s="36">
        <f>(财务基础数据!D75)*目录!$D$6</f>
        <v>0</v>
      </c>
      <c r="E42" s="36">
        <f>(财务基础数据!E75)*目录!$D$6</f>
        <v>0</v>
      </c>
      <c r="F42" s="36">
        <f>(财务基础数据!F75)*目录!$D$6</f>
        <v>0</v>
      </c>
      <c r="G42" s="36">
        <f>(财务基础数据!G75)*目录!$D$6</f>
        <v>0</v>
      </c>
      <c r="H42" s="36">
        <f>(财务基础数据!H75)*目录!$D$6</f>
        <v>0</v>
      </c>
      <c r="I42" s="36">
        <f>(财务基础数据!I75)*目录!$D$6</f>
        <v>0</v>
      </c>
      <c r="J42" s="36">
        <f>(财务基础数据!J75)*目录!$D$6</f>
        <v>0</v>
      </c>
      <c r="K42" s="36">
        <f>(财务基础数据!K75)*目录!$D$6</f>
        <v>0</v>
      </c>
      <c r="L42" s="36">
        <f>(财务基础数据!L75)*目录!$D$6</f>
        <v>0</v>
      </c>
      <c r="M42" s="36">
        <f>(财务基础数据!M75)*目录!$D$6</f>
        <v>0</v>
      </c>
      <c r="N42" s="36">
        <f>(财务基础数据!N75)*目录!$D$6</f>
        <v>0</v>
      </c>
      <c r="O42" s="36">
        <f>(财务基础数据!O75)*目录!$D$6</f>
        <v>0</v>
      </c>
      <c r="P42" s="36">
        <f>(财务基础数据!P75)*目录!$D$6</f>
        <v>0</v>
      </c>
      <c r="Q42" s="36">
        <f>(财务基础数据!Q75)*目录!$D$6</f>
        <v>0</v>
      </c>
      <c r="R42" s="36">
        <f>(财务基础数据!R75)*目录!$D$6</f>
        <v>0</v>
      </c>
      <c r="S42" s="36">
        <f>(财务基础数据!S75)*目录!$D$6</f>
        <v>0</v>
      </c>
      <c r="T42" s="36">
        <f>(财务基础数据!T75)*目录!$D$6</f>
        <v>0</v>
      </c>
      <c r="U42" s="36">
        <f>(财务基础数据!U75)*目录!$D$6</f>
        <v>0</v>
      </c>
      <c r="V42" s="36">
        <f>(财务基础数据!V75)*目录!$D$6</f>
        <v>0</v>
      </c>
      <c r="W42" s="36">
        <f>(财务基础数据!W75)*目录!$D$6</f>
        <v>0</v>
      </c>
      <c r="X42" s="36">
        <f>(财务基础数据!X75)*目录!$D$6</f>
        <v>0</v>
      </c>
      <c r="Y42" s="36">
        <f>(财务基础数据!Y75)*目录!$D$6</f>
        <v>0</v>
      </c>
      <c r="Z42" s="36">
        <f>(财务基础数据!Z75)*目录!$D$6</f>
        <v>0</v>
      </c>
      <c r="AA42" s="36">
        <f>W42+资产预测!J93+资产预测!J102+资产预测!J107</f>
        <v>0</v>
      </c>
      <c r="AB42" s="36">
        <f>AA42+资产预测!K93+资产预测!K102+资产预测!K107</f>
        <v>0</v>
      </c>
      <c r="AC42" s="36">
        <f>AB42+资产预测!L93+资产预测!L102+资产预测!L107</f>
        <v>0</v>
      </c>
      <c r="AD42" s="36">
        <f>AC42+资产预测!M93+资产预测!M102+资产预测!M107</f>
        <v>0</v>
      </c>
      <c r="AE42" s="36">
        <f>AD42+资产预测!N93+资产预测!N102+资产预测!N107</f>
        <v>0</v>
      </c>
      <c r="AF42" s="36">
        <f>AE42+资产预测!O93+资产预测!O102+资产预测!O107</f>
        <v>0</v>
      </c>
      <c r="AG42" s="36">
        <f>AF42+资产预测!P93+资产预测!P102+资产预测!P107</f>
        <v>0</v>
      </c>
      <c r="AH42" s="36">
        <f>AG42+资产预测!Q93+资产预测!Q102+资产预测!Q107</f>
        <v>0</v>
      </c>
      <c r="AI42" s="36">
        <f>AH42+资产预测!R93+资产预测!R102+资产预测!R107</f>
        <v>0</v>
      </c>
      <c r="AJ42" s="36">
        <f>AI42+资产预测!S93+资产预测!S102+资产预测!S107</f>
        <v>0</v>
      </c>
    </row>
    <row r="43" spans="2:36">
      <c r="B43" s="17" t="s">
        <v>141</v>
      </c>
      <c r="C43" s="195"/>
      <c r="D43" s="36">
        <f>(财务基础数据!D76)*目录!$D$6</f>
        <v>0</v>
      </c>
      <c r="E43" s="36">
        <f>(财务基础数据!E76)*目录!$D$6</f>
        <v>0</v>
      </c>
      <c r="F43" s="36">
        <f>(财务基础数据!F76)*目录!$D$6</f>
        <v>0</v>
      </c>
      <c r="G43" s="36">
        <f>(财务基础数据!G76)*目录!$D$6</f>
        <v>0</v>
      </c>
      <c r="H43" s="36">
        <f>(财务基础数据!H76)*目录!$D$6</f>
        <v>0</v>
      </c>
      <c r="I43" s="36">
        <f>(财务基础数据!I76)*目录!$D$6</f>
        <v>0</v>
      </c>
      <c r="J43" s="36">
        <f>(财务基础数据!J76)*目录!$D$6</f>
        <v>0</v>
      </c>
      <c r="K43" s="36">
        <f>(财务基础数据!K76)*目录!$D$6</f>
        <v>0</v>
      </c>
      <c r="L43" s="36">
        <f>(财务基础数据!L76)*目录!$D$6</f>
        <v>0</v>
      </c>
      <c r="M43" s="36">
        <f>(财务基础数据!M76)*目录!$D$6</f>
        <v>0</v>
      </c>
      <c r="N43" s="36">
        <f>(财务基础数据!N76)*目录!$D$6</f>
        <v>0</v>
      </c>
      <c r="O43" s="36">
        <f>(财务基础数据!O76)*目录!$D$6</f>
        <v>0</v>
      </c>
      <c r="P43" s="36">
        <f>(财务基础数据!P76)*目录!$D$6</f>
        <v>0</v>
      </c>
      <c r="Q43" s="36">
        <f>(财务基础数据!Q76)*目录!$D$6</f>
        <v>0</v>
      </c>
      <c r="R43" s="36">
        <f>(财务基础数据!R76)*目录!$D$6</f>
        <v>0</v>
      </c>
      <c r="S43" s="36">
        <f>(财务基础数据!S76)*目录!$D$6</f>
        <v>0</v>
      </c>
      <c r="T43" s="36">
        <f>(财务基础数据!T76)*目录!$D$6</f>
        <v>0</v>
      </c>
      <c r="U43" s="36">
        <f>(财务基础数据!U76)*目录!$D$6</f>
        <v>0</v>
      </c>
      <c r="V43" s="36">
        <f>(财务基础数据!V76)*目录!$D$6</f>
        <v>0</v>
      </c>
      <c r="W43" s="36">
        <f>(财务基础数据!W76)*目录!$D$6</f>
        <v>0</v>
      </c>
      <c r="X43" s="36">
        <f>(财务基础数据!X76)*目录!$D$6</f>
        <v>0</v>
      </c>
      <c r="Y43" s="36">
        <f>(财务基础数据!Y76)*目录!$D$6</f>
        <v>0</v>
      </c>
      <c r="Z43" s="36">
        <f>(财务基础数据!Z76)*目录!$D$6</f>
        <v>0</v>
      </c>
      <c r="AA43" s="36">
        <f>IF(ISERROR(W43+资产预测!J110+利润表!AA29+资产预测!J94+资产预测!J103+现金流量表!AA35),"0",W43+资产预测!J110+利润表!AA29+资产预测!J94+资产预测!J103+现金流量表!AA35)</f>
        <v>0</v>
      </c>
      <c r="AB43" s="36">
        <f>IF(ISERROR(AA43+资产预测!K110+利润表!AB29+资产预测!K94+资产预测!K103+现金流量表!AB35),"0",AA43+资产预测!K110+利润表!AB29+资产预测!K94+资产预测!K103+现金流量表!AB35)</f>
        <v>0</v>
      </c>
      <c r="AC43" s="36">
        <f>IF(ISERROR(AB43+资产预测!L110+利润表!AC29+资产预测!L94+资产预测!L103+现金流量表!AC35),"0",AB43+资产预测!L110+利润表!AC29+资产预测!L94+资产预测!L103+现金流量表!AC35)</f>
        <v>0</v>
      </c>
      <c r="AD43" s="36">
        <f>IF(ISERROR(AC43+资产预测!M110+利润表!AD29+资产预测!M94+资产预测!M103+现金流量表!AD35),"0",AC43+资产预测!M110+利润表!AD29+资产预测!M94+资产预测!M103+现金流量表!AD35)</f>
        <v>0</v>
      </c>
      <c r="AE43" s="36">
        <f>IF(ISERROR(AD43+资产预测!N110+利润表!AE29+资产预测!N94+资产预测!N103+现金流量表!AE35),"0",AD43+资产预测!N110+利润表!AE29+资产预测!N94+资产预测!N103+现金流量表!AE35)</f>
        <v>0</v>
      </c>
      <c r="AF43" s="36">
        <f>IF(ISERROR(AE43+资产预测!O110+利润表!AF29+资产预测!O94+资产预测!O103+现金流量表!AF35),"0",AE43+资产预测!O110+利润表!AF29+资产预测!O94+资产预测!O103+现金流量表!AF35)</f>
        <v>0</v>
      </c>
      <c r="AG43" s="36">
        <f>IF(ISERROR(AF43+资产预测!P110+利润表!AG29+资产预测!P94+资产预测!P103+现金流量表!AG35),"0",AF43+资产预测!P110+利润表!AG29+资产预测!P94+资产预测!P103+现金流量表!AG35)</f>
        <v>0</v>
      </c>
      <c r="AH43" s="36">
        <f>IF(ISERROR(AG43+资产预测!Q110+利润表!AH29+资产预测!Q94+资产预测!Q103+现金流量表!AH35),"0",AG43+资产预测!Q110+利润表!AH29+资产预测!Q94+资产预测!Q103+现金流量表!AH35)</f>
        <v>0</v>
      </c>
      <c r="AI43" s="36">
        <f>IF(ISERROR(AH43+资产预测!R110+利润表!AI29+资产预测!R94+资产预测!R103+现金流量表!AI35),"0",AH43+资产预测!R110+利润表!AI29+资产预测!R94+资产预测!R103+现金流量表!AI35)</f>
        <v>0</v>
      </c>
      <c r="AJ43" s="36">
        <f>IF(ISERROR(AI43+资产预测!S110+利润表!AJ29+资产预测!S94+资产预测!S103+现金流量表!AJ35),"0",AI43+资产预测!S110+利润表!AJ29+资产预测!S94+资产预测!S103+现金流量表!AJ35)</f>
        <v>0</v>
      </c>
    </row>
    <row r="44" spans="2:36">
      <c r="B44" s="17" t="s">
        <v>81</v>
      </c>
      <c r="C44" s="195"/>
      <c r="D44" s="36">
        <f>(财务基础数据!D81)*目录!$D$6</f>
        <v>0</v>
      </c>
      <c r="E44" s="36">
        <f>(财务基础数据!E81)*目录!$D$6</f>
        <v>0</v>
      </c>
      <c r="F44" s="36">
        <f>(财务基础数据!F81)*目录!$D$6</f>
        <v>0</v>
      </c>
      <c r="G44" s="36">
        <f>(财务基础数据!G81)*目录!$D$6</f>
        <v>0</v>
      </c>
      <c r="H44" s="36">
        <f>(财务基础数据!H81)*目录!$D$6</f>
        <v>0</v>
      </c>
      <c r="I44" s="36">
        <f>(财务基础数据!I81)*目录!$D$6</f>
        <v>0</v>
      </c>
      <c r="J44" s="36">
        <f>(财务基础数据!J81)*目录!$D$6</f>
        <v>0</v>
      </c>
      <c r="K44" s="36">
        <f>(财务基础数据!K81)*目录!$D$6</f>
        <v>0</v>
      </c>
      <c r="L44" s="36">
        <f>(财务基础数据!L81)*目录!$D$6</f>
        <v>0</v>
      </c>
      <c r="M44" s="36">
        <f>(财务基础数据!M81)*目录!$D$6</f>
        <v>0</v>
      </c>
      <c r="N44" s="36">
        <f>(财务基础数据!N81)*目录!$D$6</f>
        <v>0</v>
      </c>
      <c r="O44" s="36">
        <f>(财务基础数据!O81)*目录!$D$6</f>
        <v>0</v>
      </c>
      <c r="P44" s="36">
        <f>(财务基础数据!P81)*目录!$D$6</f>
        <v>0</v>
      </c>
      <c r="Q44" s="36">
        <f>(财务基础数据!Q81)*目录!$D$6</f>
        <v>0</v>
      </c>
      <c r="R44" s="36">
        <f>(财务基础数据!R81)*目录!$D$6</f>
        <v>0</v>
      </c>
      <c r="S44" s="36">
        <f>(财务基础数据!S81)*目录!$D$6</f>
        <v>0</v>
      </c>
      <c r="T44" s="36">
        <f>(财务基础数据!T81)*目录!$D$6</f>
        <v>0</v>
      </c>
      <c r="U44" s="36">
        <f>(财务基础数据!U81)*目录!$D$6</f>
        <v>0</v>
      </c>
      <c r="V44" s="36">
        <f>(财务基础数据!V81)*目录!$D$6</f>
        <v>0</v>
      </c>
      <c r="W44" s="36">
        <f>(财务基础数据!W81)*目录!$D$6</f>
        <v>0</v>
      </c>
      <c r="X44" s="36">
        <f>(财务基础数据!X81)*目录!$D$6</f>
        <v>0</v>
      </c>
      <c r="Y44" s="36">
        <f>(财务基础数据!Y81)*目录!$D$6</f>
        <v>0</v>
      </c>
      <c r="Z44" s="36">
        <f>(财务基础数据!Z81)*目录!$D$6</f>
        <v>0</v>
      </c>
      <c r="AA44" s="36">
        <f>W44+资产预测!J111</f>
        <v>0</v>
      </c>
      <c r="AB44" s="36">
        <f>AA44+资产预测!K111</f>
        <v>0</v>
      </c>
      <c r="AC44" s="36">
        <f>AB44+资产预测!L111</f>
        <v>0</v>
      </c>
      <c r="AD44" s="36">
        <f>AC44+资产预测!M111</f>
        <v>0</v>
      </c>
      <c r="AE44" s="36">
        <f>AD44+资产预测!N111</f>
        <v>0</v>
      </c>
      <c r="AF44" s="36">
        <f>AE44+资产预测!O111</f>
        <v>0</v>
      </c>
      <c r="AG44" s="36">
        <f>AF44+资产预测!P111</f>
        <v>0</v>
      </c>
      <c r="AH44" s="36">
        <f>AG44+资产预测!Q111</f>
        <v>0</v>
      </c>
      <c r="AI44" s="36">
        <f>AH44+资产预测!R111</f>
        <v>0</v>
      </c>
      <c r="AJ44" s="36">
        <f>AI44+资产预测!S111</f>
        <v>0</v>
      </c>
    </row>
    <row r="45" spans="2:36" ht="16.5" customHeight="1">
      <c r="B45" s="17" t="s">
        <v>551</v>
      </c>
      <c r="C45" s="195"/>
      <c r="D45" s="36">
        <f t="shared" ref="D45:Z45" si="10">D40+D42+D43+D44-D41</f>
        <v>0</v>
      </c>
      <c r="E45" s="36">
        <f t="shared" si="10"/>
        <v>0</v>
      </c>
      <c r="F45" s="36">
        <f t="shared" si="10"/>
        <v>0</v>
      </c>
      <c r="G45" s="36">
        <f t="shared" si="10"/>
        <v>0</v>
      </c>
      <c r="H45" s="36">
        <f t="shared" si="10"/>
        <v>0</v>
      </c>
      <c r="I45" s="36">
        <f t="shared" si="10"/>
        <v>0</v>
      </c>
      <c r="J45" s="36">
        <f t="shared" si="10"/>
        <v>0</v>
      </c>
      <c r="K45" s="36">
        <f t="shared" si="10"/>
        <v>0</v>
      </c>
      <c r="L45" s="36">
        <f t="shared" si="10"/>
        <v>0</v>
      </c>
      <c r="M45" s="36">
        <f t="shared" si="10"/>
        <v>0</v>
      </c>
      <c r="N45" s="36">
        <f t="shared" si="10"/>
        <v>0</v>
      </c>
      <c r="O45" s="36">
        <f t="shared" si="10"/>
        <v>0</v>
      </c>
      <c r="P45" s="36">
        <f t="shared" si="10"/>
        <v>0</v>
      </c>
      <c r="Q45" s="36">
        <f t="shared" si="10"/>
        <v>0</v>
      </c>
      <c r="R45" s="36">
        <f t="shared" si="10"/>
        <v>0</v>
      </c>
      <c r="S45" s="36">
        <f t="shared" si="10"/>
        <v>0</v>
      </c>
      <c r="T45" s="36">
        <f t="shared" si="10"/>
        <v>0</v>
      </c>
      <c r="U45" s="36">
        <f t="shared" si="10"/>
        <v>0</v>
      </c>
      <c r="V45" s="36">
        <f t="shared" si="10"/>
        <v>0</v>
      </c>
      <c r="W45" s="36">
        <f t="shared" si="10"/>
        <v>0</v>
      </c>
      <c r="X45" s="36">
        <f t="shared" si="10"/>
        <v>0</v>
      </c>
      <c r="Y45" s="36">
        <f t="shared" si="10"/>
        <v>0</v>
      </c>
      <c r="Z45" s="36">
        <f t="shared" si="10"/>
        <v>0</v>
      </c>
      <c r="AA45" s="36">
        <f t="shared" ref="AA45:AJ45" si="11">IF(ISERROR(AA40-AA41+AA42+AA43+AA44),"0",AA40-AA41+AA42+AA43+AA44)</f>
        <v>0</v>
      </c>
      <c r="AB45" s="36">
        <f t="shared" si="11"/>
        <v>0</v>
      </c>
      <c r="AC45" s="36">
        <f t="shared" si="11"/>
        <v>0</v>
      </c>
      <c r="AD45" s="36">
        <f t="shared" si="11"/>
        <v>0</v>
      </c>
      <c r="AE45" s="36">
        <f t="shared" si="11"/>
        <v>0</v>
      </c>
      <c r="AF45" s="36">
        <f t="shared" si="11"/>
        <v>0</v>
      </c>
      <c r="AG45" s="36">
        <f t="shared" si="11"/>
        <v>0</v>
      </c>
      <c r="AH45" s="36">
        <f t="shared" si="11"/>
        <v>0</v>
      </c>
      <c r="AI45" s="36">
        <f t="shared" si="11"/>
        <v>0</v>
      </c>
      <c r="AJ45" s="36">
        <f t="shared" si="11"/>
        <v>0</v>
      </c>
    </row>
    <row r="46" spans="2:36">
      <c r="B46" s="17" t="s">
        <v>86</v>
      </c>
      <c r="C46" s="195"/>
      <c r="D46" s="36">
        <f>(财务基础数据!D84)*目录!$D$6</f>
        <v>0</v>
      </c>
      <c r="E46" s="36">
        <f>(财务基础数据!E84)*目录!$D$6</f>
        <v>0</v>
      </c>
      <c r="F46" s="36">
        <f>(财务基础数据!F84)*目录!$D$6</f>
        <v>0</v>
      </c>
      <c r="G46" s="36">
        <f>(财务基础数据!G84)*目录!$D$6</f>
        <v>0</v>
      </c>
      <c r="H46" s="36">
        <f>(财务基础数据!H84)*目录!$D$6</f>
        <v>0</v>
      </c>
      <c r="I46" s="36">
        <f>(财务基础数据!I84)*目录!$D$6</f>
        <v>0</v>
      </c>
      <c r="J46" s="36">
        <f>(财务基础数据!J84)*目录!$D$6</f>
        <v>0</v>
      </c>
      <c r="K46" s="36">
        <f>(财务基础数据!K84)*目录!$D$6</f>
        <v>0</v>
      </c>
      <c r="L46" s="36">
        <f>(财务基础数据!L84)*目录!$D$6</f>
        <v>0</v>
      </c>
      <c r="M46" s="36">
        <f>(财务基础数据!M84)*目录!$D$6</f>
        <v>0</v>
      </c>
      <c r="N46" s="36">
        <f>(财务基础数据!N84)*目录!$D$6</f>
        <v>0</v>
      </c>
      <c r="O46" s="36">
        <f>(财务基础数据!O84)*目录!$D$6</f>
        <v>0</v>
      </c>
      <c r="P46" s="36">
        <f>(财务基础数据!P84)*目录!$D$6</f>
        <v>0</v>
      </c>
      <c r="Q46" s="36">
        <f>(财务基础数据!Q84)*目录!$D$6</f>
        <v>0</v>
      </c>
      <c r="R46" s="36">
        <f>(财务基础数据!R84)*目录!$D$6</f>
        <v>0</v>
      </c>
      <c r="S46" s="36">
        <f>(财务基础数据!S84)*目录!$D$6</f>
        <v>0</v>
      </c>
      <c r="T46" s="36">
        <f>(财务基础数据!T84)*目录!$D$6</f>
        <v>0</v>
      </c>
      <c r="U46" s="36">
        <f>(财务基础数据!U84)*目录!$D$6</f>
        <v>0</v>
      </c>
      <c r="V46" s="36">
        <f>(财务基础数据!V84)*目录!$D$6</f>
        <v>0</v>
      </c>
      <c r="W46" s="36">
        <f>(财务基础数据!W84)*目录!$D$6</f>
        <v>0</v>
      </c>
      <c r="X46" s="36">
        <f>(财务基础数据!X84)*目录!$D$6</f>
        <v>0</v>
      </c>
      <c r="Y46" s="36">
        <f>(财务基础数据!Y84)*目录!$D$6</f>
        <v>0</v>
      </c>
      <c r="Z46" s="36">
        <f>(财务基础数据!Z84)*目录!$D$6</f>
        <v>0</v>
      </c>
      <c r="AA46" s="36">
        <f>IF(ISERROR(W46+利润表!AA27),"0",W46+利润表!AA27)</f>
        <v>0</v>
      </c>
      <c r="AB46" s="36">
        <f>IF(ISERROR(AA46+利润表!AB27),"0",AA46+利润表!AB27)</f>
        <v>0</v>
      </c>
      <c r="AC46" s="36">
        <f>IF(ISERROR(AB46+利润表!AC27),"0",AB46+利润表!AC27)</f>
        <v>0</v>
      </c>
      <c r="AD46" s="36">
        <f>IF(ISERROR(AC46+利润表!AD27),"0",AC46+利润表!AD27)</f>
        <v>0</v>
      </c>
      <c r="AE46" s="36">
        <f>IF(ISERROR(AD46+利润表!AE27),"0",AD46+利润表!AE27)</f>
        <v>0</v>
      </c>
      <c r="AF46" s="36">
        <f>IF(ISERROR(AE46+利润表!AF27),"0",AE46+利润表!AF27)</f>
        <v>0</v>
      </c>
      <c r="AG46" s="36">
        <f>IF(ISERROR(AF46+利润表!AG27),"0",AF46+利润表!AG27)</f>
        <v>0</v>
      </c>
      <c r="AH46" s="36">
        <f>IF(ISERROR(AG46+利润表!AH27),"0",AG46+利润表!AH27)</f>
        <v>0</v>
      </c>
      <c r="AI46" s="36">
        <f>IF(ISERROR(AH46+利润表!AI27),"0",AH46+利润表!AI27)</f>
        <v>0</v>
      </c>
      <c r="AJ46" s="36">
        <f>IF(ISERROR(AI46+利润表!AJ27),"0",AI46+利润表!AJ27)</f>
        <v>0</v>
      </c>
    </row>
    <row r="47" spans="2:36" ht="13.5" customHeight="1">
      <c r="B47" s="17" t="s">
        <v>136</v>
      </c>
      <c r="C47" s="195"/>
      <c r="D47" s="36">
        <f t="shared" ref="D47:Z47" si="12">D45+D46</f>
        <v>0</v>
      </c>
      <c r="E47" s="36">
        <f t="shared" si="12"/>
        <v>0</v>
      </c>
      <c r="F47" s="36">
        <f t="shared" si="12"/>
        <v>0</v>
      </c>
      <c r="G47" s="36">
        <f t="shared" si="12"/>
        <v>0</v>
      </c>
      <c r="H47" s="36">
        <f t="shared" si="12"/>
        <v>0</v>
      </c>
      <c r="I47" s="36">
        <f t="shared" si="12"/>
        <v>0</v>
      </c>
      <c r="J47" s="36">
        <f t="shared" si="12"/>
        <v>0</v>
      </c>
      <c r="K47" s="36">
        <f t="shared" si="12"/>
        <v>0</v>
      </c>
      <c r="L47" s="36">
        <f t="shared" si="12"/>
        <v>0</v>
      </c>
      <c r="M47" s="36">
        <f t="shared" si="12"/>
        <v>0</v>
      </c>
      <c r="N47" s="36">
        <f t="shared" si="12"/>
        <v>0</v>
      </c>
      <c r="O47" s="36">
        <f t="shared" si="12"/>
        <v>0</v>
      </c>
      <c r="P47" s="36">
        <f t="shared" si="12"/>
        <v>0</v>
      </c>
      <c r="Q47" s="36">
        <f t="shared" si="12"/>
        <v>0</v>
      </c>
      <c r="R47" s="36">
        <f t="shared" si="12"/>
        <v>0</v>
      </c>
      <c r="S47" s="36">
        <f t="shared" si="12"/>
        <v>0</v>
      </c>
      <c r="T47" s="36">
        <f t="shared" si="12"/>
        <v>0</v>
      </c>
      <c r="U47" s="36">
        <f t="shared" si="12"/>
        <v>0</v>
      </c>
      <c r="V47" s="36">
        <f t="shared" si="12"/>
        <v>0</v>
      </c>
      <c r="W47" s="36">
        <f t="shared" si="12"/>
        <v>0</v>
      </c>
      <c r="X47" s="36">
        <f t="shared" si="12"/>
        <v>0</v>
      </c>
      <c r="Y47" s="36">
        <f t="shared" si="12"/>
        <v>0</v>
      </c>
      <c r="Z47" s="36">
        <f t="shared" si="12"/>
        <v>0</v>
      </c>
      <c r="AA47" s="36">
        <f t="shared" ref="AA47:AJ47" si="13">IF(ISERROR(AA45+AA46),"0",AA45+AA46)</f>
        <v>0</v>
      </c>
      <c r="AB47" s="36">
        <f t="shared" si="13"/>
        <v>0</v>
      </c>
      <c r="AC47" s="36">
        <f t="shared" si="13"/>
        <v>0</v>
      </c>
      <c r="AD47" s="36">
        <f t="shared" si="13"/>
        <v>0</v>
      </c>
      <c r="AE47" s="36">
        <f t="shared" si="13"/>
        <v>0</v>
      </c>
      <c r="AF47" s="36">
        <f t="shared" si="13"/>
        <v>0</v>
      </c>
      <c r="AG47" s="36">
        <f t="shared" si="13"/>
        <v>0</v>
      </c>
      <c r="AH47" s="36">
        <f t="shared" si="13"/>
        <v>0</v>
      </c>
      <c r="AI47" s="36">
        <f t="shared" si="13"/>
        <v>0</v>
      </c>
      <c r="AJ47" s="36">
        <f t="shared" si="13"/>
        <v>0</v>
      </c>
    </row>
    <row r="48" spans="2:36" ht="15.75">
      <c r="B48" s="199" t="s">
        <v>277</v>
      </c>
      <c r="C48" s="200"/>
      <c r="D48" s="43">
        <f t="shared" ref="D48:Z48" si="14">D38+D47</f>
        <v>0</v>
      </c>
      <c r="E48" s="43">
        <f t="shared" si="14"/>
        <v>0</v>
      </c>
      <c r="F48" s="43">
        <f t="shared" si="14"/>
        <v>0</v>
      </c>
      <c r="G48" s="43">
        <f t="shared" si="14"/>
        <v>0</v>
      </c>
      <c r="H48" s="43">
        <f t="shared" si="14"/>
        <v>0</v>
      </c>
      <c r="I48" s="43">
        <f t="shared" si="14"/>
        <v>0</v>
      </c>
      <c r="J48" s="43">
        <f t="shared" si="14"/>
        <v>0</v>
      </c>
      <c r="K48" s="43">
        <f t="shared" si="14"/>
        <v>0</v>
      </c>
      <c r="L48" s="43">
        <f t="shared" si="14"/>
        <v>0</v>
      </c>
      <c r="M48" s="43">
        <f t="shared" si="14"/>
        <v>0</v>
      </c>
      <c r="N48" s="43">
        <f t="shared" si="14"/>
        <v>0</v>
      </c>
      <c r="O48" s="43">
        <f t="shared" si="14"/>
        <v>0</v>
      </c>
      <c r="P48" s="43">
        <f t="shared" si="14"/>
        <v>0</v>
      </c>
      <c r="Q48" s="43">
        <f t="shared" si="14"/>
        <v>0</v>
      </c>
      <c r="R48" s="43">
        <f t="shared" si="14"/>
        <v>0</v>
      </c>
      <c r="S48" s="43">
        <f t="shared" si="14"/>
        <v>0</v>
      </c>
      <c r="T48" s="43">
        <f t="shared" si="14"/>
        <v>0</v>
      </c>
      <c r="U48" s="43">
        <f t="shared" si="14"/>
        <v>0</v>
      </c>
      <c r="V48" s="43">
        <f t="shared" si="14"/>
        <v>0</v>
      </c>
      <c r="W48" s="43">
        <f t="shared" si="14"/>
        <v>0</v>
      </c>
      <c r="X48" s="43">
        <f t="shared" si="14"/>
        <v>0</v>
      </c>
      <c r="Y48" s="43">
        <f t="shared" si="14"/>
        <v>0</v>
      </c>
      <c r="Z48" s="43">
        <f t="shared" si="14"/>
        <v>0</v>
      </c>
      <c r="AA48" s="43">
        <f t="shared" ref="AA48:AJ48" si="15">IF(ISERROR(AA38+AA47),"0",AA38+AA47)</f>
        <v>0</v>
      </c>
      <c r="AB48" s="43">
        <f t="shared" si="15"/>
        <v>0</v>
      </c>
      <c r="AC48" s="43">
        <f t="shared" si="15"/>
        <v>0</v>
      </c>
      <c r="AD48" s="43">
        <f t="shared" si="15"/>
        <v>0</v>
      </c>
      <c r="AE48" s="43">
        <f t="shared" si="15"/>
        <v>0</v>
      </c>
      <c r="AF48" s="43">
        <f t="shared" si="15"/>
        <v>0</v>
      </c>
      <c r="AG48" s="43">
        <f t="shared" si="15"/>
        <v>0</v>
      </c>
      <c r="AH48" s="43">
        <f t="shared" si="15"/>
        <v>0</v>
      </c>
      <c r="AI48" s="43">
        <f t="shared" si="15"/>
        <v>0</v>
      </c>
      <c r="AJ48" s="43">
        <f t="shared" si="15"/>
        <v>0</v>
      </c>
    </row>
    <row r="49" spans="2:37">
      <c r="B49" s="201" t="s">
        <v>278</v>
      </c>
      <c r="C49" s="195"/>
      <c r="D49" s="204">
        <f>财务基础数据!D73*目录!$D$6-资产负债表!D38</f>
        <v>0</v>
      </c>
      <c r="E49" s="204">
        <f>财务基础数据!E73*目录!$D$6-资产负债表!E38</f>
        <v>0</v>
      </c>
      <c r="F49" s="204">
        <f>财务基础数据!F73*目录!$D$6-资产负债表!F38</f>
        <v>0</v>
      </c>
      <c r="G49" s="204">
        <f>财务基础数据!G73*目录!$D$6-资产负债表!G38</f>
        <v>0</v>
      </c>
      <c r="H49" s="204">
        <f>财务基础数据!H73*目录!$D$6-资产负债表!H38</f>
        <v>0</v>
      </c>
      <c r="I49" s="204">
        <f>财务基础数据!I73*目录!$D$6-资产负债表!I38</f>
        <v>0</v>
      </c>
      <c r="J49" s="204">
        <f>财务基础数据!J73*目录!$D$6-资产负债表!J38</f>
        <v>0</v>
      </c>
      <c r="K49" s="204">
        <f>财务基础数据!K73*目录!$D$6-资产负债表!K38</f>
        <v>0</v>
      </c>
      <c r="L49" s="204">
        <f>财务基础数据!L73*目录!$D$6-资产负债表!L38</f>
        <v>0</v>
      </c>
      <c r="M49" s="204">
        <f>财务基础数据!M73*目录!$D$6-资产负债表!M38</f>
        <v>0</v>
      </c>
      <c r="N49" s="204">
        <f>财务基础数据!N73*目录!$D$6-资产负债表!N38</f>
        <v>0</v>
      </c>
      <c r="O49" s="204">
        <f>财务基础数据!O73*目录!$D$6-资产负债表!O38</f>
        <v>0</v>
      </c>
      <c r="P49" s="204">
        <f>财务基础数据!P73*目录!$D$6-资产负债表!P38</f>
        <v>0</v>
      </c>
      <c r="Q49" s="204">
        <f>财务基础数据!Q73*目录!$D$6-资产负债表!Q38</f>
        <v>0</v>
      </c>
      <c r="R49" s="204">
        <f>财务基础数据!R73*目录!$D$6-资产负债表!R38</f>
        <v>0</v>
      </c>
      <c r="S49" s="204">
        <f>财务基础数据!S73*目录!$D$6-资产负债表!S38</f>
        <v>0</v>
      </c>
      <c r="T49" s="204">
        <f>财务基础数据!T73*目录!$D$6-资产负债表!T38</f>
        <v>0</v>
      </c>
      <c r="U49" s="204">
        <f>财务基础数据!U73*目录!$D$6-资产负债表!U38</f>
        <v>0</v>
      </c>
      <c r="V49" s="204">
        <f>财务基础数据!V73*目录!$D$6-资产负债表!V38</f>
        <v>0</v>
      </c>
      <c r="W49" s="204">
        <f>财务基础数据!W73*目录!$D$6-资产负债表!W38</f>
        <v>0</v>
      </c>
      <c r="X49" s="204">
        <f>财务基础数据!X73*目录!$D$6-资产负债表!X38</f>
        <v>0</v>
      </c>
      <c r="Y49" s="204">
        <f>财务基础数据!Y73*目录!$D$6-资产负债表!Y38</f>
        <v>0</v>
      </c>
      <c r="Z49" s="204">
        <f>财务基础数据!Z73*目录!$D$6-资产负债表!Z38</f>
        <v>0</v>
      </c>
      <c r="AA49" s="204"/>
      <c r="AB49" s="204"/>
      <c r="AC49" s="204"/>
      <c r="AD49" s="204"/>
      <c r="AE49" s="204"/>
      <c r="AF49" s="204"/>
      <c r="AG49" s="204"/>
      <c r="AH49" s="204"/>
      <c r="AI49" s="204"/>
      <c r="AJ49" s="204"/>
    </row>
    <row r="50" spans="2:37">
      <c r="B50" s="201" t="s">
        <v>279</v>
      </c>
      <c r="C50" s="195"/>
      <c r="D50" s="204">
        <f>财务基础数据!D85*目录!$D$6-资产负债表!D47</f>
        <v>0</v>
      </c>
      <c r="E50" s="204">
        <f>财务基础数据!E85*目录!$D$6-资产负债表!E47</f>
        <v>0</v>
      </c>
      <c r="F50" s="204">
        <f>财务基础数据!F85*目录!$D$6-资产负债表!F47</f>
        <v>0</v>
      </c>
      <c r="G50" s="204">
        <f>财务基础数据!G85*目录!$D$6-资产负债表!G47</f>
        <v>0</v>
      </c>
      <c r="H50" s="204">
        <f>财务基础数据!H85*目录!$D$6-资产负债表!H47</f>
        <v>0</v>
      </c>
      <c r="I50" s="204">
        <f>财务基础数据!I85*目录!$D$6-资产负债表!I47</f>
        <v>0</v>
      </c>
      <c r="J50" s="204">
        <f>财务基础数据!J85*目录!$D$6-资产负债表!J47</f>
        <v>0</v>
      </c>
      <c r="K50" s="204">
        <f>财务基础数据!K85*目录!$D$6-资产负债表!K47</f>
        <v>0</v>
      </c>
      <c r="L50" s="204">
        <f>财务基础数据!L85*目录!$D$6-资产负债表!L47</f>
        <v>0</v>
      </c>
      <c r="M50" s="204">
        <f>财务基础数据!M85*目录!$D$6-资产负债表!M47</f>
        <v>0</v>
      </c>
      <c r="N50" s="204">
        <f>财务基础数据!N85*目录!$D$6-资产负债表!N47</f>
        <v>0</v>
      </c>
      <c r="O50" s="204">
        <f>财务基础数据!O85*目录!$D$6-资产负债表!O47</f>
        <v>0</v>
      </c>
      <c r="P50" s="204">
        <f>财务基础数据!P85*目录!$D$6-资产负债表!P47</f>
        <v>0</v>
      </c>
      <c r="Q50" s="204">
        <f>财务基础数据!Q85*目录!$D$6-资产负债表!Q47</f>
        <v>0</v>
      </c>
      <c r="R50" s="204">
        <f>财务基础数据!R85*目录!$D$6-资产负债表!R47</f>
        <v>0</v>
      </c>
      <c r="S50" s="204">
        <f>财务基础数据!S85*目录!$D$6-资产负债表!S47</f>
        <v>0</v>
      </c>
      <c r="T50" s="204">
        <f>财务基础数据!T85*目录!$D$6-资产负债表!T47</f>
        <v>0</v>
      </c>
      <c r="U50" s="204">
        <f>财务基础数据!U85*目录!$D$6-资产负债表!U47</f>
        <v>0</v>
      </c>
      <c r="V50" s="204">
        <f>财务基础数据!V85*目录!$D$6-资产负债表!V47</f>
        <v>0</v>
      </c>
      <c r="W50" s="204">
        <f>财务基础数据!W85*目录!$D$6-资产负债表!W47</f>
        <v>0</v>
      </c>
      <c r="X50" s="204">
        <f>财务基础数据!X85*目录!$D$6-资产负债表!X47</f>
        <v>0</v>
      </c>
      <c r="Y50" s="204">
        <f>财务基础数据!Y85*目录!$D$6-资产负债表!Y47</f>
        <v>0</v>
      </c>
      <c r="Z50" s="204">
        <f>财务基础数据!Z85*目录!$D$6-资产负债表!Z47</f>
        <v>0</v>
      </c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spans="2:37">
      <c r="B51" s="201" t="s">
        <v>280</v>
      </c>
      <c r="C51" s="195"/>
      <c r="D51" s="204">
        <f t="shared" ref="D51:AJ51" si="16">D24-D48</f>
        <v>0</v>
      </c>
      <c r="E51" s="204">
        <f t="shared" si="16"/>
        <v>0</v>
      </c>
      <c r="F51" s="204">
        <f t="shared" si="16"/>
        <v>0</v>
      </c>
      <c r="G51" s="204">
        <f t="shared" si="16"/>
        <v>0</v>
      </c>
      <c r="H51" s="204">
        <f t="shared" si="16"/>
        <v>0</v>
      </c>
      <c r="I51" s="204">
        <f t="shared" si="16"/>
        <v>0</v>
      </c>
      <c r="J51" s="204">
        <f t="shared" si="16"/>
        <v>0</v>
      </c>
      <c r="K51" s="204">
        <f t="shared" si="16"/>
        <v>0</v>
      </c>
      <c r="L51" s="204">
        <f t="shared" si="16"/>
        <v>0</v>
      </c>
      <c r="M51" s="204">
        <f t="shared" si="16"/>
        <v>0</v>
      </c>
      <c r="N51" s="204">
        <f t="shared" si="16"/>
        <v>0</v>
      </c>
      <c r="O51" s="204">
        <f t="shared" si="16"/>
        <v>0</v>
      </c>
      <c r="P51" s="204">
        <f t="shared" si="16"/>
        <v>0</v>
      </c>
      <c r="Q51" s="204">
        <f t="shared" si="16"/>
        <v>0</v>
      </c>
      <c r="R51" s="204">
        <f t="shared" si="16"/>
        <v>0</v>
      </c>
      <c r="S51" s="204">
        <f t="shared" si="16"/>
        <v>0</v>
      </c>
      <c r="T51" s="204">
        <f t="shared" si="16"/>
        <v>0</v>
      </c>
      <c r="U51" s="204">
        <f t="shared" si="16"/>
        <v>0</v>
      </c>
      <c r="V51" s="204">
        <f t="shared" si="16"/>
        <v>0</v>
      </c>
      <c r="W51" s="204">
        <f t="shared" si="16"/>
        <v>0</v>
      </c>
      <c r="X51" s="204">
        <f t="shared" si="16"/>
        <v>0</v>
      </c>
      <c r="Y51" s="204">
        <f t="shared" si="16"/>
        <v>0</v>
      </c>
      <c r="Z51" s="204">
        <f t="shared" si="16"/>
        <v>0</v>
      </c>
      <c r="AA51" s="204">
        <f t="shared" si="16"/>
        <v>0</v>
      </c>
      <c r="AB51" s="204">
        <f t="shared" si="16"/>
        <v>0</v>
      </c>
      <c r="AC51" s="204">
        <f t="shared" si="16"/>
        <v>0</v>
      </c>
      <c r="AD51" s="204">
        <f t="shared" si="16"/>
        <v>0</v>
      </c>
      <c r="AE51" s="204">
        <f t="shared" si="16"/>
        <v>0</v>
      </c>
      <c r="AF51" s="204">
        <f t="shared" si="16"/>
        <v>0</v>
      </c>
      <c r="AG51" s="204">
        <f t="shared" si="16"/>
        <v>0</v>
      </c>
      <c r="AH51" s="204">
        <f t="shared" si="16"/>
        <v>0</v>
      </c>
      <c r="AI51" s="204">
        <f t="shared" si="16"/>
        <v>0</v>
      </c>
      <c r="AJ51" s="204">
        <f t="shared" si="16"/>
        <v>0</v>
      </c>
    </row>
    <row r="52" spans="2:37">
      <c r="C52" s="195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spans="2:37">
      <c r="B53" s="205" t="s">
        <v>281</v>
      </c>
      <c r="C53" s="196"/>
      <c r="D53" s="36">
        <f t="shared" ref="D53:AJ53" si="17">D13-D6-D7-D33+D30+D31</f>
        <v>0</v>
      </c>
      <c r="E53" s="36">
        <f t="shared" si="17"/>
        <v>0</v>
      </c>
      <c r="F53" s="36">
        <f t="shared" si="17"/>
        <v>0</v>
      </c>
      <c r="G53" s="36">
        <f t="shared" si="17"/>
        <v>0</v>
      </c>
      <c r="H53" s="36">
        <f t="shared" si="17"/>
        <v>0</v>
      </c>
      <c r="I53" s="36">
        <f t="shared" si="17"/>
        <v>0</v>
      </c>
      <c r="J53" s="36">
        <f t="shared" si="17"/>
        <v>0</v>
      </c>
      <c r="K53" s="36">
        <f t="shared" si="17"/>
        <v>0</v>
      </c>
      <c r="L53" s="36">
        <f t="shared" si="17"/>
        <v>0</v>
      </c>
      <c r="M53" s="36">
        <f t="shared" si="17"/>
        <v>0</v>
      </c>
      <c r="N53" s="36">
        <f t="shared" si="17"/>
        <v>0</v>
      </c>
      <c r="O53" s="36">
        <f t="shared" si="17"/>
        <v>0</v>
      </c>
      <c r="P53" s="36">
        <f t="shared" si="17"/>
        <v>0</v>
      </c>
      <c r="Q53" s="36">
        <f t="shared" si="17"/>
        <v>0</v>
      </c>
      <c r="R53" s="36">
        <f t="shared" si="17"/>
        <v>0</v>
      </c>
      <c r="S53" s="36">
        <f t="shared" si="17"/>
        <v>0</v>
      </c>
      <c r="T53" s="36">
        <f t="shared" si="17"/>
        <v>0</v>
      </c>
      <c r="U53" s="36">
        <f t="shared" si="17"/>
        <v>0</v>
      </c>
      <c r="V53" s="36">
        <f t="shared" si="17"/>
        <v>0</v>
      </c>
      <c r="W53" s="36">
        <f t="shared" si="17"/>
        <v>0</v>
      </c>
      <c r="X53" s="36">
        <f t="shared" si="17"/>
        <v>0</v>
      </c>
      <c r="Y53" s="36">
        <f t="shared" si="17"/>
        <v>0</v>
      </c>
      <c r="Z53" s="36">
        <f t="shared" si="17"/>
        <v>0</v>
      </c>
      <c r="AA53" s="36">
        <f t="shared" si="17"/>
        <v>0</v>
      </c>
      <c r="AB53" s="36">
        <f t="shared" si="17"/>
        <v>0</v>
      </c>
      <c r="AC53" s="36">
        <f t="shared" si="17"/>
        <v>0</v>
      </c>
      <c r="AD53" s="36">
        <f t="shared" si="17"/>
        <v>0</v>
      </c>
      <c r="AE53" s="36">
        <f t="shared" si="17"/>
        <v>0</v>
      </c>
      <c r="AF53" s="36">
        <f t="shared" si="17"/>
        <v>0</v>
      </c>
      <c r="AG53" s="36">
        <f t="shared" si="17"/>
        <v>0</v>
      </c>
      <c r="AH53" s="36">
        <f t="shared" si="17"/>
        <v>0</v>
      </c>
      <c r="AI53" s="36">
        <f t="shared" si="17"/>
        <v>0</v>
      </c>
      <c r="AJ53" s="36">
        <f t="shared" si="17"/>
        <v>0</v>
      </c>
    </row>
    <row r="54" spans="2:37">
      <c r="B54" s="205" t="s">
        <v>64</v>
      </c>
      <c r="C54" s="195"/>
      <c r="D54" s="206" t="str">
        <f t="shared" ref="D54:AJ54" si="18">IF(ISERROR(D38/D24),"—",D38/D24)</f>
        <v>—</v>
      </c>
      <c r="E54" s="206" t="str">
        <f t="shared" si="18"/>
        <v>—</v>
      </c>
      <c r="F54" s="206" t="str">
        <f t="shared" si="18"/>
        <v>—</v>
      </c>
      <c r="G54" s="206" t="str">
        <f t="shared" si="18"/>
        <v>—</v>
      </c>
      <c r="H54" s="206" t="str">
        <f t="shared" si="18"/>
        <v>—</v>
      </c>
      <c r="I54" s="206" t="str">
        <f t="shared" si="18"/>
        <v>—</v>
      </c>
      <c r="J54" s="206" t="str">
        <f t="shared" si="18"/>
        <v>—</v>
      </c>
      <c r="K54" s="206" t="str">
        <f t="shared" si="18"/>
        <v>—</v>
      </c>
      <c r="L54" s="206" t="str">
        <f t="shared" si="18"/>
        <v>—</v>
      </c>
      <c r="M54" s="206" t="str">
        <f t="shared" si="18"/>
        <v>—</v>
      </c>
      <c r="N54" s="206" t="str">
        <f t="shared" si="18"/>
        <v>—</v>
      </c>
      <c r="O54" s="206" t="str">
        <f t="shared" si="18"/>
        <v>—</v>
      </c>
      <c r="P54" s="206" t="str">
        <f t="shared" si="18"/>
        <v>—</v>
      </c>
      <c r="Q54" s="206" t="str">
        <f t="shared" si="18"/>
        <v>—</v>
      </c>
      <c r="R54" s="206" t="str">
        <f t="shared" si="18"/>
        <v>—</v>
      </c>
      <c r="S54" s="206" t="str">
        <f t="shared" si="18"/>
        <v>—</v>
      </c>
      <c r="T54" s="206" t="str">
        <f t="shared" si="18"/>
        <v>—</v>
      </c>
      <c r="U54" s="206" t="str">
        <f t="shared" si="18"/>
        <v>—</v>
      </c>
      <c r="V54" s="206" t="str">
        <f t="shared" si="18"/>
        <v>—</v>
      </c>
      <c r="W54" s="206" t="str">
        <f t="shared" si="18"/>
        <v>—</v>
      </c>
      <c r="X54" s="206" t="str">
        <f t="shared" si="18"/>
        <v>—</v>
      </c>
      <c r="Y54" s="206" t="str">
        <f t="shared" si="18"/>
        <v>—</v>
      </c>
      <c r="Z54" s="206" t="str">
        <f t="shared" si="18"/>
        <v>—</v>
      </c>
      <c r="AA54" s="206" t="str">
        <f t="shared" si="18"/>
        <v>—</v>
      </c>
      <c r="AB54" s="206" t="str">
        <f t="shared" si="18"/>
        <v>—</v>
      </c>
      <c r="AC54" s="206" t="str">
        <f t="shared" si="18"/>
        <v>—</v>
      </c>
      <c r="AD54" s="206" t="str">
        <f t="shared" si="18"/>
        <v>—</v>
      </c>
      <c r="AE54" s="206" t="str">
        <f t="shared" si="18"/>
        <v>—</v>
      </c>
      <c r="AF54" s="206" t="str">
        <f t="shared" si="18"/>
        <v>—</v>
      </c>
      <c r="AG54" s="206" t="str">
        <f t="shared" si="18"/>
        <v>—</v>
      </c>
      <c r="AH54" s="206" t="str">
        <f t="shared" si="18"/>
        <v>—</v>
      </c>
      <c r="AI54" s="206" t="str">
        <f t="shared" si="18"/>
        <v>—</v>
      </c>
      <c r="AJ54" s="206" t="str">
        <f t="shared" si="18"/>
        <v>—</v>
      </c>
    </row>
    <row r="55" spans="2:37">
      <c r="B55" s="205" t="s">
        <v>282</v>
      </c>
      <c r="C55" s="195"/>
      <c r="D55" s="207">
        <f t="shared" ref="D55:AJ55" si="19">D31+D35</f>
        <v>0</v>
      </c>
      <c r="E55" s="207">
        <f t="shared" si="19"/>
        <v>0</v>
      </c>
      <c r="F55" s="207">
        <f t="shared" si="19"/>
        <v>0</v>
      </c>
      <c r="G55" s="207">
        <f t="shared" si="19"/>
        <v>0</v>
      </c>
      <c r="H55" s="207">
        <f t="shared" si="19"/>
        <v>0</v>
      </c>
      <c r="I55" s="207">
        <f t="shared" si="19"/>
        <v>0</v>
      </c>
      <c r="J55" s="207">
        <f t="shared" si="19"/>
        <v>0</v>
      </c>
      <c r="K55" s="207">
        <f t="shared" si="19"/>
        <v>0</v>
      </c>
      <c r="L55" s="207">
        <f t="shared" si="19"/>
        <v>0</v>
      </c>
      <c r="M55" s="207">
        <f t="shared" si="19"/>
        <v>0</v>
      </c>
      <c r="N55" s="207">
        <f t="shared" si="19"/>
        <v>0</v>
      </c>
      <c r="O55" s="207">
        <f t="shared" si="19"/>
        <v>0</v>
      </c>
      <c r="P55" s="207">
        <f t="shared" si="19"/>
        <v>0</v>
      </c>
      <c r="Q55" s="207">
        <f t="shared" si="19"/>
        <v>0</v>
      </c>
      <c r="R55" s="207">
        <f t="shared" si="19"/>
        <v>0</v>
      </c>
      <c r="S55" s="207">
        <f t="shared" si="19"/>
        <v>0</v>
      </c>
      <c r="T55" s="207">
        <f t="shared" si="19"/>
        <v>0</v>
      </c>
      <c r="U55" s="207">
        <f t="shared" si="19"/>
        <v>0</v>
      </c>
      <c r="V55" s="207">
        <f t="shared" si="19"/>
        <v>0</v>
      </c>
      <c r="W55" s="207">
        <f t="shared" si="19"/>
        <v>0</v>
      </c>
      <c r="X55" s="207">
        <f t="shared" si="19"/>
        <v>0</v>
      </c>
      <c r="Y55" s="207">
        <f t="shared" si="19"/>
        <v>0</v>
      </c>
      <c r="Z55" s="207">
        <f t="shared" si="19"/>
        <v>0</v>
      </c>
      <c r="AA55" s="207">
        <f t="shared" si="19"/>
        <v>0</v>
      </c>
      <c r="AB55" s="207">
        <f t="shared" si="19"/>
        <v>0</v>
      </c>
      <c r="AC55" s="207">
        <f t="shared" si="19"/>
        <v>0</v>
      </c>
      <c r="AD55" s="207">
        <f t="shared" si="19"/>
        <v>0</v>
      </c>
      <c r="AE55" s="207">
        <f t="shared" si="19"/>
        <v>0</v>
      </c>
      <c r="AF55" s="207">
        <f t="shared" si="19"/>
        <v>0</v>
      </c>
      <c r="AG55" s="207">
        <f t="shared" si="19"/>
        <v>0</v>
      </c>
      <c r="AH55" s="207">
        <f t="shared" si="19"/>
        <v>0</v>
      </c>
      <c r="AI55" s="207">
        <f t="shared" si="19"/>
        <v>0</v>
      </c>
      <c r="AJ55" s="207">
        <f t="shared" si="19"/>
        <v>0</v>
      </c>
    </row>
    <row r="56" spans="2:37">
      <c r="B56" s="205" t="s">
        <v>283</v>
      </c>
      <c r="C56" s="195"/>
      <c r="D56" s="206" t="str">
        <f t="shared" ref="D56:AJ56" si="20">IF(ISERROR(D55/D38),"—",D55/D38)</f>
        <v>—</v>
      </c>
      <c r="E56" s="206" t="str">
        <f t="shared" si="20"/>
        <v>—</v>
      </c>
      <c r="F56" s="206" t="str">
        <f t="shared" si="20"/>
        <v>—</v>
      </c>
      <c r="G56" s="206" t="str">
        <f t="shared" si="20"/>
        <v>—</v>
      </c>
      <c r="H56" s="206" t="str">
        <f t="shared" si="20"/>
        <v>—</v>
      </c>
      <c r="I56" s="206" t="str">
        <f t="shared" si="20"/>
        <v>—</v>
      </c>
      <c r="J56" s="206" t="str">
        <f t="shared" si="20"/>
        <v>—</v>
      </c>
      <c r="K56" s="206" t="str">
        <f t="shared" si="20"/>
        <v>—</v>
      </c>
      <c r="L56" s="206" t="str">
        <f t="shared" si="20"/>
        <v>—</v>
      </c>
      <c r="M56" s="206" t="str">
        <f t="shared" si="20"/>
        <v>—</v>
      </c>
      <c r="N56" s="206" t="str">
        <f t="shared" si="20"/>
        <v>—</v>
      </c>
      <c r="O56" s="206" t="str">
        <f t="shared" si="20"/>
        <v>—</v>
      </c>
      <c r="P56" s="206" t="str">
        <f t="shared" si="20"/>
        <v>—</v>
      </c>
      <c r="Q56" s="206" t="str">
        <f t="shared" si="20"/>
        <v>—</v>
      </c>
      <c r="R56" s="206" t="str">
        <f t="shared" si="20"/>
        <v>—</v>
      </c>
      <c r="S56" s="206" t="str">
        <f t="shared" si="20"/>
        <v>—</v>
      </c>
      <c r="T56" s="206" t="str">
        <f t="shared" si="20"/>
        <v>—</v>
      </c>
      <c r="U56" s="206" t="str">
        <f t="shared" si="20"/>
        <v>—</v>
      </c>
      <c r="V56" s="206" t="str">
        <f t="shared" si="20"/>
        <v>—</v>
      </c>
      <c r="W56" s="206" t="str">
        <f t="shared" si="20"/>
        <v>—</v>
      </c>
      <c r="X56" s="206" t="str">
        <f t="shared" si="20"/>
        <v>—</v>
      </c>
      <c r="Y56" s="206" t="str">
        <f t="shared" si="20"/>
        <v>—</v>
      </c>
      <c r="Z56" s="206" t="str">
        <f t="shared" si="20"/>
        <v>—</v>
      </c>
      <c r="AA56" s="206" t="str">
        <f t="shared" si="20"/>
        <v>—</v>
      </c>
      <c r="AB56" s="206" t="str">
        <f t="shared" si="20"/>
        <v>—</v>
      </c>
      <c r="AC56" s="206" t="str">
        <f t="shared" si="20"/>
        <v>—</v>
      </c>
      <c r="AD56" s="206" t="str">
        <f t="shared" si="20"/>
        <v>—</v>
      </c>
      <c r="AE56" s="206" t="str">
        <f t="shared" si="20"/>
        <v>—</v>
      </c>
      <c r="AF56" s="206" t="str">
        <f t="shared" si="20"/>
        <v>—</v>
      </c>
      <c r="AG56" s="206" t="str">
        <f t="shared" si="20"/>
        <v>—</v>
      </c>
      <c r="AH56" s="206" t="str">
        <f t="shared" si="20"/>
        <v>—</v>
      </c>
      <c r="AI56" s="206" t="str">
        <f t="shared" si="20"/>
        <v>—</v>
      </c>
      <c r="AJ56" s="206" t="str">
        <f t="shared" si="20"/>
        <v>—</v>
      </c>
    </row>
    <row r="57" spans="2:37">
      <c r="B57" s="205" t="s">
        <v>284</v>
      </c>
      <c r="C57" s="195"/>
      <c r="D57" s="207">
        <f t="shared" ref="D57:AJ57" si="21">D6+D7+D16+D17+D18+D19</f>
        <v>0</v>
      </c>
      <c r="E57" s="207">
        <f t="shared" si="21"/>
        <v>0</v>
      </c>
      <c r="F57" s="207">
        <f t="shared" si="21"/>
        <v>0</v>
      </c>
      <c r="G57" s="207">
        <f t="shared" si="21"/>
        <v>0</v>
      </c>
      <c r="H57" s="207">
        <f t="shared" si="21"/>
        <v>0</v>
      </c>
      <c r="I57" s="207">
        <f t="shared" si="21"/>
        <v>0</v>
      </c>
      <c r="J57" s="207">
        <f t="shared" si="21"/>
        <v>0</v>
      </c>
      <c r="K57" s="207">
        <f t="shared" si="21"/>
        <v>0</v>
      </c>
      <c r="L57" s="207">
        <f t="shared" si="21"/>
        <v>0</v>
      </c>
      <c r="M57" s="207">
        <f t="shared" si="21"/>
        <v>0</v>
      </c>
      <c r="N57" s="207">
        <f t="shared" si="21"/>
        <v>0</v>
      </c>
      <c r="O57" s="207">
        <f t="shared" si="21"/>
        <v>0</v>
      </c>
      <c r="P57" s="207">
        <f t="shared" si="21"/>
        <v>0</v>
      </c>
      <c r="Q57" s="207">
        <f t="shared" si="21"/>
        <v>0</v>
      </c>
      <c r="R57" s="207">
        <f t="shared" si="21"/>
        <v>0</v>
      </c>
      <c r="S57" s="207">
        <f t="shared" si="21"/>
        <v>0</v>
      </c>
      <c r="T57" s="207">
        <f t="shared" si="21"/>
        <v>0</v>
      </c>
      <c r="U57" s="207">
        <f t="shared" si="21"/>
        <v>0</v>
      </c>
      <c r="V57" s="207">
        <f t="shared" si="21"/>
        <v>0</v>
      </c>
      <c r="W57" s="207">
        <f t="shared" si="21"/>
        <v>0</v>
      </c>
      <c r="X57" s="207">
        <f t="shared" si="21"/>
        <v>0</v>
      </c>
      <c r="Y57" s="207">
        <f t="shared" si="21"/>
        <v>0</v>
      </c>
      <c r="Z57" s="207">
        <f t="shared" si="21"/>
        <v>0</v>
      </c>
      <c r="AA57" s="207">
        <f t="shared" si="21"/>
        <v>0</v>
      </c>
      <c r="AB57" s="207">
        <f t="shared" si="21"/>
        <v>0</v>
      </c>
      <c r="AC57" s="207">
        <f t="shared" si="21"/>
        <v>0</v>
      </c>
      <c r="AD57" s="207">
        <f t="shared" si="21"/>
        <v>0</v>
      </c>
      <c r="AE57" s="207">
        <f t="shared" si="21"/>
        <v>0</v>
      </c>
      <c r="AF57" s="207">
        <f t="shared" si="21"/>
        <v>0</v>
      </c>
      <c r="AG57" s="207">
        <f t="shared" si="21"/>
        <v>0</v>
      </c>
      <c r="AH57" s="207">
        <f t="shared" si="21"/>
        <v>0</v>
      </c>
      <c r="AI57" s="207">
        <f t="shared" si="21"/>
        <v>0</v>
      </c>
      <c r="AJ57" s="207">
        <f t="shared" si="21"/>
        <v>0</v>
      </c>
      <c r="AK57" s="207"/>
    </row>
    <row r="58" spans="2:37">
      <c r="B58" s="208" t="s">
        <v>285</v>
      </c>
      <c r="C58" s="200"/>
      <c r="D58" s="209">
        <f t="shared" ref="D58:AJ58" si="22">D55+D47</f>
        <v>0</v>
      </c>
      <c r="E58" s="209">
        <f t="shared" si="22"/>
        <v>0</v>
      </c>
      <c r="F58" s="209">
        <f t="shared" si="22"/>
        <v>0</v>
      </c>
      <c r="G58" s="209">
        <f t="shared" si="22"/>
        <v>0</v>
      </c>
      <c r="H58" s="209">
        <f t="shared" si="22"/>
        <v>0</v>
      </c>
      <c r="I58" s="209">
        <f t="shared" si="22"/>
        <v>0</v>
      </c>
      <c r="J58" s="209">
        <f t="shared" si="22"/>
        <v>0</v>
      </c>
      <c r="K58" s="209">
        <f t="shared" si="22"/>
        <v>0</v>
      </c>
      <c r="L58" s="209">
        <f t="shared" si="22"/>
        <v>0</v>
      </c>
      <c r="M58" s="209">
        <f t="shared" si="22"/>
        <v>0</v>
      </c>
      <c r="N58" s="209">
        <f t="shared" si="22"/>
        <v>0</v>
      </c>
      <c r="O58" s="209">
        <f t="shared" si="22"/>
        <v>0</v>
      </c>
      <c r="P58" s="209">
        <f t="shared" si="22"/>
        <v>0</v>
      </c>
      <c r="Q58" s="209">
        <f t="shared" si="22"/>
        <v>0</v>
      </c>
      <c r="R58" s="209">
        <f t="shared" si="22"/>
        <v>0</v>
      </c>
      <c r="S58" s="209">
        <f t="shared" si="22"/>
        <v>0</v>
      </c>
      <c r="T58" s="209">
        <f t="shared" si="22"/>
        <v>0</v>
      </c>
      <c r="U58" s="209">
        <f t="shared" si="22"/>
        <v>0</v>
      </c>
      <c r="V58" s="209">
        <f t="shared" si="22"/>
        <v>0</v>
      </c>
      <c r="W58" s="209">
        <f t="shared" si="22"/>
        <v>0</v>
      </c>
      <c r="X58" s="209">
        <f t="shared" si="22"/>
        <v>0</v>
      </c>
      <c r="Y58" s="209">
        <f t="shared" si="22"/>
        <v>0</v>
      </c>
      <c r="Z58" s="209">
        <f t="shared" si="22"/>
        <v>0</v>
      </c>
      <c r="AA58" s="209">
        <f t="shared" si="22"/>
        <v>0</v>
      </c>
      <c r="AB58" s="209">
        <f t="shared" si="22"/>
        <v>0</v>
      </c>
      <c r="AC58" s="209">
        <f t="shared" si="22"/>
        <v>0</v>
      </c>
      <c r="AD58" s="209">
        <f t="shared" si="22"/>
        <v>0</v>
      </c>
      <c r="AE58" s="209">
        <f t="shared" si="22"/>
        <v>0</v>
      </c>
      <c r="AF58" s="209">
        <f t="shared" si="22"/>
        <v>0</v>
      </c>
      <c r="AG58" s="209">
        <f t="shared" si="22"/>
        <v>0</v>
      </c>
      <c r="AH58" s="209">
        <f t="shared" si="22"/>
        <v>0</v>
      </c>
      <c r="AI58" s="209">
        <f t="shared" si="22"/>
        <v>0</v>
      </c>
      <c r="AJ58" s="209">
        <f t="shared" si="22"/>
        <v>0</v>
      </c>
    </row>
    <row r="59" spans="2:37">
      <c r="B59" s="205"/>
      <c r="C59" s="195"/>
      <c r="D59" s="210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  <c r="AA59" s="210"/>
      <c r="AB59" s="210"/>
      <c r="AC59" s="210"/>
      <c r="AD59" s="210"/>
      <c r="AE59" s="210"/>
      <c r="AF59" s="210"/>
      <c r="AG59" s="210"/>
      <c r="AH59" s="210"/>
      <c r="AI59" s="210"/>
      <c r="AJ59" s="210"/>
    </row>
    <row r="60" spans="2:37">
      <c r="C60" s="195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</row>
  </sheetData>
  <phoneticPr fontId="9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5"/>
  <dimension ref="A2:AZ49"/>
  <sheetViews>
    <sheetView zoomScaleNormal="100" workbookViewId="0">
      <pane xSplit="2" ySplit="4" topLeftCell="C5" activePane="bottomRight" state="frozen"/>
      <selection pane="topRight"/>
      <selection pane="bottomLeft"/>
      <selection pane="bottomRight" activeCell="W4" sqref="W4"/>
    </sheetView>
  </sheetViews>
  <sheetFormatPr defaultColWidth="9" defaultRowHeight="15.95" customHeight="1"/>
  <cols>
    <col min="1" max="1" width="2.125" style="42" customWidth="1"/>
    <col min="2" max="2" width="25.125" style="19" customWidth="1"/>
    <col min="3" max="3" width="2.75" style="20" customWidth="1"/>
    <col min="4" max="10" width="14.375" style="20" hidden="1" customWidth="1"/>
    <col min="11" max="11" width="14.375" style="20" customWidth="1"/>
    <col min="12" max="14" width="14.375" style="20" hidden="1" customWidth="1"/>
    <col min="15" max="15" width="14.375" style="20" customWidth="1"/>
    <col min="16" max="18" width="14.375" style="20" hidden="1" customWidth="1"/>
    <col min="19" max="19" width="14.375" style="20" customWidth="1"/>
    <col min="20" max="22" width="14.375" style="20" hidden="1" customWidth="1"/>
    <col min="23" max="23" width="14.375" style="20" customWidth="1"/>
    <col min="24" max="26" width="14.375" style="20" hidden="1" customWidth="1"/>
    <col min="27" max="29" width="14.375" style="20" customWidth="1"/>
    <col min="30" max="36" width="14.375" style="20" hidden="1" customWidth="1"/>
    <col min="37" max="37" width="14.375" style="20" customWidth="1"/>
    <col min="38" max="41" width="15.625" style="132" customWidth="1"/>
    <col min="42" max="42" width="9" style="132"/>
    <col min="43" max="45" width="15.625" style="132" customWidth="1"/>
    <col min="46" max="48" width="15.625" style="132" hidden="1" customWidth="1"/>
    <col min="49" max="52" width="9" style="132" hidden="1" customWidth="1"/>
    <col min="53" max="16384" width="9" style="132"/>
  </cols>
  <sheetData>
    <row r="2" spans="1:37" s="129" customFormat="1" ht="15.95" customHeight="1">
      <c r="A2" s="153"/>
      <c r="B2" s="52" t="s">
        <v>37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88"/>
    </row>
    <row r="3" spans="1:37" s="130" customFormat="1" ht="15.95" customHeight="1">
      <c r="A3" s="155"/>
      <c r="B3" s="135" t="str">
        <f>主要财务摘要!H2</f>
        <v>单位：港币(百万)</v>
      </c>
      <c r="C3" s="546"/>
      <c r="D3" s="54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20"/>
    </row>
    <row r="4" spans="1:37" s="130" customFormat="1" ht="17.25">
      <c r="A4" s="157"/>
      <c r="B4" s="137" t="s">
        <v>286</v>
      </c>
      <c r="C4" s="158"/>
      <c r="D4" s="159" t="str">
        <f>资产负债表!D4</f>
        <v>1Q17</v>
      </c>
      <c r="E4" s="159" t="str">
        <f>资产负债表!E4</f>
        <v>1H17</v>
      </c>
      <c r="F4" s="159" t="str">
        <f>资产负债表!F4</f>
        <v>3Q17</v>
      </c>
      <c r="G4" s="159">
        <f>资产负债表!G4</f>
        <v>2017</v>
      </c>
      <c r="H4" s="159" t="str">
        <f>资产负债表!H4</f>
        <v>1Q18</v>
      </c>
      <c r="I4" s="159" t="str">
        <f>资产负债表!I4</f>
        <v>1H18</v>
      </c>
      <c r="J4" s="159" t="str">
        <f>资产负债表!J4</f>
        <v>3Q18</v>
      </c>
      <c r="K4" s="159">
        <f>资产负债表!K4</f>
        <v>2018</v>
      </c>
      <c r="L4" s="159" t="str">
        <f>资产负债表!L4</f>
        <v>1Q19</v>
      </c>
      <c r="M4" s="159" t="str">
        <f>资产负债表!M4</f>
        <v>1H19</v>
      </c>
      <c r="N4" s="159" t="str">
        <f>资产负债表!N4</f>
        <v>3Q19</v>
      </c>
      <c r="O4" s="159">
        <f>资产负债表!O4</f>
        <v>2019</v>
      </c>
      <c r="P4" s="159" t="str">
        <f>资产负债表!P4</f>
        <v>1Q20</v>
      </c>
      <c r="Q4" s="159" t="str">
        <f>资产负债表!Q4</f>
        <v>1H20</v>
      </c>
      <c r="R4" s="159" t="str">
        <f>资产负债表!R4</f>
        <v>3Q20</v>
      </c>
      <c r="S4" s="159">
        <f>资产负债表!S4</f>
        <v>2020</v>
      </c>
      <c r="T4" s="159" t="str">
        <f>资产负债表!T4</f>
        <v>1Q21</v>
      </c>
      <c r="U4" s="159" t="str">
        <f>资产负债表!U4</f>
        <v>1H21</v>
      </c>
      <c r="V4" s="159" t="str">
        <f>资产负债表!V4</f>
        <v>3Q21</v>
      </c>
      <c r="W4" s="159">
        <f>资产负债表!W4</f>
        <v>2021</v>
      </c>
      <c r="X4" s="159" t="str">
        <f>资产负债表!X4</f>
        <v>1Q22</v>
      </c>
      <c r="Y4" s="159" t="str">
        <f>资产负债表!Y4</f>
        <v>1H22</v>
      </c>
      <c r="Z4" s="159" t="str">
        <f>资产负债表!Z4</f>
        <v>3Q22</v>
      </c>
      <c r="AA4" s="185" t="str">
        <f>资产负债表!AA4</f>
        <v>2022E</v>
      </c>
      <c r="AB4" s="185">
        <f>资产负债表!AB4</f>
        <v>2023</v>
      </c>
      <c r="AC4" s="185">
        <f>资产负债表!AC4</f>
        <v>2024</v>
      </c>
      <c r="AD4" s="185">
        <f>资产负债表!AD4</f>
        <v>2025</v>
      </c>
      <c r="AE4" s="185">
        <f>资产负债表!AE4</f>
        <v>2026</v>
      </c>
      <c r="AF4" s="185">
        <f>资产负债表!AF4</f>
        <v>2027</v>
      </c>
      <c r="AG4" s="185">
        <f>资产负债表!AG4</f>
        <v>2028</v>
      </c>
      <c r="AH4" s="185">
        <f>资产负债表!AH4</f>
        <v>2029</v>
      </c>
      <c r="AI4" s="185">
        <f>资产负债表!AI4</f>
        <v>2030</v>
      </c>
      <c r="AJ4" s="185">
        <f>资产负债表!AJ4</f>
        <v>2031</v>
      </c>
      <c r="AK4" s="20"/>
    </row>
    <row r="5" spans="1:37" s="130" customFormat="1" ht="15.75">
      <c r="A5" s="157"/>
      <c r="B5" s="79" t="s">
        <v>42</v>
      </c>
      <c r="C5" s="20"/>
      <c r="D5" s="75">
        <f t="shared" ref="D5:AJ5" si="0">D6+D7</f>
        <v>0</v>
      </c>
      <c r="E5" s="75">
        <f t="shared" si="0"/>
        <v>0</v>
      </c>
      <c r="F5" s="75">
        <f t="shared" si="0"/>
        <v>0</v>
      </c>
      <c r="G5" s="75">
        <f t="shared" si="0"/>
        <v>0</v>
      </c>
      <c r="H5" s="75">
        <f t="shared" si="0"/>
        <v>0</v>
      </c>
      <c r="I5" s="75">
        <f t="shared" si="0"/>
        <v>0</v>
      </c>
      <c r="J5" s="75">
        <f t="shared" si="0"/>
        <v>0</v>
      </c>
      <c r="K5" s="75">
        <f t="shared" si="0"/>
        <v>0</v>
      </c>
      <c r="L5" s="75">
        <f t="shared" si="0"/>
        <v>0</v>
      </c>
      <c r="M5" s="75">
        <f t="shared" si="0"/>
        <v>0</v>
      </c>
      <c r="N5" s="75">
        <f t="shared" si="0"/>
        <v>0</v>
      </c>
      <c r="O5" s="75">
        <f t="shared" si="0"/>
        <v>0</v>
      </c>
      <c r="P5" s="75">
        <f t="shared" si="0"/>
        <v>0</v>
      </c>
      <c r="Q5" s="75">
        <f t="shared" si="0"/>
        <v>0</v>
      </c>
      <c r="R5" s="75">
        <f t="shared" si="0"/>
        <v>0</v>
      </c>
      <c r="S5" s="75">
        <f t="shared" si="0"/>
        <v>0</v>
      </c>
      <c r="T5" s="75">
        <f t="shared" si="0"/>
        <v>0</v>
      </c>
      <c r="U5" s="75">
        <f t="shared" si="0"/>
        <v>0</v>
      </c>
      <c r="V5" s="75">
        <f t="shared" si="0"/>
        <v>0</v>
      </c>
      <c r="W5" s="75">
        <f t="shared" si="0"/>
        <v>0</v>
      </c>
      <c r="X5" s="75">
        <f t="shared" si="0"/>
        <v>0</v>
      </c>
      <c r="Y5" s="75">
        <f t="shared" si="0"/>
        <v>0</v>
      </c>
      <c r="Z5" s="75">
        <f t="shared" si="0"/>
        <v>0</v>
      </c>
      <c r="AA5" s="75">
        <f t="shared" si="0"/>
        <v>0</v>
      </c>
      <c r="AB5" s="75">
        <f t="shared" si="0"/>
        <v>0</v>
      </c>
      <c r="AC5" s="75">
        <f t="shared" si="0"/>
        <v>0</v>
      </c>
      <c r="AD5" s="75">
        <f t="shared" si="0"/>
        <v>0</v>
      </c>
      <c r="AE5" s="75">
        <f t="shared" si="0"/>
        <v>0</v>
      </c>
      <c r="AF5" s="75">
        <f t="shared" si="0"/>
        <v>0</v>
      </c>
      <c r="AG5" s="75">
        <f t="shared" si="0"/>
        <v>0</v>
      </c>
      <c r="AH5" s="75">
        <f t="shared" si="0"/>
        <v>0</v>
      </c>
      <c r="AI5" s="75">
        <f t="shared" si="0"/>
        <v>0</v>
      </c>
      <c r="AJ5" s="75">
        <f t="shared" si="0"/>
        <v>0</v>
      </c>
      <c r="AK5" s="20"/>
    </row>
    <row r="6" spans="1:37" ht="15.95" customHeight="1">
      <c r="A6" s="160"/>
      <c r="B6" s="143" t="s">
        <v>87</v>
      </c>
      <c r="C6" s="547"/>
      <c r="D6" s="75">
        <f>(财务基础数据!D7)*目录!$D$6</f>
        <v>0</v>
      </c>
      <c r="E6" s="75">
        <f>(财务基础数据!E7)*目录!$D$6</f>
        <v>0</v>
      </c>
      <c r="F6" s="75">
        <f>(财务基础数据!F7)*目录!$D$6</f>
        <v>0</v>
      </c>
      <c r="G6" s="75">
        <f>(财务基础数据!G7)*目录!$D$6</f>
        <v>0</v>
      </c>
      <c r="H6" s="75">
        <f>(财务基础数据!H7)*目录!$D$6</f>
        <v>0</v>
      </c>
      <c r="I6" s="75">
        <f>(财务基础数据!I7)*目录!$D$6</f>
        <v>0</v>
      </c>
      <c r="J6" s="75">
        <f>(财务基础数据!J7)*目录!$D$6</f>
        <v>0</v>
      </c>
      <c r="K6" s="75">
        <f>(财务基础数据!K7)*目录!$D$6</f>
        <v>0</v>
      </c>
      <c r="L6" s="75">
        <f>(财务基础数据!L7)*目录!$D$6</f>
        <v>0</v>
      </c>
      <c r="M6" s="75">
        <f>(财务基础数据!M7)*目录!$D$6</f>
        <v>0</v>
      </c>
      <c r="N6" s="75">
        <f>(财务基础数据!N7)*目录!$D$6</f>
        <v>0</v>
      </c>
      <c r="O6" s="75">
        <f>(财务基础数据!O7)*目录!$D$6</f>
        <v>0</v>
      </c>
      <c r="P6" s="75">
        <f>(财务基础数据!P7)*目录!$D$6</f>
        <v>0</v>
      </c>
      <c r="Q6" s="75">
        <f>(财务基础数据!Q7)*目录!$D$6</f>
        <v>0</v>
      </c>
      <c r="R6" s="75">
        <f>(财务基础数据!R7)*目录!$D$6</f>
        <v>0</v>
      </c>
      <c r="S6" s="75">
        <f>(财务基础数据!S7)*目录!$D$6</f>
        <v>0</v>
      </c>
      <c r="T6" s="75">
        <f>(财务基础数据!T7)*目录!$D$6</f>
        <v>0</v>
      </c>
      <c r="U6" s="75">
        <f>(财务基础数据!U7)*目录!$D$6</f>
        <v>0</v>
      </c>
      <c r="V6" s="75">
        <f>(财务基础数据!V7)*目录!$D$6</f>
        <v>0</v>
      </c>
      <c r="W6" s="75">
        <f>(财务基础数据!W7)*目录!$D$6</f>
        <v>0</v>
      </c>
      <c r="X6" s="75">
        <f>(财务基础数据!X7)*目录!$D$6</f>
        <v>0</v>
      </c>
      <c r="Y6" s="75">
        <f>(财务基础数据!Y7)*目录!$D$6</f>
        <v>0</v>
      </c>
      <c r="Z6" s="75">
        <f>(财务基础数据!Z7)*目录!$D$6</f>
        <v>0</v>
      </c>
      <c r="AA6" s="47">
        <f>销售预测!J4</f>
        <v>0</v>
      </c>
      <c r="AB6" s="47">
        <f>销售预测!K4</f>
        <v>0</v>
      </c>
      <c r="AC6" s="47">
        <f>销售预测!L4</f>
        <v>0</v>
      </c>
      <c r="AD6" s="47">
        <f>销售预测!M4</f>
        <v>0</v>
      </c>
      <c r="AE6" s="47">
        <f>销售预测!N4</f>
        <v>0</v>
      </c>
      <c r="AF6" s="47">
        <f>销售预测!O4</f>
        <v>0</v>
      </c>
      <c r="AG6" s="47">
        <f>销售预测!P4</f>
        <v>0</v>
      </c>
      <c r="AH6" s="47">
        <f>销售预测!Q4</f>
        <v>0</v>
      </c>
      <c r="AI6" s="47">
        <f>销售预测!R4</f>
        <v>0</v>
      </c>
      <c r="AJ6" s="47">
        <f>销售预测!S4</f>
        <v>0</v>
      </c>
    </row>
    <row r="7" spans="1:37" ht="13.5" customHeight="1">
      <c r="A7" s="161"/>
      <c r="B7" s="143" t="s">
        <v>138</v>
      </c>
      <c r="C7" s="548"/>
      <c r="D7" s="162">
        <f>(财务基础数据!D8)*目录!$D$6</f>
        <v>0</v>
      </c>
      <c r="E7" s="162">
        <f>(财务基础数据!E8)*目录!$D$6</f>
        <v>0</v>
      </c>
      <c r="F7" s="162">
        <f>(财务基础数据!F8)*目录!$D$6</f>
        <v>0</v>
      </c>
      <c r="G7" s="162">
        <f>(财务基础数据!G8)*目录!$D$6</f>
        <v>0</v>
      </c>
      <c r="H7" s="162">
        <f>(财务基础数据!H8)*目录!$D$6</f>
        <v>0</v>
      </c>
      <c r="I7" s="162">
        <f>(财务基础数据!I8)*目录!$D$6</f>
        <v>0</v>
      </c>
      <c r="J7" s="162">
        <f>(财务基础数据!J8)*目录!$D$6</f>
        <v>0</v>
      </c>
      <c r="K7" s="162">
        <f>(财务基础数据!K8)*目录!$D$6</f>
        <v>0</v>
      </c>
      <c r="L7" s="162">
        <f>(财务基础数据!L8)*目录!$D$6</f>
        <v>0</v>
      </c>
      <c r="M7" s="162">
        <f>(财务基础数据!M8)*目录!$D$6</f>
        <v>0</v>
      </c>
      <c r="N7" s="162">
        <f>(财务基础数据!N8)*目录!$D$6</f>
        <v>0</v>
      </c>
      <c r="O7" s="162">
        <f>(财务基础数据!O8)*目录!$D$6</f>
        <v>0</v>
      </c>
      <c r="P7" s="162">
        <f>(财务基础数据!P8)*目录!$D$6</f>
        <v>0</v>
      </c>
      <c r="Q7" s="162">
        <f>(财务基础数据!Q8)*目录!$D$6</f>
        <v>0</v>
      </c>
      <c r="R7" s="162">
        <f>(财务基础数据!R8)*目录!$D$6</f>
        <v>0</v>
      </c>
      <c r="S7" s="162">
        <f>(财务基础数据!S8)*目录!$D$6</f>
        <v>0</v>
      </c>
      <c r="T7" s="162">
        <f>(财务基础数据!T8)*目录!$D$6</f>
        <v>0</v>
      </c>
      <c r="U7" s="162">
        <f>(财务基础数据!U8)*目录!$D$6</f>
        <v>0</v>
      </c>
      <c r="V7" s="162">
        <f>(财务基础数据!V8)*目录!$D$6</f>
        <v>0</v>
      </c>
      <c r="W7" s="162">
        <f>(财务基础数据!W8)*目录!$D$6</f>
        <v>0</v>
      </c>
      <c r="X7" s="162">
        <f>(财务基础数据!X8)*目录!$D$6</f>
        <v>0</v>
      </c>
      <c r="Y7" s="162">
        <f>(财务基础数据!Y8)*目录!$D$6</f>
        <v>0</v>
      </c>
      <c r="Z7" s="162">
        <f>(财务基础数据!Z8)*目录!$D$6</f>
        <v>0</v>
      </c>
      <c r="AA7" s="47">
        <f>销售预测!J6</f>
        <v>0</v>
      </c>
      <c r="AB7" s="47">
        <f>销售预测!K6</f>
        <v>0</v>
      </c>
      <c r="AC7" s="47">
        <f>销售预测!L6</f>
        <v>0</v>
      </c>
      <c r="AD7" s="47">
        <f>销售预测!M6</f>
        <v>0</v>
      </c>
      <c r="AE7" s="47">
        <f>销售预测!N6</f>
        <v>0</v>
      </c>
      <c r="AF7" s="47">
        <f>销售预测!O6</f>
        <v>0</v>
      </c>
      <c r="AG7" s="47">
        <f>销售预测!P6</f>
        <v>0</v>
      </c>
      <c r="AH7" s="47">
        <f>销售预测!Q6</f>
        <v>0</v>
      </c>
      <c r="AI7" s="47">
        <f>销售预测!R6</f>
        <v>0</v>
      </c>
      <c r="AJ7" s="47">
        <f>销售预测!S6</f>
        <v>0</v>
      </c>
    </row>
    <row r="8" spans="1:37" ht="13.5" customHeight="1">
      <c r="A8" s="161"/>
      <c r="B8" s="79" t="s">
        <v>287</v>
      </c>
      <c r="C8" s="548"/>
      <c r="D8" s="75">
        <f>利润表!D9+利润表!D10</f>
        <v>0</v>
      </c>
      <c r="E8" s="75">
        <f>利润表!E9+利润表!E10</f>
        <v>0</v>
      </c>
      <c r="F8" s="75">
        <f>利润表!F9+利润表!F10</f>
        <v>0</v>
      </c>
      <c r="G8" s="75">
        <f>利润表!G9+利润表!G10</f>
        <v>0</v>
      </c>
      <c r="H8" s="75">
        <f>利润表!H9+利润表!H10</f>
        <v>0</v>
      </c>
      <c r="I8" s="75">
        <f>利润表!I9+利润表!I10</f>
        <v>0</v>
      </c>
      <c r="J8" s="75">
        <f>利润表!J9+利润表!J10</f>
        <v>0</v>
      </c>
      <c r="K8" s="75">
        <f>利润表!K9+利润表!K10</f>
        <v>0</v>
      </c>
      <c r="L8" s="75">
        <f>利润表!L9+利润表!L10</f>
        <v>0</v>
      </c>
      <c r="M8" s="75">
        <f>利润表!M9+利润表!M10</f>
        <v>0</v>
      </c>
      <c r="N8" s="75">
        <f>利润表!N9+利润表!N10</f>
        <v>0</v>
      </c>
      <c r="O8" s="75">
        <f>利润表!O9+利润表!O10</f>
        <v>0</v>
      </c>
      <c r="P8" s="75">
        <f>利润表!P9+利润表!P10</f>
        <v>0</v>
      </c>
      <c r="Q8" s="75">
        <f>利润表!Q9+利润表!Q10</f>
        <v>0</v>
      </c>
      <c r="R8" s="75">
        <f>利润表!R9+利润表!R10</f>
        <v>0</v>
      </c>
      <c r="S8" s="75">
        <f>利润表!S9+利润表!S10</f>
        <v>0</v>
      </c>
      <c r="T8" s="75">
        <f>利润表!T9+利润表!T10</f>
        <v>0</v>
      </c>
      <c r="U8" s="75">
        <f>利润表!U9+利润表!U10</f>
        <v>0</v>
      </c>
      <c r="V8" s="75">
        <f>利润表!V9+利润表!V10</f>
        <v>0</v>
      </c>
      <c r="W8" s="75">
        <f>利润表!W9+利润表!W10</f>
        <v>0</v>
      </c>
      <c r="X8" s="75">
        <f>利润表!X9+利润表!X10</f>
        <v>0</v>
      </c>
      <c r="Y8" s="75">
        <f>利润表!Y9+利润表!Y10</f>
        <v>0</v>
      </c>
      <c r="Z8" s="75">
        <f>利润表!Z9+利润表!Z10</f>
        <v>0</v>
      </c>
      <c r="AA8" s="75">
        <f>AA9+AA10</f>
        <v>0</v>
      </c>
      <c r="AB8" s="75">
        <f t="shared" ref="AB8:AJ8" si="1">AB9+AB10</f>
        <v>0</v>
      </c>
      <c r="AC8" s="75">
        <f t="shared" si="1"/>
        <v>0</v>
      </c>
      <c r="AD8" s="75">
        <f t="shared" si="1"/>
        <v>0</v>
      </c>
      <c r="AE8" s="75">
        <f t="shared" si="1"/>
        <v>0</v>
      </c>
      <c r="AF8" s="75">
        <f t="shared" si="1"/>
        <v>0</v>
      </c>
      <c r="AG8" s="75">
        <f t="shared" si="1"/>
        <v>0</v>
      </c>
      <c r="AH8" s="75">
        <f t="shared" si="1"/>
        <v>0</v>
      </c>
      <c r="AI8" s="75">
        <f t="shared" si="1"/>
        <v>0</v>
      </c>
      <c r="AJ8" s="75">
        <f t="shared" si="1"/>
        <v>0</v>
      </c>
    </row>
    <row r="9" spans="1:37" ht="15.95" customHeight="1">
      <c r="A9" s="163"/>
      <c r="B9" s="143" t="s">
        <v>44</v>
      </c>
      <c r="C9" s="547"/>
      <c r="D9" s="75">
        <f>(财务基础数据!D10)*目录!$D$6</f>
        <v>0</v>
      </c>
      <c r="E9" s="75">
        <f>(财务基础数据!E10)*目录!$D$6</f>
        <v>0</v>
      </c>
      <c r="F9" s="75">
        <f>(财务基础数据!F10)*目录!$D$6</f>
        <v>0</v>
      </c>
      <c r="G9" s="75">
        <f>(财务基础数据!G10)*目录!$D$6</f>
        <v>0</v>
      </c>
      <c r="H9" s="75">
        <f>(财务基础数据!H10)*目录!$D$6</f>
        <v>0</v>
      </c>
      <c r="I9" s="75">
        <f>(财务基础数据!I10)*目录!$D$6</f>
        <v>0</v>
      </c>
      <c r="J9" s="75">
        <f>(财务基础数据!J10)*目录!$D$6</f>
        <v>0</v>
      </c>
      <c r="K9" s="75">
        <f>(财务基础数据!K10)*目录!$D$6</f>
        <v>0</v>
      </c>
      <c r="L9" s="75">
        <f>(财务基础数据!L10)*目录!$D$6</f>
        <v>0</v>
      </c>
      <c r="M9" s="75">
        <f>(财务基础数据!M10)*目录!$D$6</f>
        <v>0</v>
      </c>
      <c r="N9" s="75">
        <f>(财务基础数据!N10)*目录!$D$6</f>
        <v>0</v>
      </c>
      <c r="O9" s="75">
        <f>(财务基础数据!O10)*目录!$D$6</f>
        <v>0</v>
      </c>
      <c r="P9" s="75">
        <f>(财务基础数据!P10)*目录!$D$6</f>
        <v>0</v>
      </c>
      <c r="Q9" s="75">
        <f>(财务基础数据!Q10)*目录!$D$6</f>
        <v>0</v>
      </c>
      <c r="R9" s="75">
        <f>(财务基础数据!R10)*目录!$D$6</f>
        <v>0</v>
      </c>
      <c r="S9" s="75">
        <f>(财务基础数据!S10)*目录!$D$6</f>
        <v>0</v>
      </c>
      <c r="T9" s="75">
        <f>(财务基础数据!T10)*目录!$D$6</f>
        <v>0</v>
      </c>
      <c r="U9" s="75">
        <f>(财务基础数据!U10)*目录!$D$6</f>
        <v>0</v>
      </c>
      <c r="V9" s="75">
        <f>(财务基础数据!V10)*目录!$D$6</f>
        <v>0</v>
      </c>
      <c r="W9" s="75">
        <f>(财务基础数据!W10)*目录!$D$6</f>
        <v>0</v>
      </c>
      <c r="X9" s="75">
        <f>(财务基础数据!X10)*目录!$D$6</f>
        <v>0</v>
      </c>
      <c r="Y9" s="75">
        <f>(财务基础数据!Y10)*目录!$D$6</f>
        <v>0</v>
      </c>
      <c r="Z9" s="75">
        <f>(财务基础数据!Z10)*目录!$D$6</f>
        <v>0</v>
      </c>
      <c r="AA9" s="47">
        <f>销售预测!J7</f>
        <v>0</v>
      </c>
      <c r="AB9" s="47">
        <f>销售预测!K7</f>
        <v>0</v>
      </c>
      <c r="AC9" s="47">
        <f>销售预测!L7</f>
        <v>0</v>
      </c>
      <c r="AD9" s="47">
        <f>销售预测!M7</f>
        <v>0</v>
      </c>
      <c r="AE9" s="47">
        <f>销售预测!N7</f>
        <v>0</v>
      </c>
      <c r="AF9" s="47">
        <f>销售预测!O7</f>
        <v>0</v>
      </c>
      <c r="AG9" s="47">
        <f>销售预测!P7</f>
        <v>0</v>
      </c>
      <c r="AH9" s="47">
        <f>销售预测!Q7</f>
        <v>0</v>
      </c>
      <c r="AI9" s="47">
        <f>销售预测!R7</f>
        <v>0</v>
      </c>
      <c r="AJ9" s="47">
        <f>销售预测!S7</f>
        <v>0</v>
      </c>
    </row>
    <row r="10" spans="1:37" ht="15.95" customHeight="1">
      <c r="A10" s="163"/>
      <c r="B10" s="164" t="s">
        <v>288</v>
      </c>
      <c r="C10" s="547"/>
      <c r="D10" s="75">
        <f>财务基础数据!D11*目录!$D$6</f>
        <v>0</v>
      </c>
      <c r="E10" s="75">
        <f>财务基础数据!E11*目录!$D$6</f>
        <v>0</v>
      </c>
      <c r="F10" s="75">
        <f>财务基础数据!F11*目录!$D$6</f>
        <v>0</v>
      </c>
      <c r="G10" s="75">
        <f>财务基础数据!G11*目录!$D$6</f>
        <v>0</v>
      </c>
      <c r="H10" s="75">
        <f>财务基础数据!H11*目录!$D$6</f>
        <v>0</v>
      </c>
      <c r="I10" s="75">
        <f>财务基础数据!I11*目录!$D$6</f>
        <v>0</v>
      </c>
      <c r="J10" s="75">
        <f>财务基础数据!J11*目录!$D$6</f>
        <v>0</v>
      </c>
      <c r="K10" s="75">
        <f>财务基础数据!K11*目录!$D$6</f>
        <v>0</v>
      </c>
      <c r="L10" s="75">
        <f>财务基础数据!L11*目录!$D$6</f>
        <v>0</v>
      </c>
      <c r="M10" s="75">
        <f>财务基础数据!M11*目录!$D$6</f>
        <v>0</v>
      </c>
      <c r="N10" s="75">
        <f>财务基础数据!N11*目录!$D$6</f>
        <v>0</v>
      </c>
      <c r="O10" s="75">
        <f>财务基础数据!O11*目录!$D$6</f>
        <v>0</v>
      </c>
      <c r="P10" s="75">
        <f>财务基础数据!P11*目录!$D$6</f>
        <v>0</v>
      </c>
      <c r="Q10" s="75">
        <f>财务基础数据!Q11*目录!$D$6</f>
        <v>0</v>
      </c>
      <c r="R10" s="75">
        <f>财务基础数据!R11*目录!$D$6</f>
        <v>0</v>
      </c>
      <c r="S10" s="75">
        <f>财务基础数据!S11*目录!$D$6</f>
        <v>0</v>
      </c>
      <c r="T10" s="75">
        <f>财务基础数据!T11*目录!$D$6</f>
        <v>0</v>
      </c>
      <c r="U10" s="75">
        <f>财务基础数据!U11*目录!$D$6</f>
        <v>0</v>
      </c>
      <c r="V10" s="75">
        <f>财务基础数据!V11*目录!$D$6</f>
        <v>0</v>
      </c>
      <c r="W10" s="75">
        <f>财务基础数据!W11*目录!$D$6</f>
        <v>0</v>
      </c>
      <c r="X10" s="75">
        <f>财务基础数据!X11*目录!$D$6</f>
        <v>0</v>
      </c>
      <c r="Y10" s="75">
        <f>财务基础数据!Y11*目录!$D$6</f>
        <v>0</v>
      </c>
      <c r="Z10" s="75">
        <f>财务基础数据!Z11*目录!$D$6</f>
        <v>0</v>
      </c>
      <c r="AA10" s="47">
        <f t="shared" ref="AA10:AJ10" si="2">AA11+AA14+AA15</f>
        <v>0</v>
      </c>
      <c r="AB10" s="47">
        <f t="shared" si="2"/>
        <v>0</v>
      </c>
      <c r="AC10" s="47">
        <f t="shared" si="2"/>
        <v>0</v>
      </c>
      <c r="AD10" s="47">
        <f t="shared" si="2"/>
        <v>0</v>
      </c>
      <c r="AE10" s="47">
        <f t="shared" si="2"/>
        <v>0</v>
      </c>
      <c r="AF10" s="47">
        <f t="shared" si="2"/>
        <v>0</v>
      </c>
      <c r="AG10" s="47">
        <f t="shared" si="2"/>
        <v>0</v>
      </c>
      <c r="AH10" s="47">
        <f t="shared" si="2"/>
        <v>0</v>
      </c>
      <c r="AI10" s="47">
        <f t="shared" si="2"/>
        <v>0</v>
      </c>
      <c r="AJ10" s="47">
        <f t="shared" si="2"/>
        <v>0</v>
      </c>
    </row>
    <row r="11" spans="1:37" ht="15.95" customHeight="1">
      <c r="A11" s="165"/>
      <c r="B11" s="166" t="s">
        <v>289</v>
      </c>
      <c r="C11" s="549"/>
      <c r="D11" s="75">
        <f>(财务基础数据!D12)*目录!$D$6</f>
        <v>0</v>
      </c>
      <c r="E11" s="75">
        <f>(财务基础数据!E12)*目录!$D$6</f>
        <v>0</v>
      </c>
      <c r="F11" s="75">
        <f>(财务基础数据!F12)*目录!$D$6</f>
        <v>0</v>
      </c>
      <c r="G11" s="75">
        <f>(财务基础数据!G12)*目录!$D$6</f>
        <v>0</v>
      </c>
      <c r="H11" s="75">
        <f>(财务基础数据!H12)*目录!$D$6</f>
        <v>0</v>
      </c>
      <c r="I11" s="75">
        <f>(财务基础数据!I12)*目录!$D$6</f>
        <v>0</v>
      </c>
      <c r="J11" s="75">
        <f>(财务基础数据!J12)*目录!$D$6</f>
        <v>0</v>
      </c>
      <c r="K11" s="75">
        <f>(财务基础数据!K12)*目录!$D$6</f>
        <v>0</v>
      </c>
      <c r="L11" s="75">
        <f>(财务基础数据!L12)*目录!$D$6</f>
        <v>0</v>
      </c>
      <c r="M11" s="75">
        <f>(财务基础数据!M12)*目录!$D$6</f>
        <v>0</v>
      </c>
      <c r="N11" s="75">
        <f>(财务基础数据!N12)*目录!$D$6</f>
        <v>0</v>
      </c>
      <c r="O11" s="75">
        <f>(财务基础数据!O12)*目录!$D$6</f>
        <v>0</v>
      </c>
      <c r="P11" s="75">
        <f>(财务基础数据!P12)*目录!$D$6</f>
        <v>0</v>
      </c>
      <c r="Q11" s="75">
        <f>(财务基础数据!Q12)*目录!$D$6</f>
        <v>0</v>
      </c>
      <c r="R11" s="75">
        <f>(财务基础数据!R12)*目录!$D$6</f>
        <v>0</v>
      </c>
      <c r="S11" s="75">
        <f>(财务基础数据!S12)*目录!$D$6</f>
        <v>0</v>
      </c>
      <c r="T11" s="75">
        <f>(财务基础数据!T12)*目录!$D$6</f>
        <v>0</v>
      </c>
      <c r="U11" s="75">
        <f>(财务基础数据!U12)*目录!$D$6</f>
        <v>0</v>
      </c>
      <c r="V11" s="75">
        <f>(财务基础数据!V12)*目录!$D$6</f>
        <v>0</v>
      </c>
      <c r="W11" s="75">
        <f>(财务基础数据!W12)*目录!$D$6</f>
        <v>0</v>
      </c>
      <c r="X11" s="75">
        <f>(财务基础数据!X12)*目录!$D$6</f>
        <v>0</v>
      </c>
      <c r="Y11" s="75">
        <f>(财务基础数据!Y12)*目录!$D$6</f>
        <v>0</v>
      </c>
      <c r="Z11" s="75">
        <f>(财务基础数据!Z12)*目录!$D$6</f>
        <v>0</v>
      </c>
      <c r="AA11" s="47">
        <f t="shared" ref="AA11:AJ11" si="3">AA12+AA13</f>
        <v>0</v>
      </c>
      <c r="AB11" s="47">
        <f t="shared" si="3"/>
        <v>0</v>
      </c>
      <c r="AC11" s="47">
        <f t="shared" si="3"/>
        <v>0</v>
      </c>
      <c r="AD11" s="47">
        <f t="shared" si="3"/>
        <v>0</v>
      </c>
      <c r="AE11" s="47">
        <f t="shared" si="3"/>
        <v>0</v>
      </c>
      <c r="AF11" s="47">
        <f t="shared" si="3"/>
        <v>0</v>
      </c>
      <c r="AG11" s="47">
        <f t="shared" si="3"/>
        <v>0</v>
      </c>
      <c r="AH11" s="47">
        <f t="shared" si="3"/>
        <v>0</v>
      </c>
      <c r="AI11" s="47">
        <f t="shared" si="3"/>
        <v>0</v>
      </c>
      <c r="AJ11" s="47">
        <f t="shared" si="3"/>
        <v>0</v>
      </c>
    </row>
    <row r="12" spans="1:37" ht="15.95" customHeight="1">
      <c r="A12" s="167"/>
      <c r="B12" s="168" t="s">
        <v>89</v>
      </c>
      <c r="C12" s="547"/>
      <c r="D12" s="169">
        <f>(财务基础数据!D13)*目录!$D$6</f>
        <v>0</v>
      </c>
      <c r="E12" s="169">
        <f>(财务基础数据!E13)*目录!$D$6</f>
        <v>0</v>
      </c>
      <c r="F12" s="169">
        <f>(财务基础数据!F13)*目录!$D$6</f>
        <v>0</v>
      </c>
      <c r="G12" s="169">
        <f>(财务基础数据!G13)*目录!$D$6</f>
        <v>0</v>
      </c>
      <c r="H12" s="169">
        <f>(财务基础数据!H13)*目录!$D$6</f>
        <v>0</v>
      </c>
      <c r="I12" s="169">
        <f>(财务基础数据!I13)*目录!$D$6</f>
        <v>0</v>
      </c>
      <c r="J12" s="169">
        <f>(财务基础数据!J13)*目录!$D$6</f>
        <v>0</v>
      </c>
      <c r="K12" s="169">
        <f>(财务基础数据!K13)*目录!$D$6</f>
        <v>0</v>
      </c>
      <c r="L12" s="169">
        <f>(财务基础数据!L13)*目录!$D$6</f>
        <v>0</v>
      </c>
      <c r="M12" s="169">
        <f>(财务基础数据!M13)*目录!$D$6</f>
        <v>0</v>
      </c>
      <c r="N12" s="169">
        <f>(财务基础数据!N13)*目录!$D$6</f>
        <v>0</v>
      </c>
      <c r="O12" s="169">
        <f>(财务基础数据!O13)*目录!$D$6</f>
        <v>0</v>
      </c>
      <c r="P12" s="169">
        <f>(财务基础数据!P13)*目录!$D$6</f>
        <v>0</v>
      </c>
      <c r="Q12" s="169">
        <f>(财务基础数据!Q13)*目录!$D$6</f>
        <v>0</v>
      </c>
      <c r="R12" s="169">
        <f>(财务基础数据!R13)*目录!$D$6</f>
        <v>0</v>
      </c>
      <c r="S12" s="169">
        <f>(财务基础数据!S13)*目录!$D$6</f>
        <v>0</v>
      </c>
      <c r="T12" s="169">
        <f>(财务基础数据!T13)*目录!$D$6</f>
        <v>0</v>
      </c>
      <c r="U12" s="169">
        <f>(财务基础数据!U13)*目录!$D$6</f>
        <v>0</v>
      </c>
      <c r="V12" s="169">
        <f>(财务基础数据!V13)*目录!$D$6</f>
        <v>0</v>
      </c>
      <c r="W12" s="169">
        <f>(财务基础数据!W13)*目录!$D$6</f>
        <v>0</v>
      </c>
      <c r="X12" s="169">
        <f>(财务基础数据!X13)*目录!$D$6</f>
        <v>0</v>
      </c>
      <c r="Y12" s="169">
        <f>(财务基础数据!Y13)*目录!$D$6</f>
        <v>0</v>
      </c>
      <c r="Z12" s="169">
        <f>(财务基础数据!Z13)*目录!$D$6</f>
        <v>0</v>
      </c>
      <c r="AA12" s="47">
        <f>销售预测!J15</f>
        <v>0</v>
      </c>
      <c r="AB12" s="47">
        <f>销售预测!K15</f>
        <v>0</v>
      </c>
      <c r="AC12" s="47">
        <f>销售预测!L15</f>
        <v>0</v>
      </c>
      <c r="AD12" s="47">
        <f>销售预测!M15</f>
        <v>0</v>
      </c>
      <c r="AE12" s="47">
        <f>销售预测!N15</f>
        <v>0</v>
      </c>
      <c r="AF12" s="47">
        <f>销售预测!O15</f>
        <v>0</v>
      </c>
      <c r="AG12" s="47">
        <f>销售预测!P15</f>
        <v>0</v>
      </c>
      <c r="AH12" s="47">
        <f>销售预测!Q15</f>
        <v>0</v>
      </c>
      <c r="AI12" s="47">
        <f>销售预测!R15</f>
        <v>0</v>
      </c>
      <c r="AJ12" s="47">
        <f>销售预测!S15</f>
        <v>0</v>
      </c>
    </row>
    <row r="13" spans="1:37" ht="15.95" customHeight="1">
      <c r="A13" s="170"/>
      <c r="B13" s="168" t="s">
        <v>49</v>
      </c>
      <c r="D13" s="169">
        <f>(财务基础数据!D14)*目录!$D$6</f>
        <v>0</v>
      </c>
      <c r="E13" s="169">
        <f>(财务基础数据!E14)*目录!$D$6</f>
        <v>0</v>
      </c>
      <c r="F13" s="169">
        <f>(财务基础数据!F14)*目录!$D$6</f>
        <v>0</v>
      </c>
      <c r="G13" s="169">
        <f>(财务基础数据!G14)*目录!$D$6</f>
        <v>0</v>
      </c>
      <c r="H13" s="169">
        <f>(财务基础数据!H14)*目录!$D$6</f>
        <v>0</v>
      </c>
      <c r="I13" s="169">
        <f>(财务基础数据!I14)*目录!$D$6</f>
        <v>0</v>
      </c>
      <c r="J13" s="169">
        <f>(财务基础数据!J14)*目录!$D$6</f>
        <v>0</v>
      </c>
      <c r="K13" s="169">
        <f>(财务基础数据!K14)*目录!$D$6</f>
        <v>0</v>
      </c>
      <c r="L13" s="169">
        <f>(财务基础数据!L14)*目录!$D$6</f>
        <v>0</v>
      </c>
      <c r="M13" s="169">
        <f>(财务基础数据!M14)*目录!$D$6</f>
        <v>0</v>
      </c>
      <c r="N13" s="169">
        <f>(财务基础数据!N14)*目录!$D$6</f>
        <v>0</v>
      </c>
      <c r="O13" s="169">
        <f>(财务基础数据!O14)*目录!$D$6</f>
        <v>0</v>
      </c>
      <c r="P13" s="169">
        <f>(财务基础数据!P14)*目录!$D$6</f>
        <v>0</v>
      </c>
      <c r="Q13" s="169">
        <f>(财务基础数据!Q14)*目录!$D$6</f>
        <v>0</v>
      </c>
      <c r="R13" s="169">
        <f>(财务基础数据!R14)*目录!$D$6</f>
        <v>0</v>
      </c>
      <c r="S13" s="169">
        <f>(财务基础数据!S14)*目录!$D$6</f>
        <v>0</v>
      </c>
      <c r="T13" s="169">
        <f>(财务基础数据!T14)*目录!$D$6</f>
        <v>0</v>
      </c>
      <c r="U13" s="169">
        <f>(财务基础数据!U14)*目录!$D$6</f>
        <v>0</v>
      </c>
      <c r="V13" s="169">
        <f>(财务基础数据!V14)*目录!$D$6</f>
        <v>0</v>
      </c>
      <c r="W13" s="169">
        <f>(财务基础数据!W14)*目录!$D$6</f>
        <v>0</v>
      </c>
      <c r="X13" s="169">
        <f>(财务基础数据!X14)*目录!$D$6</f>
        <v>0</v>
      </c>
      <c r="Y13" s="169">
        <f>(财务基础数据!Y14)*目录!$D$6</f>
        <v>0</v>
      </c>
      <c r="Z13" s="169">
        <f>(财务基础数据!Z14)*目录!$D$6</f>
        <v>0</v>
      </c>
      <c r="AA13" s="47">
        <f>销售预测!J18</f>
        <v>0</v>
      </c>
      <c r="AB13" s="47">
        <f>销售预测!K18</f>
        <v>0</v>
      </c>
      <c r="AC13" s="47">
        <f>销售预测!L18</f>
        <v>0</v>
      </c>
      <c r="AD13" s="47">
        <f>销售预测!M18</f>
        <v>0</v>
      </c>
      <c r="AE13" s="47">
        <f>销售预测!N18</f>
        <v>0</v>
      </c>
      <c r="AF13" s="47">
        <f>销售预测!O18</f>
        <v>0</v>
      </c>
      <c r="AG13" s="47">
        <f>销售预测!P18</f>
        <v>0</v>
      </c>
      <c r="AH13" s="47">
        <f>销售预测!Q18</f>
        <v>0</v>
      </c>
      <c r="AI13" s="47">
        <f>销售预测!R18</f>
        <v>0</v>
      </c>
      <c r="AJ13" s="47">
        <f>销售预测!S18</f>
        <v>0</v>
      </c>
    </row>
    <row r="14" spans="1:37" ht="15.95" customHeight="1">
      <c r="A14" s="160"/>
      <c r="B14" s="171" t="s">
        <v>52</v>
      </c>
      <c r="C14" s="547"/>
      <c r="D14" s="75">
        <f>(财务基础数据!D15)*目录!$D$6</f>
        <v>0</v>
      </c>
      <c r="E14" s="75">
        <f>(财务基础数据!E15)*目录!$D$6</f>
        <v>0</v>
      </c>
      <c r="F14" s="75">
        <f>(财务基础数据!F15)*目录!$D$6</f>
        <v>0</v>
      </c>
      <c r="G14" s="75">
        <f>(财务基础数据!G15)*目录!$D$6</f>
        <v>0</v>
      </c>
      <c r="H14" s="75">
        <f>(财务基础数据!H15)*目录!$D$6</f>
        <v>0</v>
      </c>
      <c r="I14" s="75">
        <f>(财务基础数据!I15)*目录!$D$6</f>
        <v>0</v>
      </c>
      <c r="J14" s="75">
        <f>(财务基础数据!J15)*目录!$D$6</f>
        <v>0</v>
      </c>
      <c r="K14" s="75">
        <f>(财务基础数据!K15)*目录!$D$6</f>
        <v>0</v>
      </c>
      <c r="L14" s="75">
        <f>(财务基础数据!L15)*目录!$D$6</f>
        <v>0</v>
      </c>
      <c r="M14" s="75">
        <f>(财务基础数据!M15)*目录!$D$6</f>
        <v>0</v>
      </c>
      <c r="N14" s="75">
        <f>(财务基础数据!N15)*目录!$D$6</f>
        <v>0</v>
      </c>
      <c r="O14" s="75">
        <f>(财务基础数据!O15)*目录!$D$6</f>
        <v>0</v>
      </c>
      <c r="P14" s="75">
        <f>(财务基础数据!P15)*目录!$D$6</f>
        <v>0</v>
      </c>
      <c r="Q14" s="75">
        <f>(财务基础数据!Q15)*目录!$D$6</f>
        <v>0</v>
      </c>
      <c r="R14" s="75">
        <f>(财务基础数据!R15)*目录!$D$6</f>
        <v>0</v>
      </c>
      <c r="S14" s="75">
        <f>(财务基础数据!S15)*目录!$D$6</f>
        <v>0</v>
      </c>
      <c r="T14" s="75">
        <f>(财务基础数据!T15)*目录!$D$6</f>
        <v>0</v>
      </c>
      <c r="U14" s="75">
        <f>(财务基础数据!U15)*目录!$D$6</f>
        <v>0</v>
      </c>
      <c r="V14" s="75">
        <f>(财务基础数据!V15)*目录!$D$6</f>
        <v>0</v>
      </c>
      <c r="W14" s="75">
        <f>(财务基础数据!W15)*目录!$D$6</f>
        <v>0</v>
      </c>
      <c r="X14" s="75">
        <f>(财务基础数据!X15)*目录!$D$6</f>
        <v>0</v>
      </c>
      <c r="Y14" s="75">
        <f>(财务基础数据!Y15)*目录!$D$6</f>
        <v>0</v>
      </c>
      <c r="Z14" s="75">
        <f>(财务基础数据!Z15)*目录!$D$6</f>
        <v>0</v>
      </c>
      <c r="AA14" s="47">
        <f>销售预测!J21</f>
        <v>0</v>
      </c>
      <c r="AB14" s="47">
        <f>销售预测!K21</f>
        <v>0</v>
      </c>
      <c r="AC14" s="47">
        <f>销售预测!L21</f>
        <v>0</v>
      </c>
      <c r="AD14" s="47">
        <f>销售预测!M21</f>
        <v>0</v>
      </c>
      <c r="AE14" s="47">
        <f>销售预测!N21</f>
        <v>0</v>
      </c>
      <c r="AF14" s="47">
        <f>销售预测!O21</f>
        <v>0</v>
      </c>
      <c r="AG14" s="47">
        <f>销售预测!P21</f>
        <v>0</v>
      </c>
      <c r="AH14" s="47">
        <f>销售预测!Q21</f>
        <v>0</v>
      </c>
      <c r="AI14" s="47">
        <f>销售预测!R21</f>
        <v>0</v>
      </c>
      <c r="AJ14" s="47">
        <f>销售预测!S21</f>
        <v>0</v>
      </c>
    </row>
    <row r="15" spans="1:37" ht="15.95" customHeight="1">
      <c r="B15" s="172" t="s">
        <v>97</v>
      </c>
      <c r="C15" s="173"/>
      <c r="D15" s="75">
        <f>(财务基础数据!D16)*目录!$D$6</f>
        <v>0</v>
      </c>
      <c r="E15" s="75">
        <f>(财务基础数据!E16)*目录!$D$6</f>
        <v>0</v>
      </c>
      <c r="F15" s="75">
        <f>(财务基础数据!F16)*目录!$D$6</f>
        <v>0</v>
      </c>
      <c r="G15" s="75">
        <f>(财务基础数据!G16)*目录!$D$6</f>
        <v>0</v>
      </c>
      <c r="H15" s="75">
        <f>(财务基础数据!H16)*目录!$D$6</f>
        <v>0</v>
      </c>
      <c r="I15" s="75">
        <f>(财务基础数据!I16)*目录!$D$6</f>
        <v>0</v>
      </c>
      <c r="J15" s="75">
        <f>(财务基础数据!J16)*目录!$D$6</f>
        <v>0</v>
      </c>
      <c r="K15" s="75">
        <f>(财务基础数据!K16)*目录!$D$6</f>
        <v>0</v>
      </c>
      <c r="L15" s="75">
        <f>(财务基础数据!L16)*目录!$D$6</f>
        <v>0</v>
      </c>
      <c r="M15" s="75">
        <f>(财务基础数据!M16)*目录!$D$6</f>
        <v>0</v>
      </c>
      <c r="N15" s="75">
        <f>(财务基础数据!N16)*目录!$D$6</f>
        <v>0</v>
      </c>
      <c r="O15" s="75">
        <f>(财务基础数据!O16)*目录!$D$6</f>
        <v>0</v>
      </c>
      <c r="P15" s="75">
        <f>(财务基础数据!P16)*目录!$D$6</f>
        <v>0</v>
      </c>
      <c r="Q15" s="75">
        <f>(财务基础数据!Q16)*目录!$D$6</f>
        <v>0</v>
      </c>
      <c r="R15" s="75">
        <f>(财务基础数据!R16)*目录!$D$6</f>
        <v>0</v>
      </c>
      <c r="S15" s="75">
        <f>(财务基础数据!S16)*目录!$D$6</f>
        <v>0</v>
      </c>
      <c r="T15" s="75">
        <f>(财务基础数据!T16)*目录!$D$6</f>
        <v>0</v>
      </c>
      <c r="U15" s="75">
        <f>(财务基础数据!U16)*目录!$D$6</f>
        <v>0</v>
      </c>
      <c r="V15" s="75">
        <f>(财务基础数据!V16)*目录!$D$6</f>
        <v>0</v>
      </c>
      <c r="W15" s="75">
        <f>(财务基础数据!W16)*目录!$D$6</f>
        <v>0</v>
      </c>
      <c r="X15" s="75">
        <f>(财务基础数据!X16)*目录!$D$6</f>
        <v>0</v>
      </c>
      <c r="Y15" s="75">
        <f>(财务基础数据!Y16)*目录!$D$6</f>
        <v>0</v>
      </c>
      <c r="Z15" s="75">
        <f>(财务基础数据!Z16)*目录!$D$6</f>
        <v>0</v>
      </c>
      <c r="AA15" s="47">
        <f>销售预测!J24</f>
        <v>0</v>
      </c>
      <c r="AB15" s="47">
        <f>销售预测!K24</f>
        <v>0</v>
      </c>
      <c r="AC15" s="47">
        <f>销售预测!L24</f>
        <v>0</v>
      </c>
      <c r="AD15" s="47">
        <f>销售预测!M24</f>
        <v>0</v>
      </c>
      <c r="AE15" s="47">
        <f>销售预测!N24</f>
        <v>0</v>
      </c>
      <c r="AF15" s="47">
        <f>销售预测!O24</f>
        <v>0</v>
      </c>
      <c r="AG15" s="47">
        <f>销售预测!P24</f>
        <v>0</v>
      </c>
      <c r="AH15" s="47">
        <f>销售预测!Q24</f>
        <v>0</v>
      </c>
      <c r="AI15" s="47">
        <f>销售预测!R24</f>
        <v>0</v>
      </c>
      <c r="AJ15" s="47">
        <f>销售预测!S24</f>
        <v>0</v>
      </c>
    </row>
    <row r="16" spans="1:37" ht="15.95" customHeight="1">
      <c r="A16" s="163"/>
      <c r="B16" s="143" t="s">
        <v>113</v>
      </c>
      <c r="C16" s="195"/>
      <c r="D16" s="75">
        <f>(财务基础数据!D18)*目录!$D$6</f>
        <v>0</v>
      </c>
      <c r="E16" s="75">
        <f>(财务基础数据!E18)*目录!$D$6</f>
        <v>0</v>
      </c>
      <c r="F16" s="75">
        <f>(财务基础数据!F18)*目录!$D$6</f>
        <v>0</v>
      </c>
      <c r="G16" s="75">
        <f>(财务基础数据!G18)*目录!$D$6</f>
        <v>0</v>
      </c>
      <c r="H16" s="75">
        <f>(财务基础数据!H18)*目录!$D$6</f>
        <v>0</v>
      </c>
      <c r="I16" s="75">
        <f>(财务基础数据!I18)*目录!$D$6</f>
        <v>0</v>
      </c>
      <c r="J16" s="75">
        <f>(财务基础数据!J18)*目录!$D$6</f>
        <v>0</v>
      </c>
      <c r="K16" s="75">
        <f>(财务基础数据!K18)*目录!$D$6</f>
        <v>0</v>
      </c>
      <c r="L16" s="75">
        <f>(财务基础数据!L18)*目录!$D$6</f>
        <v>0</v>
      </c>
      <c r="M16" s="75">
        <f>(财务基础数据!M18)*目录!$D$6</f>
        <v>0</v>
      </c>
      <c r="N16" s="75">
        <f>(财务基础数据!N18)*目录!$D$6</f>
        <v>0</v>
      </c>
      <c r="O16" s="75">
        <f>(财务基础数据!O18)*目录!$D$6</f>
        <v>0</v>
      </c>
      <c r="P16" s="75">
        <f>(财务基础数据!P18)*目录!$D$6</f>
        <v>0</v>
      </c>
      <c r="Q16" s="75">
        <f>(财务基础数据!Q18)*目录!$D$6</f>
        <v>0</v>
      </c>
      <c r="R16" s="75">
        <f>(财务基础数据!R18)*目录!$D$6</f>
        <v>0</v>
      </c>
      <c r="S16" s="75">
        <f>(财务基础数据!S18)*目录!$D$6</f>
        <v>0</v>
      </c>
      <c r="T16" s="75">
        <f>(财务基础数据!T18)*目录!$D$6</f>
        <v>0</v>
      </c>
      <c r="U16" s="75">
        <f>(财务基础数据!U18)*目录!$D$6</f>
        <v>0</v>
      </c>
      <c r="V16" s="75">
        <f>(财务基础数据!V18)*目录!$D$6</f>
        <v>0</v>
      </c>
      <c r="W16" s="75">
        <f>(财务基础数据!W18)*目录!$D$6</f>
        <v>0</v>
      </c>
      <c r="X16" s="75">
        <f>(财务基础数据!X18)*目录!$D$6</f>
        <v>0</v>
      </c>
      <c r="Y16" s="75">
        <f>(财务基础数据!Y18)*目录!$D$6</f>
        <v>0</v>
      </c>
      <c r="Z16" s="75">
        <f>(财务基础数据!Z18)*目录!$D$6</f>
        <v>0</v>
      </c>
      <c r="AA16" s="47">
        <f>销售预测!J9</f>
        <v>0</v>
      </c>
      <c r="AB16" s="47">
        <f>销售预测!K9</f>
        <v>0</v>
      </c>
      <c r="AC16" s="47">
        <f>销售预测!L9</f>
        <v>0</v>
      </c>
      <c r="AD16" s="47">
        <f>销售预测!M9</f>
        <v>0</v>
      </c>
      <c r="AE16" s="47">
        <f>销售预测!N9</f>
        <v>0</v>
      </c>
      <c r="AF16" s="47">
        <f>销售预测!O9</f>
        <v>0</v>
      </c>
      <c r="AG16" s="47">
        <f>销售预测!P9</f>
        <v>0</v>
      </c>
      <c r="AH16" s="47">
        <f>销售预测!Q9</f>
        <v>0</v>
      </c>
      <c r="AI16" s="47">
        <f>销售预测!R9</f>
        <v>0</v>
      </c>
      <c r="AJ16" s="47">
        <f>销售预测!S9</f>
        <v>0</v>
      </c>
    </row>
    <row r="17" spans="1:37" ht="15.95" customHeight="1">
      <c r="A17" s="170"/>
      <c r="B17" s="79" t="s">
        <v>58</v>
      </c>
      <c r="C17" s="547"/>
      <c r="D17" s="75">
        <f>财务基础数据!D17*目录!$D$6</f>
        <v>0</v>
      </c>
      <c r="E17" s="75">
        <f>财务基础数据!E17*目录!$D$6</f>
        <v>0</v>
      </c>
      <c r="F17" s="75">
        <f>财务基础数据!F17*目录!$D$6</f>
        <v>0</v>
      </c>
      <c r="G17" s="75">
        <f>财务基础数据!G17*目录!$D$6</f>
        <v>0</v>
      </c>
      <c r="H17" s="75">
        <f>财务基础数据!H17*目录!$D$6</f>
        <v>0</v>
      </c>
      <c r="I17" s="75">
        <f>财务基础数据!I17*目录!$D$6</f>
        <v>0</v>
      </c>
      <c r="J17" s="75">
        <f>财务基础数据!J17*目录!$D$6</f>
        <v>0</v>
      </c>
      <c r="K17" s="75">
        <f>财务基础数据!K17*目录!$D$6</f>
        <v>0</v>
      </c>
      <c r="L17" s="75">
        <f>财务基础数据!L17*目录!$D$6</f>
        <v>0</v>
      </c>
      <c r="M17" s="75">
        <f>财务基础数据!M17*目录!$D$6</f>
        <v>0</v>
      </c>
      <c r="N17" s="75">
        <f>财务基础数据!N17*目录!$D$6</f>
        <v>0</v>
      </c>
      <c r="O17" s="75">
        <f>财务基础数据!O17*目录!$D$6</f>
        <v>0</v>
      </c>
      <c r="P17" s="75">
        <f>财务基础数据!P17*目录!$D$6</f>
        <v>0</v>
      </c>
      <c r="Q17" s="75">
        <f>财务基础数据!Q17*目录!$D$6</f>
        <v>0</v>
      </c>
      <c r="R17" s="75">
        <f>财务基础数据!R17*目录!$D$6</f>
        <v>0</v>
      </c>
      <c r="S17" s="75">
        <f>财务基础数据!S17*目录!$D$6</f>
        <v>0</v>
      </c>
      <c r="T17" s="75">
        <f>财务基础数据!T17*目录!$D$6</f>
        <v>0</v>
      </c>
      <c r="U17" s="75">
        <f>财务基础数据!U17*目录!$D$6</f>
        <v>0</v>
      </c>
      <c r="V17" s="75">
        <f>财务基础数据!V17*目录!$D$6</f>
        <v>0</v>
      </c>
      <c r="W17" s="75">
        <f>财务基础数据!W17*目录!$D$6</f>
        <v>0</v>
      </c>
      <c r="X17" s="75">
        <f>财务基础数据!X17*目录!$D$6</f>
        <v>0</v>
      </c>
      <c r="Y17" s="75">
        <f>财务基础数据!Y17*目录!$D$6</f>
        <v>0</v>
      </c>
      <c r="Z17" s="75">
        <f>财务基础数据!Z17*目录!$D$6</f>
        <v>0</v>
      </c>
      <c r="AA17" s="75">
        <f>AA5-AA8</f>
        <v>0</v>
      </c>
      <c r="AB17" s="75">
        <f t="shared" ref="AB17:AJ17" si="4">AB5-AB8</f>
        <v>0</v>
      </c>
      <c r="AC17" s="75">
        <f t="shared" si="4"/>
        <v>0</v>
      </c>
      <c r="AD17" s="75">
        <f t="shared" si="4"/>
        <v>0</v>
      </c>
      <c r="AE17" s="75">
        <f t="shared" si="4"/>
        <v>0</v>
      </c>
      <c r="AF17" s="75">
        <f t="shared" si="4"/>
        <v>0</v>
      </c>
      <c r="AG17" s="75">
        <f t="shared" si="4"/>
        <v>0</v>
      </c>
      <c r="AH17" s="75">
        <f t="shared" si="4"/>
        <v>0</v>
      </c>
      <c r="AI17" s="75">
        <f t="shared" si="4"/>
        <v>0</v>
      </c>
      <c r="AJ17" s="75">
        <f t="shared" si="4"/>
        <v>0</v>
      </c>
    </row>
    <row r="18" spans="1:37" ht="15.95" customHeight="1">
      <c r="A18" s="160"/>
      <c r="B18" s="143" t="s">
        <v>99</v>
      </c>
      <c r="D18" s="75">
        <f>(财务基础数据!D19)*目录!$D$6</f>
        <v>0</v>
      </c>
      <c r="E18" s="75">
        <f>(财务基础数据!E19)*目录!$D$6</f>
        <v>0</v>
      </c>
      <c r="F18" s="75">
        <f>(财务基础数据!F19)*目录!$D$6</f>
        <v>0</v>
      </c>
      <c r="G18" s="75">
        <f>(财务基础数据!G19)*目录!$D$6</f>
        <v>0</v>
      </c>
      <c r="H18" s="75">
        <f>(财务基础数据!H19)*目录!$D$6</f>
        <v>0</v>
      </c>
      <c r="I18" s="75">
        <f>(财务基础数据!I19)*目录!$D$6</f>
        <v>0</v>
      </c>
      <c r="J18" s="75">
        <f>(财务基础数据!J19)*目录!$D$6</f>
        <v>0</v>
      </c>
      <c r="K18" s="75">
        <f>(财务基础数据!K19)*目录!$D$6</f>
        <v>0</v>
      </c>
      <c r="L18" s="75">
        <f>(财务基础数据!L19)*目录!$D$6</f>
        <v>0</v>
      </c>
      <c r="M18" s="75">
        <f>(财务基础数据!M19)*目录!$D$6</f>
        <v>0</v>
      </c>
      <c r="N18" s="75">
        <f>(财务基础数据!N19)*目录!$D$6</f>
        <v>0</v>
      </c>
      <c r="O18" s="75">
        <f>(财务基础数据!O19)*目录!$D$6</f>
        <v>0</v>
      </c>
      <c r="P18" s="75">
        <f>(财务基础数据!P19)*目录!$D$6</f>
        <v>0</v>
      </c>
      <c r="Q18" s="75">
        <f>(财务基础数据!Q19)*目录!$D$6</f>
        <v>0</v>
      </c>
      <c r="R18" s="75">
        <f>(财务基础数据!R19)*目录!$D$6</f>
        <v>0</v>
      </c>
      <c r="S18" s="75">
        <f>(财务基础数据!S19)*目录!$D$6</f>
        <v>0</v>
      </c>
      <c r="T18" s="75">
        <f>(财务基础数据!T19)*目录!$D$6</f>
        <v>0</v>
      </c>
      <c r="U18" s="75">
        <f>(财务基础数据!U19)*目录!$D$6</f>
        <v>0</v>
      </c>
      <c r="V18" s="75">
        <f>(财务基础数据!V19)*目录!$D$6</f>
        <v>0</v>
      </c>
      <c r="W18" s="75">
        <f>(财务基础数据!W19)*目录!$D$6</f>
        <v>0</v>
      </c>
      <c r="X18" s="75">
        <f>(财务基础数据!X19)*目录!$D$6</f>
        <v>0</v>
      </c>
      <c r="Y18" s="75">
        <f>(财务基础数据!Y19)*目录!$D$6</f>
        <v>0</v>
      </c>
      <c r="Z18" s="75">
        <f>(财务基础数据!Z19)*目录!$D$6</f>
        <v>0</v>
      </c>
      <c r="AA18" s="75">
        <f>资产预测!J132</f>
        <v>0</v>
      </c>
      <c r="AB18" s="75">
        <f>资产预测!K132</f>
        <v>0</v>
      </c>
      <c r="AC18" s="75">
        <f>资产预测!L132</f>
        <v>0</v>
      </c>
      <c r="AD18" s="75">
        <f>资产预测!M132</f>
        <v>0</v>
      </c>
      <c r="AE18" s="75">
        <f>资产预测!N132</f>
        <v>0</v>
      </c>
      <c r="AF18" s="75">
        <f>资产预测!O132</f>
        <v>0</v>
      </c>
      <c r="AG18" s="75">
        <f>资产预测!P132</f>
        <v>0</v>
      </c>
      <c r="AH18" s="75">
        <f>资产预测!Q132</f>
        <v>0</v>
      </c>
      <c r="AI18" s="75">
        <f>资产预测!R132</f>
        <v>0</v>
      </c>
      <c r="AJ18" s="75">
        <f>资产预测!S132</f>
        <v>0</v>
      </c>
    </row>
    <row r="19" spans="1:37" ht="15.95" customHeight="1">
      <c r="A19" s="170"/>
      <c r="B19" s="174" t="s">
        <v>100</v>
      </c>
      <c r="C19" s="195"/>
      <c r="D19" s="75">
        <f>(财务基础数据!D20)*目录!$D$6</f>
        <v>0</v>
      </c>
      <c r="E19" s="75">
        <f>(财务基础数据!E20)*目录!$D$6</f>
        <v>0</v>
      </c>
      <c r="F19" s="75">
        <f>(财务基础数据!F20)*目录!$D$6</f>
        <v>0</v>
      </c>
      <c r="G19" s="75">
        <f>(财务基础数据!G20)*目录!$D$6</f>
        <v>0</v>
      </c>
      <c r="H19" s="75">
        <f>(财务基础数据!H20)*目录!$D$6</f>
        <v>0</v>
      </c>
      <c r="I19" s="75">
        <f>(财务基础数据!I20)*目录!$D$6</f>
        <v>0</v>
      </c>
      <c r="J19" s="75">
        <f>(财务基础数据!J20)*目录!$D$6</f>
        <v>0</v>
      </c>
      <c r="K19" s="75">
        <f>(财务基础数据!K20)*目录!$D$6</f>
        <v>0</v>
      </c>
      <c r="L19" s="75">
        <f>(财务基础数据!L20)*目录!$D$6</f>
        <v>0</v>
      </c>
      <c r="M19" s="75">
        <f>(财务基础数据!M20)*目录!$D$6</f>
        <v>0</v>
      </c>
      <c r="N19" s="75">
        <f>(财务基础数据!N20)*目录!$D$6</f>
        <v>0</v>
      </c>
      <c r="O19" s="75">
        <f>(财务基础数据!O20)*目录!$D$6</f>
        <v>0</v>
      </c>
      <c r="P19" s="75">
        <f>(财务基础数据!P20)*目录!$D$6</f>
        <v>0</v>
      </c>
      <c r="Q19" s="75">
        <f>(财务基础数据!Q20)*目录!$D$6</f>
        <v>0</v>
      </c>
      <c r="R19" s="75">
        <f>(财务基础数据!R20)*目录!$D$6</f>
        <v>0</v>
      </c>
      <c r="S19" s="75">
        <f>(财务基础数据!S20)*目录!$D$6</f>
        <v>0</v>
      </c>
      <c r="T19" s="75">
        <f>(财务基础数据!T20)*目录!$D$6</f>
        <v>0</v>
      </c>
      <c r="U19" s="75">
        <f>(财务基础数据!U20)*目录!$D$6</f>
        <v>0</v>
      </c>
      <c r="V19" s="75">
        <f>(财务基础数据!V20)*目录!$D$6</f>
        <v>0</v>
      </c>
      <c r="W19" s="75">
        <f>(财务基础数据!W20)*目录!$D$6</f>
        <v>0</v>
      </c>
      <c r="X19" s="75">
        <f>(财务基础数据!X20)*目录!$D$6</f>
        <v>0</v>
      </c>
      <c r="Y19" s="75">
        <f>(财务基础数据!Y20)*目录!$D$6</f>
        <v>0</v>
      </c>
      <c r="Z19" s="75">
        <f>(财务基础数据!Z20)*目录!$D$6</f>
        <v>0</v>
      </c>
      <c r="AA19" s="47">
        <f>资产预测!J128</f>
        <v>0</v>
      </c>
      <c r="AB19" s="47">
        <f>资产预测!K128</f>
        <v>0</v>
      </c>
      <c r="AC19" s="47">
        <f>资产预测!L128</f>
        <v>0</v>
      </c>
      <c r="AD19" s="47">
        <f>资产预测!M128</f>
        <v>0</v>
      </c>
      <c r="AE19" s="47">
        <f>资产预测!N128</f>
        <v>0</v>
      </c>
      <c r="AF19" s="47">
        <f>资产预测!O128</f>
        <v>0</v>
      </c>
      <c r="AG19" s="47">
        <f>资产预测!P128</f>
        <v>0</v>
      </c>
      <c r="AH19" s="47">
        <f>资产预测!Q128</f>
        <v>0</v>
      </c>
      <c r="AI19" s="47">
        <f>资产预测!R128</f>
        <v>0</v>
      </c>
      <c r="AJ19" s="47">
        <f>资产预测!S128</f>
        <v>0</v>
      </c>
    </row>
    <row r="20" spans="1:37" ht="15.95" customHeight="1">
      <c r="A20" s="175"/>
      <c r="B20" s="143" t="s">
        <v>163</v>
      </c>
      <c r="C20" s="547"/>
      <c r="D20" s="75">
        <f>(财务基础数据!D21)*目录!$D$6</f>
        <v>0</v>
      </c>
      <c r="E20" s="75">
        <f>(财务基础数据!E21)*目录!$D$6</f>
        <v>0</v>
      </c>
      <c r="F20" s="75">
        <f>(财务基础数据!F21)*目录!$D$6</f>
        <v>0</v>
      </c>
      <c r="G20" s="75">
        <f>(财务基础数据!G21)*目录!$D$6</f>
        <v>0</v>
      </c>
      <c r="H20" s="75">
        <f>(财务基础数据!H21)*目录!$D$6</f>
        <v>0</v>
      </c>
      <c r="I20" s="75">
        <f>(财务基础数据!I21)*目录!$D$6</f>
        <v>0</v>
      </c>
      <c r="J20" s="75">
        <f>(财务基础数据!J21)*目录!$D$6</f>
        <v>0</v>
      </c>
      <c r="K20" s="75">
        <f>(财务基础数据!K21)*目录!$D$6</f>
        <v>0</v>
      </c>
      <c r="L20" s="75">
        <f>(财务基础数据!L21)*目录!$D$6</f>
        <v>0</v>
      </c>
      <c r="M20" s="75">
        <f>(财务基础数据!M21)*目录!$D$6</f>
        <v>0</v>
      </c>
      <c r="N20" s="75">
        <f>(财务基础数据!N21)*目录!$D$6</f>
        <v>0</v>
      </c>
      <c r="O20" s="75">
        <f>(财务基础数据!O21)*目录!$D$6</f>
        <v>0</v>
      </c>
      <c r="P20" s="75">
        <f>(财务基础数据!P21)*目录!$D$6</f>
        <v>0</v>
      </c>
      <c r="Q20" s="75">
        <f>(财务基础数据!Q21)*目录!$D$6</f>
        <v>0</v>
      </c>
      <c r="R20" s="75">
        <f>(财务基础数据!R21)*目录!$D$6</f>
        <v>0</v>
      </c>
      <c r="S20" s="75">
        <f>(财务基础数据!S21)*目录!$D$6</f>
        <v>0</v>
      </c>
      <c r="T20" s="75">
        <f>(财务基础数据!T21)*目录!$D$6</f>
        <v>0</v>
      </c>
      <c r="U20" s="75">
        <f>(财务基础数据!U21)*目录!$D$6</f>
        <v>0</v>
      </c>
      <c r="V20" s="75">
        <f>(财务基础数据!V21)*目录!$D$6</f>
        <v>0</v>
      </c>
      <c r="W20" s="75">
        <f>(财务基础数据!W21)*目录!$D$6</f>
        <v>0</v>
      </c>
      <c r="X20" s="75">
        <f>(财务基础数据!X21)*目录!$D$6</f>
        <v>0</v>
      </c>
      <c r="Y20" s="75">
        <f>(财务基础数据!Y21)*目录!$D$6</f>
        <v>0</v>
      </c>
      <c r="Z20" s="75">
        <f>(财务基础数据!Z21)*目录!$D$6</f>
        <v>0</v>
      </c>
      <c r="AA20" s="47">
        <f>销售预测!J27</f>
        <v>0</v>
      </c>
      <c r="AB20" s="47">
        <f>销售预测!K27</f>
        <v>0</v>
      </c>
      <c r="AC20" s="47">
        <f>销售预测!L27</f>
        <v>0</v>
      </c>
      <c r="AD20" s="47">
        <f>销售预测!M27</f>
        <v>0</v>
      </c>
      <c r="AE20" s="47">
        <f>销售预测!N27</f>
        <v>0</v>
      </c>
      <c r="AF20" s="47">
        <f>销售预测!O27</f>
        <v>0</v>
      </c>
      <c r="AG20" s="47">
        <f>销售预测!P27</f>
        <v>0</v>
      </c>
      <c r="AH20" s="47">
        <f>销售预测!Q27</f>
        <v>0</v>
      </c>
      <c r="AI20" s="47">
        <f>销售预测!R27</f>
        <v>0</v>
      </c>
      <c r="AJ20" s="47">
        <f>销售预测!S27</f>
        <v>0</v>
      </c>
    </row>
    <row r="21" spans="1:37" ht="15.95" customHeight="1">
      <c r="A21" s="160"/>
      <c r="B21" s="143" t="s">
        <v>290</v>
      </c>
      <c r="C21" s="195"/>
      <c r="D21" s="75">
        <f>财务基础数据!D36*目录!$D$6</f>
        <v>0</v>
      </c>
      <c r="E21" s="75">
        <f>财务基础数据!E36*目录!$D$6</f>
        <v>0</v>
      </c>
      <c r="F21" s="75">
        <f>财务基础数据!F36*目录!$D$6</f>
        <v>0</v>
      </c>
      <c r="G21" s="75">
        <f>财务基础数据!G36*目录!$D$6</f>
        <v>0</v>
      </c>
      <c r="H21" s="75">
        <f>财务基础数据!H36*目录!$D$6</f>
        <v>0</v>
      </c>
      <c r="I21" s="75">
        <f>财务基础数据!I36*目录!$D$6</f>
        <v>0</v>
      </c>
      <c r="J21" s="75">
        <f>财务基础数据!J36*目录!$D$6</f>
        <v>0</v>
      </c>
      <c r="K21" s="75">
        <f>财务基础数据!K36*目录!$D$6</f>
        <v>0</v>
      </c>
      <c r="L21" s="75">
        <f>财务基础数据!L36*目录!$D$6</f>
        <v>0</v>
      </c>
      <c r="M21" s="75">
        <f>财务基础数据!M36*目录!$D$6</f>
        <v>0</v>
      </c>
      <c r="N21" s="75">
        <f>财务基础数据!N36*目录!$D$6</f>
        <v>0</v>
      </c>
      <c r="O21" s="75">
        <f>财务基础数据!O36*目录!$D$6</f>
        <v>0</v>
      </c>
      <c r="P21" s="75">
        <f>财务基础数据!P36*目录!$D$6</f>
        <v>0</v>
      </c>
      <c r="Q21" s="75">
        <f>财务基础数据!Q36*目录!$D$6</f>
        <v>0</v>
      </c>
      <c r="R21" s="75">
        <f>财务基础数据!R36*目录!$D$6</f>
        <v>0</v>
      </c>
      <c r="S21" s="75">
        <f>财务基础数据!S36*目录!$D$6</f>
        <v>0</v>
      </c>
      <c r="T21" s="75">
        <f>财务基础数据!T36*目录!$D$6</f>
        <v>0</v>
      </c>
      <c r="U21" s="75">
        <f>财务基础数据!U36*目录!$D$6</f>
        <v>0</v>
      </c>
      <c r="V21" s="75">
        <f>财务基础数据!V36*目录!$D$6</f>
        <v>0</v>
      </c>
      <c r="W21" s="75">
        <f>财务基础数据!W36*目录!$D$6</f>
        <v>0</v>
      </c>
      <c r="X21" s="75">
        <f>财务基础数据!X36*目录!$D$6</f>
        <v>0</v>
      </c>
      <c r="Y21" s="75">
        <f>财务基础数据!Y36*目录!$D$6</f>
        <v>0</v>
      </c>
      <c r="Z21" s="75">
        <f>财务基础数据!Z36*目录!$D$6</f>
        <v>0</v>
      </c>
      <c r="AA21" s="47">
        <f>销售预测!J30</f>
        <v>0</v>
      </c>
      <c r="AB21" s="47">
        <f>销售预测!K30</f>
        <v>0</v>
      </c>
      <c r="AC21" s="47">
        <f>销售预测!L30</f>
        <v>0</v>
      </c>
      <c r="AD21" s="47">
        <f>销售预测!M30</f>
        <v>0</v>
      </c>
      <c r="AE21" s="47">
        <f>销售预测!N30</f>
        <v>0</v>
      </c>
      <c r="AF21" s="47">
        <f>销售预测!O30</f>
        <v>0</v>
      </c>
      <c r="AG21" s="47">
        <f>销售预测!P30</f>
        <v>0</v>
      </c>
      <c r="AH21" s="47">
        <f>销售预测!Q30</f>
        <v>0</v>
      </c>
      <c r="AI21" s="47">
        <f>销售预测!R30</f>
        <v>0</v>
      </c>
      <c r="AJ21" s="47">
        <f>销售预测!S30</f>
        <v>0</v>
      </c>
    </row>
    <row r="22" spans="1:37" ht="15.95" customHeight="1">
      <c r="A22" s="175"/>
      <c r="B22" s="79" t="s">
        <v>291</v>
      </c>
      <c r="C22" s="195"/>
      <c r="D22" s="75">
        <f>财务基础数据!D33*目录!$D$6</f>
        <v>0</v>
      </c>
      <c r="E22" s="75">
        <f>财务基础数据!E33*目录!$D$6</f>
        <v>0</v>
      </c>
      <c r="F22" s="75">
        <f>财务基础数据!F33*目录!$D$6</f>
        <v>0</v>
      </c>
      <c r="G22" s="75">
        <f>财务基础数据!G33*目录!$D$6</f>
        <v>0</v>
      </c>
      <c r="H22" s="75">
        <f>财务基础数据!H33*目录!$D$6</f>
        <v>0</v>
      </c>
      <c r="I22" s="75">
        <f>财务基础数据!I33*目录!$D$6</f>
        <v>0</v>
      </c>
      <c r="J22" s="75">
        <f>财务基础数据!J33*目录!$D$6</f>
        <v>0</v>
      </c>
      <c r="K22" s="75">
        <f>财务基础数据!K33*目录!$D$6</f>
        <v>0</v>
      </c>
      <c r="L22" s="75">
        <f>财务基础数据!L33*目录!$D$6</f>
        <v>0</v>
      </c>
      <c r="M22" s="75">
        <f>财务基础数据!M33*目录!$D$6</f>
        <v>0</v>
      </c>
      <c r="N22" s="75">
        <f>财务基础数据!N33*目录!$D$6</f>
        <v>0</v>
      </c>
      <c r="O22" s="75">
        <f>财务基础数据!O33*目录!$D$6</f>
        <v>0</v>
      </c>
      <c r="P22" s="75">
        <f>财务基础数据!P33*目录!$D$6</f>
        <v>0</v>
      </c>
      <c r="Q22" s="75">
        <f>财务基础数据!Q33*目录!$D$6</f>
        <v>0</v>
      </c>
      <c r="R22" s="75">
        <f>财务基础数据!R33*目录!$D$6</f>
        <v>0</v>
      </c>
      <c r="S22" s="75">
        <f>财务基础数据!S33*目录!$D$6</f>
        <v>0</v>
      </c>
      <c r="T22" s="75">
        <f>财务基础数据!T33*目录!$D$6</f>
        <v>0</v>
      </c>
      <c r="U22" s="75">
        <f>财务基础数据!U33*目录!$D$6</f>
        <v>0</v>
      </c>
      <c r="V22" s="75">
        <f>财务基础数据!V33*目录!$D$6</f>
        <v>0</v>
      </c>
      <c r="W22" s="75">
        <f>财务基础数据!W33*目录!$D$6</f>
        <v>0</v>
      </c>
      <c r="X22" s="75">
        <f>财务基础数据!X33*目录!$D$6</f>
        <v>0</v>
      </c>
      <c r="Y22" s="75">
        <f>财务基础数据!Y33*目录!$D$6</f>
        <v>0</v>
      </c>
      <c r="Z22" s="75">
        <f>财务基础数据!Z33*目录!$D$6</f>
        <v>0</v>
      </c>
      <c r="AA22" s="47">
        <f t="shared" ref="AA22:AJ22" si="5">AA17+AA18-AA19+AA20+AA21</f>
        <v>0</v>
      </c>
      <c r="AB22" s="47">
        <f t="shared" si="5"/>
        <v>0</v>
      </c>
      <c r="AC22" s="47">
        <f t="shared" si="5"/>
        <v>0</v>
      </c>
      <c r="AD22" s="47">
        <f t="shared" si="5"/>
        <v>0</v>
      </c>
      <c r="AE22" s="47">
        <f t="shared" si="5"/>
        <v>0</v>
      </c>
      <c r="AF22" s="47">
        <f t="shared" si="5"/>
        <v>0</v>
      </c>
      <c r="AG22" s="47">
        <f t="shared" si="5"/>
        <v>0</v>
      </c>
      <c r="AH22" s="47">
        <f t="shared" si="5"/>
        <v>0</v>
      </c>
      <c r="AI22" s="47">
        <f t="shared" si="5"/>
        <v>0</v>
      </c>
      <c r="AJ22" s="47">
        <f t="shared" si="5"/>
        <v>0</v>
      </c>
    </row>
    <row r="23" spans="1:37" ht="15.95" customHeight="1">
      <c r="A23" s="176"/>
      <c r="B23" s="143" t="s">
        <v>292</v>
      </c>
      <c r="C23" s="173"/>
      <c r="D23" s="75">
        <f>财务基础数据!D34*目录!$D$6</f>
        <v>0</v>
      </c>
      <c r="E23" s="75">
        <f>财务基础数据!E34*目录!$D$6</f>
        <v>0</v>
      </c>
      <c r="F23" s="75">
        <f>财务基础数据!F34*目录!$D$6</f>
        <v>0</v>
      </c>
      <c r="G23" s="75">
        <f>财务基础数据!G34*目录!$D$6</f>
        <v>0</v>
      </c>
      <c r="H23" s="75">
        <f>财务基础数据!H34*目录!$D$6</f>
        <v>0</v>
      </c>
      <c r="I23" s="75">
        <f>财务基础数据!I34*目录!$D$6</f>
        <v>0</v>
      </c>
      <c r="J23" s="75">
        <f>财务基础数据!J34*目录!$D$6</f>
        <v>0</v>
      </c>
      <c r="K23" s="75">
        <f>财务基础数据!K34*目录!$D$6</f>
        <v>0</v>
      </c>
      <c r="L23" s="75">
        <f>财务基础数据!L34*目录!$D$6</f>
        <v>0</v>
      </c>
      <c r="M23" s="75">
        <f>财务基础数据!M34*目录!$D$6</f>
        <v>0</v>
      </c>
      <c r="N23" s="75">
        <f>财务基础数据!N34*目录!$D$6</f>
        <v>0</v>
      </c>
      <c r="O23" s="75">
        <f>财务基础数据!O34*目录!$D$6</f>
        <v>0</v>
      </c>
      <c r="P23" s="75">
        <f>财务基础数据!P34*目录!$D$6</f>
        <v>0</v>
      </c>
      <c r="Q23" s="75">
        <f>财务基础数据!Q34*目录!$D$6</f>
        <v>0</v>
      </c>
      <c r="R23" s="75">
        <f>财务基础数据!R34*目录!$D$6</f>
        <v>0</v>
      </c>
      <c r="S23" s="75">
        <f>财务基础数据!S34*目录!$D$6</f>
        <v>0</v>
      </c>
      <c r="T23" s="75">
        <f>财务基础数据!T34*目录!$D$6</f>
        <v>0</v>
      </c>
      <c r="U23" s="75">
        <f>财务基础数据!U34*目录!$D$6</f>
        <v>0</v>
      </c>
      <c r="V23" s="75">
        <f>财务基础数据!V34*目录!$D$6</f>
        <v>0</v>
      </c>
      <c r="W23" s="75">
        <f>财务基础数据!W34*目录!$D$6</f>
        <v>0</v>
      </c>
      <c r="X23" s="75">
        <f>财务基础数据!X34*目录!$D$6</f>
        <v>0</v>
      </c>
      <c r="Y23" s="75">
        <f>财务基础数据!Y34*目录!$D$6</f>
        <v>0</v>
      </c>
      <c r="Z23" s="75">
        <f>财务基础数据!Z34*目录!$D$6</f>
        <v>0</v>
      </c>
      <c r="AA23" s="186">
        <f>IF(财务基础数据!W$2=0,W23,IF(财务基础数据!W$2=1,X23,IF(财务基础数据!W$2=2,Y23,Z23)))</f>
        <v>0</v>
      </c>
      <c r="AB23" s="186">
        <f>AA23</f>
        <v>0</v>
      </c>
      <c r="AC23" s="186">
        <f t="shared" ref="AC23:AJ23" si="6">AB23</f>
        <v>0</v>
      </c>
      <c r="AD23" s="186">
        <f t="shared" si="6"/>
        <v>0</v>
      </c>
      <c r="AE23" s="186">
        <f t="shared" si="6"/>
        <v>0</v>
      </c>
      <c r="AF23" s="186">
        <f t="shared" si="6"/>
        <v>0</v>
      </c>
      <c r="AG23" s="186">
        <f t="shared" si="6"/>
        <v>0</v>
      </c>
      <c r="AH23" s="186">
        <f t="shared" si="6"/>
        <v>0</v>
      </c>
      <c r="AI23" s="186">
        <f t="shared" si="6"/>
        <v>0</v>
      </c>
      <c r="AJ23" s="186">
        <f t="shared" si="6"/>
        <v>0</v>
      </c>
    </row>
    <row r="24" spans="1:37" ht="15.95" customHeight="1">
      <c r="A24" s="176"/>
      <c r="B24" s="79" t="s">
        <v>549</v>
      </c>
      <c r="C24" s="547"/>
      <c r="D24" s="75">
        <f>(财务基础数据!D23)*目录!$D$6</f>
        <v>0</v>
      </c>
      <c r="E24" s="75">
        <f>(财务基础数据!E23)*目录!$D$6</f>
        <v>0</v>
      </c>
      <c r="F24" s="75">
        <f>(财务基础数据!F23)*目录!$D$6</f>
        <v>0</v>
      </c>
      <c r="G24" s="75">
        <f>(财务基础数据!G23)*目录!$D$6</f>
        <v>0</v>
      </c>
      <c r="H24" s="75">
        <f>(财务基础数据!H23)*目录!$D$6</f>
        <v>0</v>
      </c>
      <c r="I24" s="75">
        <f>(财务基础数据!I23)*目录!$D$6</f>
        <v>0</v>
      </c>
      <c r="J24" s="75">
        <f>(财务基础数据!J23)*目录!$D$6</f>
        <v>0</v>
      </c>
      <c r="K24" s="75">
        <f>(财务基础数据!K23)*目录!$D$6</f>
        <v>0</v>
      </c>
      <c r="L24" s="75">
        <f>(财务基础数据!L23)*目录!$D$6</f>
        <v>0</v>
      </c>
      <c r="M24" s="75">
        <f>(财务基础数据!M23)*目录!$D$6</f>
        <v>0</v>
      </c>
      <c r="N24" s="75">
        <f>(财务基础数据!N23)*目录!$D$6</f>
        <v>0</v>
      </c>
      <c r="O24" s="75">
        <f>(财务基础数据!O23)*目录!$D$6</f>
        <v>0</v>
      </c>
      <c r="P24" s="75">
        <f>(财务基础数据!P23)*目录!$D$6</f>
        <v>0</v>
      </c>
      <c r="Q24" s="75">
        <f>(财务基础数据!Q23)*目录!$D$6</f>
        <v>0</v>
      </c>
      <c r="R24" s="75">
        <f>(财务基础数据!R23)*目录!$D$6</f>
        <v>0</v>
      </c>
      <c r="S24" s="75">
        <f>(财务基础数据!S23)*目录!$D$6</f>
        <v>0</v>
      </c>
      <c r="T24" s="75">
        <f>(财务基础数据!T23)*目录!$D$6</f>
        <v>0</v>
      </c>
      <c r="U24" s="75">
        <f>(财务基础数据!U23)*目录!$D$6</f>
        <v>0</v>
      </c>
      <c r="V24" s="75">
        <f>(财务基础数据!V23)*目录!$D$6</f>
        <v>0</v>
      </c>
      <c r="W24" s="75">
        <f>(财务基础数据!W23)*目录!$D$6</f>
        <v>0</v>
      </c>
      <c r="X24" s="75">
        <f>(财务基础数据!X23)*目录!$D$6</f>
        <v>0</v>
      </c>
      <c r="Y24" s="75">
        <f>(财务基础数据!Y23)*目录!$D$6</f>
        <v>0</v>
      </c>
      <c r="Z24" s="75">
        <f>(财务基础数据!Z23)*目录!$D$6</f>
        <v>0</v>
      </c>
      <c r="AA24" s="47">
        <f t="shared" ref="AA24:AJ24" si="7">AA22+AA23</f>
        <v>0</v>
      </c>
      <c r="AB24" s="47">
        <f t="shared" si="7"/>
        <v>0</v>
      </c>
      <c r="AC24" s="47">
        <f t="shared" si="7"/>
        <v>0</v>
      </c>
      <c r="AD24" s="47">
        <f t="shared" si="7"/>
        <v>0</v>
      </c>
      <c r="AE24" s="47">
        <f t="shared" si="7"/>
        <v>0</v>
      </c>
      <c r="AF24" s="47">
        <f t="shared" si="7"/>
        <v>0</v>
      </c>
      <c r="AG24" s="47">
        <f t="shared" si="7"/>
        <v>0</v>
      </c>
      <c r="AH24" s="47">
        <f t="shared" si="7"/>
        <v>0</v>
      </c>
      <c r="AI24" s="47">
        <f t="shared" si="7"/>
        <v>0</v>
      </c>
      <c r="AJ24" s="47">
        <f t="shared" si="7"/>
        <v>0</v>
      </c>
    </row>
    <row r="25" spans="1:37" ht="15.95" customHeight="1">
      <c r="A25" s="167"/>
      <c r="B25" s="143" t="s">
        <v>165</v>
      </c>
      <c r="C25" s="547"/>
      <c r="D25" s="75">
        <f>(财务基础数据!D24)*目录!$D$6</f>
        <v>0</v>
      </c>
      <c r="E25" s="75">
        <f>(财务基础数据!E24)*目录!$D$6</f>
        <v>0</v>
      </c>
      <c r="F25" s="75">
        <f>(财务基础数据!F24)*目录!$D$6</f>
        <v>0</v>
      </c>
      <c r="G25" s="75">
        <f>(财务基础数据!G24)*目录!$D$6</f>
        <v>0</v>
      </c>
      <c r="H25" s="75">
        <f>(财务基础数据!H24)*目录!$D$6</f>
        <v>0</v>
      </c>
      <c r="I25" s="75">
        <f>(财务基础数据!I24)*目录!$D$6</f>
        <v>0</v>
      </c>
      <c r="J25" s="75">
        <f>(财务基础数据!J24)*目录!$D$6</f>
        <v>0</v>
      </c>
      <c r="K25" s="75">
        <f>(财务基础数据!K24)*目录!$D$6</f>
        <v>0</v>
      </c>
      <c r="L25" s="75">
        <f>(财务基础数据!L24)*目录!$D$6</f>
        <v>0</v>
      </c>
      <c r="M25" s="75">
        <f>(财务基础数据!M24)*目录!$D$6</f>
        <v>0</v>
      </c>
      <c r="N25" s="75">
        <f>(财务基础数据!N24)*目录!$D$6</f>
        <v>0</v>
      </c>
      <c r="O25" s="75">
        <f>(财务基础数据!O24)*目录!$D$6</f>
        <v>0</v>
      </c>
      <c r="P25" s="75">
        <f>(财务基础数据!P24)*目录!$D$6</f>
        <v>0</v>
      </c>
      <c r="Q25" s="75">
        <f>(财务基础数据!Q24)*目录!$D$6</f>
        <v>0</v>
      </c>
      <c r="R25" s="75">
        <f>(财务基础数据!R24)*目录!$D$6</f>
        <v>0</v>
      </c>
      <c r="S25" s="75">
        <f>(财务基础数据!S24)*目录!$D$6</f>
        <v>0</v>
      </c>
      <c r="T25" s="75">
        <f>(财务基础数据!T24)*目录!$D$6</f>
        <v>0</v>
      </c>
      <c r="U25" s="75">
        <f>(财务基础数据!U24)*目录!$D$6</f>
        <v>0</v>
      </c>
      <c r="V25" s="75">
        <f>(财务基础数据!V24)*目录!$D$6</f>
        <v>0</v>
      </c>
      <c r="W25" s="75">
        <f>(财务基础数据!W24)*目录!$D$6</f>
        <v>0</v>
      </c>
      <c r="X25" s="75">
        <f>(财务基础数据!X24)*目录!$D$6</f>
        <v>0</v>
      </c>
      <c r="Y25" s="75">
        <f>(财务基础数据!Y24)*目录!$D$6</f>
        <v>0</v>
      </c>
      <c r="Z25" s="75">
        <f>(财务基础数据!Z24)*目录!$D$6</f>
        <v>0</v>
      </c>
      <c r="AA25" s="47">
        <f>销售预测!J33</f>
        <v>0</v>
      </c>
      <c r="AB25" s="47">
        <f>销售预测!K33</f>
        <v>0</v>
      </c>
      <c r="AC25" s="47">
        <f>销售预测!L33</f>
        <v>0</v>
      </c>
      <c r="AD25" s="47">
        <f>销售预测!M33</f>
        <v>0</v>
      </c>
      <c r="AE25" s="47">
        <f>销售预测!N33</f>
        <v>0</v>
      </c>
      <c r="AF25" s="47">
        <f>销售预测!O33</f>
        <v>0</v>
      </c>
      <c r="AG25" s="47">
        <f>销售预测!P33</f>
        <v>0</v>
      </c>
      <c r="AH25" s="47">
        <f>销售预测!Q33</f>
        <v>0</v>
      </c>
      <c r="AI25" s="47">
        <f>销售预测!R33</f>
        <v>0</v>
      </c>
      <c r="AJ25" s="47">
        <f>销售预测!S33</f>
        <v>0</v>
      </c>
    </row>
    <row r="26" spans="1:37" ht="15.95" customHeight="1">
      <c r="A26" s="167"/>
      <c r="B26" s="79" t="s">
        <v>539</v>
      </c>
      <c r="C26" s="547"/>
      <c r="D26" s="75">
        <f>D24-D25</f>
        <v>0</v>
      </c>
      <c r="E26" s="75">
        <f t="shared" ref="E26:AJ26" si="8">E24-E25</f>
        <v>0</v>
      </c>
      <c r="F26" s="75">
        <f t="shared" si="8"/>
        <v>0</v>
      </c>
      <c r="G26" s="75">
        <f t="shared" si="8"/>
        <v>0</v>
      </c>
      <c r="H26" s="75">
        <f t="shared" si="8"/>
        <v>0</v>
      </c>
      <c r="I26" s="75">
        <f t="shared" si="8"/>
        <v>0</v>
      </c>
      <c r="J26" s="75">
        <f t="shared" si="8"/>
        <v>0</v>
      </c>
      <c r="K26" s="75">
        <f t="shared" si="8"/>
        <v>0</v>
      </c>
      <c r="L26" s="75">
        <f t="shared" si="8"/>
        <v>0</v>
      </c>
      <c r="M26" s="75">
        <f t="shared" si="8"/>
        <v>0</v>
      </c>
      <c r="N26" s="75">
        <f t="shared" si="8"/>
        <v>0</v>
      </c>
      <c r="O26" s="75">
        <f t="shared" si="8"/>
        <v>0</v>
      </c>
      <c r="P26" s="75">
        <f t="shared" si="8"/>
        <v>0</v>
      </c>
      <c r="Q26" s="75">
        <f t="shared" si="8"/>
        <v>0</v>
      </c>
      <c r="R26" s="75">
        <f t="shared" si="8"/>
        <v>0</v>
      </c>
      <c r="S26" s="75">
        <f t="shared" si="8"/>
        <v>0</v>
      </c>
      <c r="T26" s="75">
        <f t="shared" si="8"/>
        <v>0</v>
      </c>
      <c r="U26" s="75">
        <f t="shared" si="8"/>
        <v>0</v>
      </c>
      <c r="V26" s="75">
        <f t="shared" si="8"/>
        <v>0</v>
      </c>
      <c r="W26" s="75">
        <f t="shared" si="8"/>
        <v>0</v>
      </c>
      <c r="X26" s="75">
        <f t="shared" si="8"/>
        <v>0</v>
      </c>
      <c r="Y26" s="75">
        <f t="shared" si="8"/>
        <v>0</v>
      </c>
      <c r="Z26" s="75">
        <f t="shared" si="8"/>
        <v>0</v>
      </c>
      <c r="AA26" s="75">
        <f t="shared" si="8"/>
        <v>0</v>
      </c>
      <c r="AB26" s="75">
        <f t="shared" si="8"/>
        <v>0</v>
      </c>
      <c r="AC26" s="75">
        <f t="shared" si="8"/>
        <v>0</v>
      </c>
      <c r="AD26" s="75">
        <f t="shared" si="8"/>
        <v>0</v>
      </c>
      <c r="AE26" s="75">
        <f t="shared" si="8"/>
        <v>0</v>
      </c>
      <c r="AF26" s="75">
        <f t="shared" si="8"/>
        <v>0</v>
      </c>
      <c r="AG26" s="75">
        <f t="shared" si="8"/>
        <v>0</v>
      </c>
      <c r="AH26" s="75">
        <f t="shared" si="8"/>
        <v>0</v>
      </c>
      <c r="AI26" s="75">
        <f t="shared" si="8"/>
        <v>0</v>
      </c>
      <c r="AJ26" s="75">
        <f t="shared" si="8"/>
        <v>0</v>
      </c>
    </row>
    <row r="27" spans="1:37" ht="15.95" customHeight="1">
      <c r="A27" s="167"/>
      <c r="B27" s="143" t="s">
        <v>65</v>
      </c>
      <c r="C27" s="547"/>
      <c r="D27" s="75">
        <f>(财务基础数据!D25)*目录!$D$6</f>
        <v>0</v>
      </c>
      <c r="E27" s="75">
        <f>(财务基础数据!E25)*目录!$D$6</f>
        <v>0</v>
      </c>
      <c r="F27" s="75">
        <f>(财务基础数据!F25)*目录!$D$6</f>
        <v>0</v>
      </c>
      <c r="G27" s="75">
        <f>(财务基础数据!G25)*目录!$D$6</f>
        <v>0</v>
      </c>
      <c r="H27" s="75">
        <f>(财务基础数据!H25)*目录!$D$6</f>
        <v>0</v>
      </c>
      <c r="I27" s="75">
        <f>(财务基础数据!I25)*目录!$D$6</f>
        <v>0</v>
      </c>
      <c r="J27" s="75">
        <f>(财务基础数据!J25)*目录!$D$6</f>
        <v>0</v>
      </c>
      <c r="K27" s="75">
        <f>(财务基础数据!K25)*目录!$D$6</f>
        <v>0</v>
      </c>
      <c r="L27" s="75">
        <f>(财务基础数据!L25)*目录!$D$6</f>
        <v>0</v>
      </c>
      <c r="M27" s="75">
        <f>(财务基础数据!M25)*目录!$D$6</f>
        <v>0</v>
      </c>
      <c r="N27" s="75">
        <f>(财务基础数据!N25)*目录!$D$6</f>
        <v>0</v>
      </c>
      <c r="O27" s="75">
        <f>(财务基础数据!O25)*目录!$D$6</f>
        <v>0</v>
      </c>
      <c r="P27" s="75">
        <f>(财务基础数据!P25)*目录!$D$6</f>
        <v>0</v>
      </c>
      <c r="Q27" s="75">
        <f>(财务基础数据!Q25)*目录!$D$6</f>
        <v>0</v>
      </c>
      <c r="R27" s="75">
        <f>(财务基础数据!R25)*目录!$D$6</f>
        <v>0</v>
      </c>
      <c r="S27" s="75">
        <f>(财务基础数据!S25)*目录!$D$6</f>
        <v>0</v>
      </c>
      <c r="T27" s="75">
        <f>(财务基础数据!T25)*目录!$D$6</f>
        <v>0</v>
      </c>
      <c r="U27" s="75">
        <f>(财务基础数据!U25)*目录!$D$6</f>
        <v>0</v>
      </c>
      <c r="V27" s="75">
        <f>(财务基础数据!V25)*目录!$D$6</f>
        <v>0</v>
      </c>
      <c r="W27" s="75">
        <f>(财务基础数据!W25)*目录!$D$6</f>
        <v>0</v>
      </c>
      <c r="X27" s="75">
        <f>(财务基础数据!X25)*目录!$D$6</f>
        <v>0</v>
      </c>
      <c r="Y27" s="75">
        <f>(财务基础数据!Y25)*目录!$D$6</f>
        <v>0</v>
      </c>
      <c r="Z27" s="75">
        <f>(财务基础数据!Z25)*目录!$D$6</f>
        <v>0</v>
      </c>
      <c r="AA27" s="47">
        <f>销售预测!J36</f>
        <v>0</v>
      </c>
      <c r="AB27" s="47">
        <f>销售预测!K36</f>
        <v>0</v>
      </c>
      <c r="AC27" s="47">
        <f>销售预测!L36</f>
        <v>0</v>
      </c>
      <c r="AD27" s="47">
        <f>销售预测!M36</f>
        <v>0</v>
      </c>
      <c r="AE27" s="47">
        <f>销售预测!N36</f>
        <v>0</v>
      </c>
      <c r="AF27" s="47">
        <f>销售预测!O36</f>
        <v>0</v>
      </c>
      <c r="AG27" s="47">
        <f>销售预测!P36</f>
        <v>0</v>
      </c>
      <c r="AH27" s="47">
        <f>销售预测!Q36</f>
        <v>0</v>
      </c>
      <c r="AI27" s="47">
        <f>销售预测!R36</f>
        <v>0</v>
      </c>
      <c r="AJ27" s="47">
        <f>销售预测!S36</f>
        <v>0</v>
      </c>
    </row>
    <row r="28" spans="1:37" ht="15.95" customHeight="1">
      <c r="A28" s="167"/>
      <c r="B28" s="143" t="s">
        <v>541</v>
      </c>
      <c r="C28" s="547"/>
      <c r="D28" s="75">
        <f>财务基础数据!D37*目录!$D$6</f>
        <v>0</v>
      </c>
      <c r="E28" s="75">
        <f>财务基础数据!E37*目录!$D$6</f>
        <v>0</v>
      </c>
      <c r="F28" s="75">
        <f>财务基础数据!F37*目录!$D$6</f>
        <v>0</v>
      </c>
      <c r="G28" s="75">
        <f>财务基础数据!G37*目录!$D$6</f>
        <v>0</v>
      </c>
      <c r="H28" s="75">
        <f>财务基础数据!H37*目录!$D$6</f>
        <v>0</v>
      </c>
      <c r="I28" s="75">
        <f>财务基础数据!I37*目录!$D$6</f>
        <v>0</v>
      </c>
      <c r="J28" s="75">
        <f>财务基础数据!J37*目录!$D$6</f>
        <v>0</v>
      </c>
      <c r="K28" s="75">
        <f>财务基础数据!K37*目录!$D$6</f>
        <v>0</v>
      </c>
      <c r="L28" s="75">
        <f>财务基础数据!L37*目录!$D$6</f>
        <v>0</v>
      </c>
      <c r="M28" s="75">
        <f>财务基础数据!M37*目录!$D$6</f>
        <v>0</v>
      </c>
      <c r="N28" s="75">
        <f>财务基础数据!N37*目录!$D$6</f>
        <v>0</v>
      </c>
      <c r="O28" s="75">
        <f>财务基础数据!O37*目录!$D$6</f>
        <v>0</v>
      </c>
      <c r="P28" s="75">
        <f>财务基础数据!P37*目录!$D$6</f>
        <v>0</v>
      </c>
      <c r="Q28" s="75">
        <f>财务基础数据!Q37*目录!$D$6</f>
        <v>0</v>
      </c>
      <c r="R28" s="75">
        <f>财务基础数据!R37*目录!$D$6</f>
        <v>0</v>
      </c>
      <c r="S28" s="75">
        <f>财务基础数据!S37*目录!$D$6</f>
        <v>0</v>
      </c>
      <c r="T28" s="75">
        <f>财务基础数据!T37*目录!$D$6</f>
        <v>0</v>
      </c>
      <c r="U28" s="75">
        <f>财务基础数据!U37*目录!$D$6</f>
        <v>0</v>
      </c>
      <c r="V28" s="75">
        <f>财务基础数据!V37*目录!$D$6</f>
        <v>0</v>
      </c>
      <c r="W28" s="75">
        <f>财务基础数据!W37*目录!$D$6</f>
        <v>0</v>
      </c>
      <c r="X28" s="75">
        <f>财务基础数据!X37*目录!$D$6</f>
        <v>0</v>
      </c>
      <c r="Y28" s="75">
        <f>财务基础数据!Y37*目录!$D$6</f>
        <v>0</v>
      </c>
      <c r="Z28" s="75">
        <f>财务基础数据!Z37*目录!$D$6</f>
        <v>0</v>
      </c>
      <c r="AA28" s="211">
        <f>IF(财务基础数据!W$2=0,W28,IF(财务基础数据!W$2=1,X28,IF(财务基础数据!W$2=2,Y28,Z28)))</f>
        <v>0</v>
      </c>
      <c r="AB28" s="186">
        <f>AA28</f>
        <v>0</v>
      </c>
      <c r="AC28" s="186">
        <f t="shared" ref="AC28" si="9">AB28</f>
        <v>0</v>
      </c>
      <c r="AD28" s="186">
        <f t="shared" ref="AD28" si="10">AC28</f>
        <v>0</v>
      </c>
      <c r="AE28" s="186">
        <f t="shared" ref="AE28" si="11">AD28</f>
        <v>0</v>
      </c>
      <c r="AF28" s="186">
        <f t="shared" ref="AF28" si="12">AE28</f>
        <v>0</v>
      </c>
      <c r="AG28" s="186">
        <f t="shared" ref="AG28" si="13">AF28</f>
        <v>0</v>
      </c>
      <c r="AH28" s="186">
        <f t="shared" ref="AH28" si="14">AG28</f>
        <v>0</v>
      </c>
      <c r="AI28" s="186">
        <f t="shared" ref="AI28" si="15">AH28</f>
        <v>0</v>
      </c>
      <c r="AJ28" s="186">
        <f t="shared" ref="AJ28" si="16">AI28</f>
        <v>0</v>
      </c>
    </row>
    <row r="29" spans="1:37" ht="15.95" customHeight="1">
      <c r="A29" s="160"/>
      <c r="B29" s="79" t="s">
        <v>542</v>
      </c>
      <c r="C29" s="547"/>
      <c r="D29" s="75">
        <f>财务基础数据!D26*目录!$D$6</f>
        <v>0</v>
      </c>
      <c r="E29" s="75">
        <f>财务基础数据!E26*目录!$D$6</f>
        <v>0</v>
      </c>
      <c r="F29" s="75">
        <f>财务基础数据!F26*目录!$D$6</f>
        <v>0</v>
      </c>
      <c r="G29" s="75">
        <f>财务基础数据!G26*目录!$D$6</f>
        <v>0</v>
      </c>
      <c r="H29" s="75">
        <f>财务基础数据!H26*目录!$D$6</f>
        <v>0</v>
      </c>
      <c r="I29" s="75">
        <f>财务基础数据!I26*目录!$D$6</f>
        <v>0</v>
      </c>
      <c r="J29" s="75">
        <f>财务基础数据!J26*目录!$D$6</f>
        <v>0</v>
      </c>
      <c r="K29" s="75">
        <f>财务基础数据!K26*目录!$D$6</f>
        <v>0</v>
      </c>
      <c r="L29" s="75">
        <f>财务基础数据!L26*目录!$D$6</f>
        <v>0</v>
      </c>
      <c r="M29" s="75">
        <f>财务基础数据!M26*目录!$D$6</f>
        <v>0</v>
      </c>
      <c r="N29" s="75">
        <f>财务基础数据!N26*目录!$D$6</f>
        <v>0</v>
      </c>
      <c r="O29" s="75">
        <f>财务基础数据!O26*目录!$D$6</f>
        <v>0</v>
      </c>
      <c r="P29" s="75">
        <f>财务基础数据!P26*目录!$D$6</f>
        <v>0</v>
      </c>
      <c r="Q29" s="75">
        <f>财务基础数据!Q26*目录!$D$6</f>
        <v>0</v>
      </c>
      <c r="R29" s="75">
        <f>财务基础数据!R26*目录!$D$6</f>
        <v>0</v>
      </c>
      <c r="S29" s="75">
        <f>财务基础数据!S26*目录!$D$6</f>
        <v>0</v>
      </c>
      <c r="T29" s="75">
        <f>财务基础数据!T26*目录!$D$6</f>
        <v>0</v>
      </c>
      <c r="U29" s="75">
        <f>财务基础数据!U26*目录!$D$6</f>
        <v>0</v>
      </c>
      <c r="V29" s="75">
        <f>财务基础数据!V26*目录!$D$6</f>
        <v>0</v>
      </c>
      <c r="W29" s="75">
        <f>财务基础数据!W26*目录!$D$6</f>
        <v>0</v>
      </c>
      <c r="X29" s="75">
        <f>财务基础数据!X26*目录!$D$6</f>
        <v>0</v>
      </c>
      <c r="Y29" s="75">
        <f>财务基础数据!Y26*目录!$D$6</f>
        <v>0</v>
      </c>
      <c r="Z29" s="75">
        <f>财务基础数据!Z26*目录!$D$6</f>
        <v>0</v>
      </c>
      <c r="AA29" s="75">
        <f>AA26-AA27+AA28</f>
        <v>0</v>
      </c>
      <c r="AB29" s="75">
        <f t="shared" ref="AB29:AJ29" si="17">AB26-AB27+AB28</f>
        <v>0</v>
      </c>
      <c r="AC29" s="75">
        <f t="shared" si="17"/>
        <v>0</v>
      </c>
      <c r="AD29" s="75">
        <f t="shared" si="17"/>
        <v>0</v>
      </c>
      <c r="AE29" s="75">
        <f t="shared" si="17"/>
        <v>0</v>
      </c>
      <c r="AF29" s="75">
        <f t="shared" si="17"/>
        <v>0</v>
      </c>
      <c r="AG29" s="75">
        <f t="shared" si="17"/>
        <v>0</v>
      </c>
      <c r="AH29" s="75">
        <f t="shared" si="17"/>
        <v>0</v>
      </c>
      <c r="AI29" s="75">
        <f t="shared" si="17"/>
        <v>0</v>
      </c>
      <c r="AJ29" s="75">
        <f t="shared" si="17"/>
        <v>0</v>
      </c>
      <c r="AK29" s="75"/>
    </row>
    <row r="30" spans="1:37" ht="15.95" customHeight="1">
      <c r="A30" s="167"/>
      <c r="B30" s="143" t="s">
        <v>294</v>
      </c>
      <c r="C30" s="547"/>
      <c r="D30" s="75">
        <f>财务基础数据!D35*目录!$D$6</f>
        <v>0</v>
      </c>
      <c r="E30" s="75">
        <f>财务基础数据!E35*目录!$D$6</f>
        <v>0</v>
      </c>
      <c r="F30" s="75">
        <f>财务基础数据!F35*目录!$D$6</f>
        <v>0</v>
      </c>
      <c r="G30" s="75">
        <f>财务基础数据!G35*目录!$D$6</f>
        <v>0</v>
      </c>
      <c r="H30" s="75">
        <f>财务基础数据!H35*目录!$D$6</f>
        <v>0</v>
      </c>
      <c r="I30" s="75">
        <f>财务基础数据!I35*目录!$D$6</f>
        <v>0</v>
      </c>
      <c r="J30" s="75">
        <f>财务基础数据!J35*目录!$D$6</f>
        <v>0</v>
      </c>
      <c r="K30" s="75">
        <f>财务基础数据!K35*目录!$D$6</f>
        <v>0</v>
      </c>
      <c r="L30" s="75">
        <f>财务基础数据!L35*目录!$D$6</f>
        <v>0</v>
      </c>
      <c r="M30" s="75">
        <f>财务基础数据!M35*目录!$D$6</f>
        <v>0</v>
      </c>
      <c r="N30" s="75">
        <f>财务基础数据!N35*目录!$D$6</f>
        <v>0</v>
      </c>
      <c r="O30" s="75">
        <f>财务基础数据!O35*目录!$D$6</f>
        <v>0</v>
      </c>
      <c r="P30" s="75">
        <f>财务基础数据!P35*目录!$D$6</f>
        <v>0</v>
      </c>
      <c r="Q30" s="75">
        <f>财务基础数据!Q35*目录!$D$6</f>
        <v>0</v>
      </c>
      <c r="R30" s="75">
        <f>财务基础数据!R35*目录!$D$6</f>
        <v>0</v>
      </c>
      <c r="S30" s="75">
        <f>财务基础数据!S35*目录!$D$6</f>
        <v>0</v>
      </c>
      <c r="T30" s="75">
        <f>财务基础数据!T35*目录!$D$6</f>
        <v>0</v>
      </c>
      <c r="U30" s="75">
        <f>财务基础数据!U35*目录!$D$6</f>
        <v>0</v>
      </c>
      <c r="V30" s="75">
        <f>财务基础数据!V35*目录!$D$6</f>
        <v>0</v>
      </c>
      <c r="W30" s="75">
        <f>财务基础数据!W35*目录!$D$6</f>
        <v>0</v>
      </c>
      <c r="X30" s="75">
        <f>财务基础数据!X35*目录!$D$6</f>
        <v>0</v>
      </c>
      <c r="Y30" s="75">
        <f>财务基础数据!Y35*目录!$D$6</f>
        <v>0</v>
      </c>
      <c r="Z30" s="75">
        <f>财务基础数据!Z35*目录!$D$6</f>
        <v>0</v>
      </c>
      <c r="AA30" s="186">
        <f>IF(财务基础数据!W$2=0,W30,IF(财务基础数据!W$2=1,X30,IF(财务基础数据!W$2=2,Y30,Z30)))</f>
        <v>0</v>
      </c>
      <c r="AB30" s="186">
        <f t="shared" ref="AB30:AJ30" si="18">AA30</f>
        <v>0</v>
      </c>
      <c r="AC30" s="186">
        <f t="shared" si="18"/>
        <v>0</v>
      </c>
      <c r="AD30" s="186">
        <f t="shared" si="18"/>
        <v>0</v>
      </c>
      <c r="AE30" s="186">
        <f t="shared" si="18"/>
        <v>0</v>
      </c>
      <c r="AF30" s="186">
        <f t="shared" si="18"/>
        <v>0</v>
      </c>
      <c r="AG30" s="186">
        <f t="shared" si="18"/>
        <v>0</v>
      </c>
      <c r="AH30" s="186">
        <f t="shared" si="18"/>
        <v>0</v>
      </c>
      <c r="AI30" s="186">
        <f t="shared" si="18"/>
        <v>0</v>
      </c>
      <c r="AJ30" s="186">
        <f t="shared" si="18"/>
        <v>0</v>
      </c>
    </row>
    <row r="31" spans="1:37" ht="15.95" customHeight="1">
      <c r="A31" s="167"/>
      <c r="B31" s="143" t="s">
        <v>295</v>
      </c>
      <c r="C31" s="173"/>
      <c r="D31" s="75">
        <f>(财务基础数据!D27)*目录!$D$6</f>
        <v>0</v>
      </c>
      <c r="E31" s="75">
        <f>(财务基础数据!E27)*目录!$D$6</f>
        <v>0</v>
      </c>
      <c r="F31" s="75">
        <f>(财务基础数据!F27)*目录!$D$6</f>
        <v>0</v>
      </c>
      <c r="G31" s="75">
        <f>(财务基础数据!G27)*目录!$D$6</f>
        <v>0</v>
      </c>
      <c r="H31" s="75">
        <f>(财务基础数据!H27)*目录!$D$6</f>
        <v>0</v>
      </c>
      <c r="I31" s="75">
        <f>(财务基础数据!I27)*目录!$D$6</f>
        <v>0</v>
      </c>
      <c r="J31" s="75">
        <f>(财务基础数据!J27)*目录!$D$6</f>
        <v>0</v>
      </c>
      <c r="K31" s="75">
        <f>(财务基础数据!K27)*目录!$D$6</f>
        <v>0</v>
      </c>
      <c r="L31" s="75">
        <f>(财务基础数据!L27)*目录!$D$6</f>
        <v>0</v>
      </c>
      <c r="M31" s="75">
        <f>(财务基础数据!M27)*目录!$D$6</f>
        <v>0</v>
      </c>
      <c r="N31" s="75">
        <f>(财务基础数据!N27)*目录!$D$6</f>
        <v>0</v>
      </c>
      <c r="O31" s="75">
        <f>(财务基础数据!O27)*目录!$D$6</f>
        <v>0</v>
      </c>
      <c r="P31" s="75">
        <f>(财务基础数据!P27)*目录!$D$6</f>
        <v>0</v>
      </c>
      <c r="Q31" s="75">
        <f>(财务基础数据!Q27)*目录!$D$6</f>
        <v>0</v>
      </c>
      <c r="R31" s="75">
        <f>(财务基础数据!R27)*目录!$D$6</f>
        <v>0</v>
      </c>
      <c r="S31" s="75">
        <f>(财务基础数据!S27)*目录!$D$6</f>
        <v>0</v>
      </c>
      <c r="T31" s="75">
        <f>(财务基础数据!T27)*目录!$D$6</f>
        <v>0</v>
      </c>
      <c r="U31" s="75">
        <f>(财务基础数据!U27)*目录!$D$6</f>
        <v>0</v>
      </c>
      <c r="V31" s="75">
        <f>(财务基础数据!V27)*目录!$D$6</f>
        <v>0</v>
      </c>
      <c r="W31" s="75">
        <f>(财务基础数据!W27)*目录!$D$6</f>
        <v>0</v>
      </c>
      <c r="X31" s="75">
        <f>(财务基础数据!X27)*目录!$D$6</f>
        <v>0</v>
      </c>
      <c r="Y31" s="75">
        <f>(财务基础数据!Y27)*目录!$D$6</f>
        <v>0</v>
      </c>
      <c r="Z31" s="75">
        <f>(财务基础数据!Z27)*目录!$D$6</f>
        <v>0</v>
      </c>
      <c r="AA31" s="47">
        <f>AA29-AA30</f>
        <v>0</v>
      </c>
      <c r="AB31" s="47">
        <f t="shared" ref="AB31:AJ31" si="19">AB29-AB30</f>
        <v>0</v>
      </c>
      <c r="AC31" s="47">
        <f t="shared" si="19"/>
        <v>0</v>
      </c>
      <c r="AD31" s="47">
        <f t="shared" si="19"/>
        <v>0</v>
      </c>
      <c r="AE31" s="47">
        <f t="shared" si="19"/>
        <v>0</v>
      </c>
      <c r="AF31" s="47">
        <f t="shared" si="19"/>
        <v>0</v>
      </c>
      <c r="AG31" s="47">
        <f t="shared" si="19"/>
        <v>0</v>
      </c>
      <c r="AH31" s="47">
        <f t="shared" si="19"/>
        <v>0</v>
      </c>
      <c r="AI31" s="47">
        <f t="shared" si="19"/>
        <v>0</v>
      </c>
      <c r="AJ31" s="47">
        <f t="shared" si="19"/>
        <v>0</v>
      </c>
    </row>
    <row r="32" spans="1:37" ht="15.95" customHeight="1">
      <c r="A32" s="167"/>
      <c r="B32" s="17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7"/>
      <c r="AI32" s="187"/>
      <c r="AJ32" s="187"/>
    </row>
    <row r="33" spans="1:37" ht="15.95" customHeight="1">
      <c r="A33" s="167"/>
      <c r="B33" s="178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</row>
    <row r="34" spans="1:37" ht="15.95" customHeight="1">
      <c r="A34" s="163"/>
      <c r="B34" s="19" t="s">
        <v>61</v>
      </c>
      <c r="C34" s="550"/>
      <c r="D34" s="550"/>
      <c r="E34" s="75">
        <f>E35+现金流量表!E6</f>
        <v>0</v>
      </c>
      <c r="F34" s="75"/>
      <c r="G34" s="75">
        <f>G35+现金流量表!G6</f>
        <v>0</v>
      </c>
      <c r="H34" s="75"/>
      <c r="I34" s="75">
        <f>I35+现金流量表!I6</f>
        <v>0</v>
      </c>
      <c r="J34" s="75"/>
      <c r="K34" s="75">
        <f>K35+现金流量表!K6</f>
        <v>0</v>
      </c>
      <c r="L34" s="75"/>
      <c r="M34" s="75">
        <f>M35+现金流量表!M6</f>
        <v>0</v>
      </c>
      <c r="N34" s="75"/>
      <c r="O34" s="75">
        <f>O35+现金流量表!O6</f>
        <v>0</v>
      </c>
      <c r="P34" s="75"/>
      <c r="Q34" s="75">
        <f>Q35+现金流量表!Q6</f>
        <v>0</v>
      </c>
      <c r="R34" s="75"/>
      <c r="S34" s="75">
        <f>S35+现金流量表!S6</f>
        <v>0</v>
      </c>
      <c r="T34" s="75"/>
      <c r="U34" s="75">
        <f>U35+现金流量表!U6</f>
        <v>0</v>
      </c>
      <c r="V34" s="75"/>
      <c r="W34" s="75">
        <f>W35+现金流量表!W6</f>
        <v>0</v>
      </c>
      <c r="X34" s="75"/>
      <c r="Y34" s="75">
        <f>Y35+现金流量表!Y6</f>
        <v>0</v>
      </c>
      <c r="Z34" s="75"/>
      <c r="AA34" s="75">
        <f>AA35+现金流量表!AA6</f>
        <v>0</v>
      </c>
      <c r="AB34" s="75">
        <f>AB35+现金流量表!AB6</f>
        <v>0</v>
      </c>
      <c r="AC34" s="75">
        <f>AC35+现金流量表!AC6</f>
        <v>0</v>
      </c>
      <c r="AD34" s="75">
        <f>AD35+现金流量表!AD6</f>
        <v>0</v>
      </c>
      <c r="AE34" s="75">
        <f>AE35+现金流量表!AE6</f>
        <v>0</v>
      </c>
      <c r="AF34" s="75">
        <f>AF35+现金流量表!AF6</f>
        <v>0</v>
      </c>
      <c r="AG34" s="75">
        <f>AG35+现金流量表!AG6</f>
        <v>0</v>
      </c>
      <c r="AH34" s="75">
        <f>AH35+现金流量表!AH6</f>
        <v>0</v>
      </c>
      <c r="AI34" s="75">
        <f>AI35+现金流量表!AI6</f>
        <v>0</v>
      </c>
      <c r="AJ34" s="75">
        <f>AJ35+现金流量表!AJ6</f>
        <v>0</v>
      </c>
    </row>
    <row r="35" spans="1:37" ht="15.95" customHeight="1" thickBot="1">
      <c r="A35" s="163"/>
      <c r="B35" s="179" t="s">
        <v>53</v>
      </c>
      <c r="C35" s="551"/>
      <c r="D35" s="551"/>
      <c r="E35" s="425">
        <f>E24+E19-E18</f>
        <v>0</v>
      </c>
      <c r="F35" s="425"/>
      <c r="G35" s="425">
        <f t="shared" ref="G35:AJ35" si="20">G24+G19-G18</f>
        <v>0</v>
      </c>
      <c r="H35" s="425"/>
      <c r="I35" s="425">
        <f t="shared" si="20"/>
        <v>0</v>
      </c>
      <c r="J35" s="425"/>
      <c r="K35" s="425">
        <f t="shared" si="20"/>
        <v>0</v>
      </c>
      <c r="L35" s="425"/>
      <c r="M35" s="425">
        <f t="shared" si="20"/>
        <v>0</v>
      </c>
      <c r="N35" s="425"/>
      <c r="O35" s="425">
        <f t="shared" si="20"/>
        <v>0</v>
      </c>
      <c r="P35" s="425"/>
      <c r="Q35" s="425">
        <f t="shared" si="20"/>
        <v>0</v>
      </c>
      <c r="R35" s="425"/>
      <c r="S35" s="425">
        <f t="shared" si="20"/>
        <v>0</v>
      </c>
      <c r="T35" s="425"/>
      <c r="U35" s="425">
        <f t="shared" si="20"/>
        <v>0</v>
      </c>
      <c r="V35" s="425"/>
      <c r="W35" s="425">
        <f t="shared" si="20"/>
        <v>0</v>
      </c>
      <c r="X35" s="425"/>
      <c r="Y35" s="425">
        <f t="shared" si="20"/>
        <v>0</v>
      </c>
      <c r="Z35" s="425"/>
      <c r="AA35" s="425">
        <f t="shared" si="20"/>
        <v>0</v>
      </c>
      <c r="AB35" s="425">
        <f t="shared" si="20"/>
        <v>0</v>
      </c>
      <c r="AC35" s="425">
        <f t="shared" si="20"/>
        <v>0</v>
      </c>
      <c r="AD35" s="425">
        <f t="shared" si="20"/>
        <v>0</v>
      </c>
      <c r="AE35" s="425">
        <f t="shared" si="20"/>
        <v>0</v>
      </c>
      <c r="AF35" s="425">
        <f t="shared" si="20"/>
        <v>0</v>
      </c>
      <c r="AG35" s="425">
        <f t="shared" si="20"/>
        <v>0</v>
      </c>
      <c r="AH35" s="425">
        <f t="shared" si="20"/>
        <v>0</v>
      </c>
      <c r="AI35" s="425">
        <f t="shared" si="20"/>
        <v>0</v>
      </c>
      <c r="AJ35" s="425">
        <f t="shared" si="20"/>
        <v>0</v>
      </c>
      <c r="AK35" s="132"/>
    </row>
    <row r="36" spans="1:37" ht="15.95" customHeight="1" thickTop="1">
      <c r="A36" s="163"/>
      <c r="B36" s="16"/>
      <c r="C36" s="550"/>
      <c r="D36" s="550"/>
      <c r="E36" s="146"/>
      <c r="F36" s="146"/>
      <c r="X36" s="146"/>
      <c r="AA36" s="146"/>
      <c r="AK36" s="132"/>
    </row>
    <row r="37" spans="1:37" ht="15.95" customHeight="1">
      <c r="B37" s="180"/>
      <c r="C37" s="181"/>
      <c r="D37" s="181"/>
      <c r="AK37" s="132"/>
    </row>
    <row r="38" spans="1:37" ht="15.95" customHeight="1">
      <c r="B38" s="182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K38" s="132"/>
    </row>
    <row r="39" spans="1:37" ht="15.95" customHeight="1">
      <c r="B39" s="1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</row>
    <row r="40" spans="1:37" ht="15.95" customHeight="1">
      <c r="B40" s="16"/>
      <c r="Y40" s="146"/>
    </row>
    <row r="41" spans="1:37" ht="15.95" customHeight="1">
      <c r="B41" s="183"/>
    </row>
    <row r="42" spans="1:37" ht="15.95" customHeight="1">
      <c r="B42" s="16"/>
    </row>
    <row r="43" spans="1:37" ht="15.95" customHeight="1">
      <c r="B43" s="16"/>
    </row>
    <row r="44" spans="1:37" ht="15.95" customHeight="1">
      <c r="B44" s="180"/>
      <c r="C44" s="552"/>
      <c r="D44" s="552"/>
    </row>
    <row r="45" spans="1:37" ht="15.95" customHeight="1">
      <c r="B45" s="183"/>
    </row>
    <row r="46" spans="1:37" ht="15.95" customHeight="1">
      <c r="B46" s="184"/>
    </row>
    <row r="47" spans="1:37" ht="15.95" customHeight="1">
      <c r="B47" s="180"/>
      <c r="C47" s="552"/>
      <c r="D47" s="552"/>
    </row>
    <row r="48" spans="1:37" ht="15.95" customHeight="1">
      <c r="B48" s="183"/>
    </row>
    <row r="49" spans="2:2" ht="15.95" customHeight="1">
      <c r="B49" s="184"/>
    </row>
  </sheetData>
  <phoneticPr fontId="93" type="noConversion"/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6"/>
  <dimension ref="A2:AL47"/>
  <sheetViews>
    <sheetView zoomScaleNormal="100" workbookViewId="0">
      <pane xSplit="2" ySplit="4" topLeftCell="C5" activePane="bottomRight" state="frozen"/>
      <selection pane="topRight"/>
      <selection pane="bottomLeft"/>
      <selection pane="bottomRight" activeCell="AA1" sqref="AA1"/>
    </sheetView>
  </sheetViews>
  <sheetFormatPr defaultColWidth="9" defaultRowHeight="17.25" customHeight="1"/>
  <cols>
    <col min="1" max="1" width="1.875" style="132" customWidth="1"/>
    <col min="2" max="2" width="25.75" style="19" customWidth="1"/>
    <col min="3" max="3" width="5.375" style="132" customWidth="1"/>
    <col min="4" max="10" width="14.375" style="20" hidden="1" customWidth="1"/>
    <col min="11" max="11" width="14.375" style="20" customWidth="1"/>
    <col min="12" max="14" width="14.375" style="20" hidden="1" customWidth="1"/>
    <col min="15" max="15" width="14.375" style="20" customWidth="1"/>
    <col min="16" max="18" width="14.375" style="20" hidden="1" customWidth="1"/>
    <col min="19" max="19" width="14.375" style="20" customWidth="1"/>
    <col min="20" max="22" width="14.375" style="20" hidden="1" customWidth="1"/>
    <col min="23" max="23" width="14.375" style="20" customWidth="1"/>
    <col min="24" max="26" width="14.375" style="20" hidden="1" customWidth="1"/>
    <col min="27" max="29" width="14.375" style="20" customWidth="1"/>
    <col min="30" max="36" width="14.375" style="20" hidden="1" customWidth="1"/>
    <col min="37" max="37" width="13.875" style="132" customWidth="1"/>
    <col min="38" max="39" width="15.625" style="132" customWidth="1"/>
    <col min="40" max="16384" width="9" style="132"/>
  </cols>
  <sheetData>
    <row r="2" spans="2:37" s="129" customFormat="1" ht="17.25" customHeight="1">
      <c r="B2" s="52" t="s">
        <v>38</v>
      </c>
      <c r="C2" s="133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</row>
    <row r="3" spans="2:37" s="20" customFormat="1" ht="17.25" customHeight="1">
      <c r="B3" s="135" t="str">
        <f>主要财务摘要!H2</f>
        <v>单位：港币(百万)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556" t="s">
        <v>552</v>
      </c>
      <c r="X3" s="136"/>
      <c r="Y3" s="136"/>
      <c r="Z3" s="136"/>
      <c r="AA3" s="149"/>
      <c r="AB3" s="136"/>
      <c r="AC3" s="136"/>
      <c r="AD3" s="136"/>
      <c r="AE3" s="136"/>
      <c r="AF3" s="136"/>
      <c r="AG3" s="136"/>
      <c r="AH3" s="136"/>
      <c r="AI3" s="136"/>
      <c r="AJ3" s="136"/>
    </row>
    <row r="4" spans="2:37" s="130" customFormat="1" ht="17.25" customHeight="1" thickBot="1">
      <c r="B4" s="137" t="s">
        <v>286</v>
      </c>
      <c r="C4" s="138"/>
      <c r="D4" s="139" t="str">
        <f>财务基础数据!D5</f>
        <v>1Q17</v>
      </c>
      <c r="E4" s="139" t="str">
        <f>财务基础数据!E5</f>
        <v>1H17</v>
      </c>
      <c r="F4" s="139" t="str">
        <f>财务基础数据!F5</f>
        <v>3Q17</v>
      </c>
      <c r="G4" s="139">
        <f>财务基础数据!G5</f>
        <v>2017</v>
      </c>
      <c r="H4" s="139" t="str">
        <f>财务基础数据!H5</f>
        <v>1Q18</v>
      </c>
      <c r="I4" s="139" t="str">
        <f>财务基础数据!I5</f>
        <v>1H18</v>
      </c>
      <c r="J4" s="139" t="str">
        <f>财务基础数据!J5</f>
        <v>3Q18</v>
      </c>
      <c r="K4" s="139">
        <f>财务基础数据!K5</f>
        <v>2018</v>
      </c>
      <c r="L4" s="139" t="str">
        <f>财务基础数据!L5</f>
        <v>1Q19</v>
      </c>
      <c r="M4" s="139" t="str">
        <f>财务基础数据!M5</f>
        <v>1H19</v>
      </c>
      <c r="N4" s="139" t="str">
        <f>财务基础数据!N5</f>
        <v>3Q19</v>
      </c>
      <c r="O4" s="139">
        <f>财务基础数据!O5</f>
        <v>2019</v>
      </c>
      <c r="P4" s="139" t="str">
        <f>财务基础数据!P5</f>
        <v>1Q20</v>
      </c>
      <c r="Q4" s="139" t="str">
        <f>财务基础数据!Q5</f>
        <v>1H20</v>
      </c>
      <c r="R4" s="139" t="str">
        <f>财务基础数据!R5</f>
        <v>3Q20</v>
      </c>
      <c r="S4" s="139">
        <f>财务基础数据!S5</f>
        <v>2020</v>
      </c>
      <c r="T4" s="139" t="str">
        <f>财务基础数据!T5</f>
        <v>1Q21</v>
      </c>
      <c r="U4" s="139" t="str">
        <f>财务基础数据!U5</f>
        <v>1H21</v>
      </c>
      <c r="V4" s="139" t="str">
        <f>财务基础数据!V5</f>
        <v>3Q21</v>
      </c>
      <c r="W4" s="139">
        <f>财务基础数据!W5</f>
        <v>2021</v>
      </c>
      <c r="X4" s="139" t="str">
        <f>财务基础数据!X5</f>
        <v>1Q22</v>
      </c>
      <c r="Y4" s="139" t="str">
        <f>财务基础数据!Y5</f>
        <v>1H22</v>
      </c>
      <c r="Z4" s="139" t="str">
        <f>财务基础数据!Z5</f>
        <v>3Q22</v>
      </c>
      <c r="AA4" s="150" t="str">
        <f>资产负债表!AA4</f>
        <v>2022E</v>
      </c>
      <c r="AB4" s="150">
        <f>资产负债表!AB4</f>
        <v>2023</v>
      </c>
      <c r="AC4" s="150">
        <f>资产负债表!AC4</f>
        <v>2024</v>
      </c>
      <c r="AD4" s="150">
        <f>资产负债表!AD4</f>
        <v>2025</v>
      </c>
      <c r="AE4" s="150">
        <f>资产负债表!AE4</f>
        <v>2026</v>
      </c>
      <c r="AF4" s="150">
        <f>资产负债表!AF4</f>
        <v>2027</v>
      </c>
      <c r="AG4" s="150">
        <f>资产负债表!AG4</f>
        <v>2028</v>
      </c>
      <c r="AH4" s="150">
        <f>资产负债表!AH4</f>
        <v>2029</v>
      </c>
      <c r="AI4" s="150">
        <f>资产负债表!AI4</f>
        <v>2030</v>
      </c>
      <c r="AJ4" s="150">
        <f>资产负债表!AJ4</f>
        <v>2031</v>
      </c>
    </row>
    <row r="5" spans="2:37" ht="17.25" customHeight="1" thickTop="1">
      <c r="B5" s="49" t="s">
        <v>542</v>
      </c>
      <c r="C5" s="420"/>
      <c r="D5" s="75">
        <f>(财务基础数据!D98)*目录!$D$6</f>
        <v>0</v>
      </c>
      <c r="E5" s="75">
        <f>(财务基础数据!E98)*目录!$D$6</f>
        <v>0</v>
      </c>
      <c r="F5" s="75">
        <f>(财务基础数据!F98)*目录!$D$6</f>
        <v>0</v>
      </c>
      <c r="G5" s="75">
        <f>(财务基础数据!G98)*目录!$D$6</f>
        <v>0</v>
      </c>
      <c r="H5" s="75">
        <f>(财务基础数据!H98)*目录!$D$6</f>
        <v>0</v>
      </c>
      <c r="I5" s="75">
        <f>(财务基础数据!I98)*目录!$D$6</f>
        <v>0</v>
      </c>
      <c r="J5" s="75">
        <f>(财务基础数据!J98)*目录!$D$6</f>
        <v>0</v>
      </c>
      <c r="K5" s="75">
        <f>(财务基础数据!K98)*目录!$D$6</f>
        <v>0</v>
      </c>
      <c r="L5" s="75">
        <f>(财务基础数据!L98)*目录!$D$6</f>
        <v>0</v>
      </c>
      <c r="M5" s="75">
        <f>(财务基础数据!M98)*目录!$D$6</f>
        <v>0</v>
      </c>
      <c r="N5" s="75">
        <f>(财务基础数据!N98)*目录!$D$6</f>
        <v>0</v>
      </c>
      <c r="O5" s="75">
        <f>(财务基础数据!O98)*目录!$D$6</f>
        <v>0</v>
      </c>
      <c r="P5" s="75">
        <f>(财务基础数据!P98)*目录!$D$6</f>
        <v>0</v>
      </c>
      <c r="Q5" s="75">
        <f>(财务基础数据!Q98)*目录!$D$6</f>
        <v>0</v>
      </c>
      <c r="R5" s="75">
        <f>(财务基础数据!R98)*目录!$D$6</f>
        <v>0</v>
      </c>
      <c r="S5" s="75">
        <f>(财务基础数据!S98)*目录!$D$6</f>
        <v>0</v>
      </c>
      <c r="T5" s="75">
        <f>(财务基础数据!T98)*目录!$D$6</f>
        <v>0</v>
      </c>
      <c r="U5" s="75">
        <f>(财务基础数据!U98)*目录!$D$6</f>
        <v>0</v>
      </c>
      <c r="V5" s="75">
        <f>(财务基础数据!V98)*目录!$D$6</f>
        <v>0</v>
      </c>
      <c r="W5" s="169">
        <f>(财务基础数据!W98)*目录!$D$6</f>
        <v>0</v>
      </c>
      <c r="X5" s="75">
        <f>(财务基础数据!X98)*目录!$D$6</f>
        <v>0</v>
      </c>
      <c r="Y5" s="75">
        <f>(财务基础数据!Y98)*目录!$D$6</f>
        <v>0</v>
      </c>
      <c r="Z5" s="75">
        <f>(财务基础数据!Z98)*目录!$D$6</f>
        <v>0</v>
      </c>
      <c r="AA5" s="47">
        <f>利润表!AA29</f>
        <v>0</v>
      </c>
      <c r="AB5" s="47">
        <f>利润表!AB29</f>
        <v>0</v>
      </c>
      <c r="AC5" s="47">
        <f>利润表!AC29</f>
        <v>0</v>
      </c>
      <c r="AD5" s="47">
        <f>利润表!AD29</f>
        <v>0</v>
      </c>
      <c r="AE5" s="47">
        <f>利润表!AE29</f>
        <v>0</v>
      </c>
      <c r="AF5" s="47">
        <f>利润表!AF29</f>
        <v>0</v>
      </c>
      <c r="AG5" s="47">
        <f>利润表!AG29</f>
        <v>0</v>
      </c>
      <c r="AH5" s="47">
        <f>利润表!AH29</f>
        <v>0</v>
      </c>
      <c r="AI5" s="47">
        <f>利润表!AI29</f>
        <v>0</v>
      </c>
      <c r="AJ5" s="47">
        <f>利润表!AJ29</f>
        <v>0</v>
      </c>
    </row>
    <row r="6" spans="2:37" ht="17.25" customHeight="1">
      <c r="B6" s="19" t="s">
        <v>296</v>
      </c>
      <c r="C6" s="421"/>
      <c r="D6" s="75">
        <f>(财务基础数据!D99)*目录!$D$6</f>
        <v>0</v>
      </c>
      <c r="E6" s="75">
        <f>(财务基础数据!E99)*目录!$D$6</f>
        <v>0</v>
      </c>
      <c r="F6" s="75">
        <f>(财务基础数据!F99)*目录!$D$6</f>
        <v>0</v>
      </c>
      <c r="G6" s="75">
        <f>(财务基础数据!G99)*目录!$D$6</f>
        <v>0</v>
      </c>
      <c r="H6" s="75">
        <f>(财务基础数据!H99)*目录!$D$6</f>
        <v>0</v>
      </c>
      <c r="I6" s="75">
        <f>(财务基础数据!I99)*目录!$D$6</f>
        <v>0</v>
      </c>
      <c r="J6" s="75">
        <f>(财务基础数据!J99)*目录!$D$6</f>
        <v>0</v>
      </c>
      <c r="K6" s="75">
        <f>(财务基础数据!K99)*目录!$D$6</f>
        <v>0</v>
      </c>
      <c r="L6" s="75">
        <f>(财务基础数据!L99)*目录!$D$6</f>
        <v>0</v>
      </c>
      <c r="M6" s="75">
        <f>(财务基础数据!M99)*目录!$D$6</f>
        <v>0</v>
      </c>
      <c r="N6" s="75">
        <f>(财务基础数据!N99)*目录!$D$6</f>
        <v>0</v>
      </c>
      <c r="O6" s="75">
        <f>(财务基础数据!O99)*目录!$D$6</f>
        <v>0</v>
      </c>
      <c r="P6" s="75">
        <f>(财务基础数据!P99)*目录!$D$6</f>
        <v>0</v>
      </c>
      <c r="Q6" s="75">
        <f>(财务基础数据!Q99)*目录!$D$6</f>
        <v>0</v>
      </c>
      <c r="R6" s="75">
        <f>(财务基础数据!R99)*目录!$D$6</f>
        <v>0</v>
      </c>
      <c r="S6" s="75">
        <f>(财务基础数据!S99)*目录!$D$6</f>
        <v>0</v>
      </c>
      <c r="T6" s="75">
        <f>(财务基础数据!T99)*目录!$D$6</f>
        <v>0</v>
      </c>
      <c r="U6" s="75">
        <f>(财务基础数据!U99)*目录!$D$6</f>
        <v>0</v>
      </c>
      <c r="V6" s="75">
        <f>(财务基础数据!V99)*目录!$D$6</f>
        <v>0</v>
      </c>
      <c r="W6" s="169">
        <f>(财务基础数据!W99)*目录!$D$6</f>
        <v>0</v>
      </c>
      <c r="X6" s="75">
        <f>(财务基础数据!X99)*目录!$D$6</f>
        <v>0</v>
      </c>
      <c r="Y6" s="75">
        <f>(财务基础数据!Y99)*目录!$D$6</f>
        <v>0</v>
      </c>
      <c r="Z6" s="75">
        <f>(财务基础数据!Z99)*目录!$D$6</f>
        <v>0</v>
      </c>
      <c r="AA6" s="75">
        <f>资产预测!J63+资产预测!J68</f>
        <v>0</v>
      </c>
      <c r="AB6" s="75">
        <f>资产预测!K63+资产预测!K68</f>
        <v>0</v>
      </c>
      <c r="AC6" s="75">
        <f>资产预测!L63+资产预测!L68</f>
        <v>0</v>
      </c>
      <c r="AD6" s="75">
        <f>资产预测!M63+资产预测!M68</f>
        <v>0</v>
      </c>
      <c r="AE6" s="75">
        <f>资产预测!N63+资产预测!N68</f>
        <v>0</v>
      </c>
      <c r="AF6" s="75">
        <f>资产预测!O63+资产预测!O68</f>
        <v>0</v>
      </c>
      <c r="AG6" s="75">
        <f>资产预测!P63+资产预测!P68</f>
        <v>0</v>
      </c>
      <c r="AH6" s="75">
        <f>资产预测!Q63+资产预测!Q68</f>
        <v>0</v>
      </c>
      <c r="AI6" s="75">
        <f>资产预测!R63+资产预测!R68</f>
        <v>0</v>
      </c>
      <c r="AJ6" s="75">
        <f>资产预测!S63+资产预测!S68</f>
        <v>0</v>
      </c>
    </row>
    <row r="7" spans="2:37" ht="17.25" customHeight="1">
      <c r="B7" s="19" t="s">
        <v>297</v>
      </c>
      <c r="C7" s="421"/>
      <c r="D7" s="75">
        <f>(财务基础数据!D100)*目录!$D$6</f>
        <v>0</v>
      </c>
      <c r="E7" s="75">
        <f>(财务基础数据!E100)*目录!$D$6</f>
        <v>0</v>
      </c>
      <c r="F7" s="75">
        <f>(财务基础数据!F100)*目录!$D$6</f>
        <v>0</v>
      </c>
      <c r="G7" s="75">
        <f>(财务基础数据!G100)*目录!$D$6</f>
        <v>0</v>
      </c>
      <c r="H7" s="75">
        <f>(财务基础数据!H100)*目录!$D$6</f>
        <v>0</v>
      </c>
      <c r="I7" s="75">
        <f>(财务基础数据!I100)*目录!$D$6</f>
        <v>0</v>
      </c>
      <c r="J7" s="75">
        <f>(财务基础数据!J100)*目录!$D$6</f>
        <v>0</v>
      </c>
      <c r="K7" s="75">
        <f>(财务基础数据!K100)*目录!$D$6</f>
        <v>0</v>
      </c>
      <c r="L7" s="75">
        <f>(财务基础数据!L100)*目录!$D$6</f>
        <v>0</v>
      </c>
      <c r="M7" s="75">
        <f>(财务基础数据!M100)*目录!$D$6</f>
        <v>0</v>
      </c>
      <c r="N7" s="75">
        <f>(财务基础数据!N100)*目录!$D$6</f>
        <v>0</v>
      </c>
      <c r="O7" s="75">
        <f>(财务基础数据!O100)*目录!$D$6</f>
        <v>0</v>
      </c>
      <c r="P7" s="75">
        <f>(财务基础数据!P100)*目录!$D$6</f>
        <v>0</v>
      </c>
      <c r="Q7" s="75">
        <f>(财务基础数据!Q100)*目录!$D$6</f>
        <v>0</v>
      </c>
      <c r="R7" s="75">
        <f>(财务基础数据!R100)*目录!$D$6</f>
        <v>0</v>
      </c>
      <c r="S7" s="75">
        <f>(财务基础数据!S100)*目录!$D$6</f>
        <v>0</v>
      </c>
      <c r="T7" s="75">
        <f>(财务基础数据!T100)*目录!$D$6</f>
        <v>0</v>
      </c>
      <c r="U7" s="75">
        <f>(财务基础数据!U100)*目录!$D$6</f>
        <v>0</v>
      </c>
      <c r="V7" s="75">
        <f>(财务基础数据!V100)*目录!$D$6</f>
        <v>0</v>
      </c>
      <c r="W7" s="169">
        <f>(财务基础数据!W100)*目录!$D$6</f>
        <v>0</v>
      </c>
      <c r="X7" s="75">
        <f>(财务基础数据!X100)*目录!$D$6</f>
        <v>0</v>
      </c>
      <c r="Y7" s="75">
        <f>(财务基础数据!Y100)*目录!$D$6</f>
        <v>0</v>
      </c>
      <c r="Z7" s="75">
        <f>(财务基础数据!Z100)*目录!$D$6</f>
        <v>0</v>
      </c>
      <c r="AA7" s="75">
        <f t="shared" ref="AA7:AJ7" si="0">SUM(AA8:AA14)</f>
        <v>0</v>
      </c>
      <c r="AB7" s="75">
        <f t="shared" si="0"/>
        <v>0</v>
      </c>
      <c r="AC7" s="75">
        <f t="shared" si="0"/>
        <v>0</v>
      </c>
      <c r="AD7" s="75">
        <f t="shared" si="0"/>
        <v>0</v>
      </c>
      <c r="AE7" s="75">
        <f t="shared" si="0"/>
        <v>0</v>
      </c>
      <c r="AF7" s="75">
        <f t="shared" si="0"/>
        <v>0</v>
      </c>
      <c r="AG7" s="75">
        <f t="shared" si="0"/>
        <v>0</v>
      </c>
      <c r="AH7" s="75">
        <f t="shared" si="0"/>
        <v>0</v>
      </c>
      <c r="AI7" s="75">
        <f t="shared" si="0"/>
        <v>0</v>
      </c>
      <c r="AJ7" s="75">
        <f t="shared" si="0"/>
        <v>0</v>
      </c>
    </row>
    <row r="8" spans="2:37" ht="17.25" customHeight="1">
      <c r="B8" s="141" t="s">
        <v>298</v>
      </c>
      <c r="C8" s="421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>
        <f>IF(ISERROR(资产负债表!W9-资产负债表!AA9),"0",资产负债表!W9-资产负债表!AA9)</f>
        <v>0</v>
      </c>
      <c r="AB8" s="75">
        <f>IF(ISERROR(资产负债表!AA9-资产负债表!AB9),"0",资产负债表!AA9-资产负债表!AB9)</f>
        <v>0</v>
      </c>
      <c r="AC8" s="75">
        <f>IF(ISERROR(资产负债表!AB9-资产负债表!AC9),"0",资产负债表!AB9-资产负债表!AC9)</f>
        <v>0</v>
      </c>
      <c r="AD8" s="75">
        <f>IF(ISERROR(资产负债表!AC9-资产负债表!AD9),"0",资产负债表!AC9-资产负债表!AD9)</f>
        <v>0</v>
      </c>
      <c r="AE8" s="75">
        <f>IF(ISERROR(资产负债表!AD9-资产负债表!AE9),"0",资产负债表!AD9-资产负债表!AE9)</f>
        <v>0</v>
      </c>
      <c r="AF8" s="75">
        <f>IF(ISERROR(资产负债表!AE9-资产负债表!AF9),"0",资产负债表!AE9-资产负债表!AF9)</f>
        <v>0</v>
      </c>
      <c r="AG8" s="75">
        <f>IF(ISERROR(资产负债表!AF9-资产负债表!AG9),"0",资产负债表!AF9-资产负债表!AG9)</f>
        <v>0</v>
      </c>
      <c r="AH8" s="75">
        <f>IF(ISERROR(资产负债表!AG9-资产负债表!AH9),"0",资产负债表!AG9-资产负债表!AH9)</f>
        <v>0</v>
      </c>
      <c r="AI8" s="75">
        <f>IF(ISERROR(资产负债表!AH9-资产负债表!AI9),"0",资产负债表!AH9-资产负债表!AI9)</f>
        <v>0</v>
      </c>
      <c r="AJ8" s="75">
        <f>IF(ISERROR(资产负债表!AI9-资产负债表!AJ9),"0",资产负债表!AI9-资产负债表!AJ9)</f>
        <v>0</v>
      </c>
    </row>
    <row r="9" spans="2:37" ht="17.25" customHeight="1">
      <c r="B9" s="141" t="s">
        <v>299</v>
      </c>
      <c r="C9" s="421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>
        <f>IF(ISERROR(资产负债表!W10-资产负债表!AA10),"0",资产负债表!W10-资产负债表!AA10)</f>
        <v>0</v>
      </c>
      <c r="AB9" s="75">
        <f>IF(ISERROR(资产负债表!AA10-资产负债表!AB10),"0",资产负债表!AA10-资产负债表!AB10)</f>
        <v>0</v>
      </c>
      <c r="AC9" s="75">
        <f>IF(ISERROR(资产负债表!AB10-资产负债表!AC10),"0",资产负债表!AB10-资产负债表!AC10)</f>
        <v>0</v>
      </c>
      <c r="AD9" s="75">
        <f>IF(ISERROR(资产负债表!AC10-资产负债表!AD10),"0",资产负债表!AC10-资产负债表!AD10)</f>
        <v>0</v>
      </c>
      <c r="AE9" s="75">
        <f>IF(ISERROR(资产负债表!AD10-资产负债表!AE10),"0",资产负债表!AD10-资产负债表!AE10)</f>
        <v>0</v>
      </c>
      <c r="AF9" s="75">
        <f>IF(ISERROR(资产负债表!AE10-资产负债表!AF10),"0",资产负债表!AE10-资产负债表!AF10)</f>
        <v>0</v>
      </c>
      <c r="AG9" s="75">
        <f>IF(ISERROR(资产负债表!AF10-资产负债表!AG10),"0",资产负债表!AF10-资产负债表!AG10)</f>
        <v>0</v>
      </c>
      <c r="AH9" s="75">
        <f>IF(ISERROR(资产负债表!AG10-资产负债表!AH10),"0",资产负债表!AG10-资产负债表!AH10)</f>
        <v>0</v>
      </c>
      <c r="AI9" s="75">
        <f>IF(ISERROR(资产负债表!AH10-资产负债表!AI10),"0",资产负债表!AH10-资产负债表!AI10)</f>
        <v>0</v>
      </c>
      <c r="AJ9" s="75">
        <f>IF(ISERROR(资产负债表!AI10-资产负债表!AJ10),"0",资产负债表!AI10-资产负债表!AJ10)</f>
        <v>0</v>
      </c>
      <c r="AK9" s="131"/>
    </row>
    <row r="10" spans="2:37" ht="17.25" customHeight="1">
      <c r="B10" s="141" t="s">
        <v>300</v>
      </c>
      <c r="C10" s="421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>
        <f>IF(ISERROR(资产负债表!W11-资产负债表!AA11),"0",资产负债表!W11-资产负债表!AA11)</f>
        <v>0</v>
      </c>
      <c r="AB10" s="75">
        <f>IF(ISERROR(资产负债表!AA11-资产负债表!AB11),"0",资产负债表!AA11-资产负债表!AB11)</f>
        <v>0</v>
      </c>
      <c r="AC10" s="75">
        <f>IF(ISERROR(资产负债表!AB11-资产负债表!AC11),"0",资产负债表!AB11-资产负债表!AC11)</f>
        <v>0</v>
      </c>
      <c r="AD10" s="75">
        <f>IF(ISERROR(资产负债表!AC11-资产负债表!AD11),"0",资产负债表!AC11-资产负债表!AD11)</f>
        <v>0</v>
      </c>
      <c r="AE10" s="75">
        <f>IF(ISERROR(资产负债表!AD11-资产负债表!AE11),"0",资产负债表!AD11-资产负债表!AE11)</f>
        <v>0</v>
      </c>
      <c r="AF10" s="75">
        <f>IF(ISERROR(资产负债表!AE11-资产负债表!AF11),"0",资产负债表!AE11-资产负债表!AF11)</f>
        <v>0</v>
      </c>
      <c r="AG10" s="75">
        <f>IF(ISERROR(资产负债表!AF11-资产负债表!AG11),"0",资产负债表!AF11-资产负债表!AG11)</f>
        <v>0</v>
      </c>
      <c r="AH10" s="75">
        <f>IF(ISERROR(资产负债表!AG11-资产负债表!AH11),"0",资产负债表!AG11-资产负债表!AH11)</f>
        <v>0</v>
      </c>
      <c r="AI10" s="75">
        <f>IF(ISERROR(资产负债表!AH11-资产负债表!AI11),"0",资产负债表!AH11-资产负债表!AI11)</f>
        <v>0</v>
      </c>
      <c r="AJ10" s="75">
        <f>IF(ISERROR(资产负债表!AI11-资产负债表!AJ11),"0",资产负债表!AI11-资产负债表!AJ11)</f>
        <v>0</v>
      </c>
    </row>
    <row r="11" spans="2:37" ht="17.25" customHeight="1">
      <c r="B11" s="141" t="s">
        <v>301</v>
      </c>
      <c r="C11" s="421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>
        <f>IF(ISERROR(资产负债表!W12-资产负债表!AA12),"0",资产负债表!W12-资产负债表!AA12)</f>
        <v>0</v>
      </c>
      <c r="AB11" s="75">
        <f>IF(ISERROR(资产负债表!AA12-资产负债表!AB12),"0",资产负债表!AA12-资产负债表!AB12)</f>
        <v>0</v>
      </c>
      <c r="AC11" s="75">
        <f>IF(ISERROR(资产负债表!AB12-资产负债表!AC12),"0",资产负债表!AB12-资产负债表!AC12)</f>
        <v>0</v>
      </c>
      <c r="AD11" s="75">
        <f>IF(ISERROR(资产负债表!AC12-资产负债表!AD12),"0",资产负债表!AC12-资产负债表!AD12)</f>
        <v>0</v>
      </c>
      <c r="AE11" s="75">
        <f>IF(ISERROR(资产负债表!AD12-资产负债表!AE12),"0",资产负债表!AD12-资产负债表!AE12)</f>
        <v>0</v>
      </c>
      <c r="AF11" s="75">
        <f>IF(ISERROR(资产负债表!AE12-资产负债表!AF12),"0",资产负债表!AE12-资产负债表!AF12)</f>
        <v>0</v>
      </c>
      <c r="AG11" s="75">
        <f>IF(ISERROR(资产负债表!AF12-资产负债表!AG12),"0",资产负债表!AF12-资产负债表!AG12)</f>
        <v>0</v>
      </c>
      <c r="AH11" s="75">
        <f>IF(ISERROR(资产负债表!AG12-资产负债表!AH12),"0",资产负债表!AG12-资产负债表!AH12)</f>
        <v>0</v>
      </c>
      <c r="AI11" s="75">
        <f>IF(ISERROR(资产负债表!AH12-资产负债表!AI12),"0",资产负债表!AH12-资产负债表!AI12)</f>
        <v>0</v>
      </c>
      <c r="AJ11" s="75">
        <f>IF(ISERROR(资产负债表!AI12-资产负债表!AJ12),"0",资产负债表!AI12-资产负债表!AJ12)</f>
        <v>0</v>
      </c>
    </row>
    <row r="12" spans="2:37" ht="17.25" customHeight="1">
      <c r="B12" s="141" t="s">
        <v>302</v>
      </c>
      <c r="C12" s="421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>
        <f>IF(ISERROR(资产负债表!AA28-资产负债表!W28),"0",资产负债表!AA28-资产负债表!W28)</f>
        <v>0</v>
      </c>
      <c r="AB12" s="75">
        <f>IF(ISERROR(资产负债表!AB28-资产负债表!AA28),"0",资产负债表!AB28-资产负债表!AA28)</f>
        <v>0</v>
      </c>
      <c r="AC12" s="75">
        <f>IF(ISERROR(资产负债表!AC28-资产负债表!AB28),"0",资产负债表!AC28-资产负债表!AB28)</f>
        <v>0</v>
      </c>
      <c r="AD12" s="75">
        <f>IF(ISERROR(资产负债表!AD28-资产负债表!AC28),"0",资产负债表!AD28-资产负债表!AC28)</f>
        <v>0</v>
      </c>
      <c r="AE12" s="75">
        <f>IF(ISERROR(资产负债表!AE28-资产负债表!AD28),"0",资产负债表!AE28-资产负债表!AD28)</f>
        <v>0</v>
      </c>
      <c r="AF12" s="75">
        <f>IF(ISERROR(资产负债表!AF28-资产负债表!AE28),"0",资产负债表!AF28-资产负债表!AE28)</f>
        <v>0</v>
      </c>
      <c r="AG12" s="75">
        <f>IF(ISERROR(资产负债表!AG28-资产负债表!AF28),"0",资产负债表!AG28-资产负债表!AF28)</f>
        <v>0</v>
      </c>
      <c r="AH12" s="75">
        <f>IF(ISERROR(资产负债表!AH28-资产负债表!AG28),"0",资产负债表!AH28-资产负债表!AG28)</f>
        <v>0</v>
      </c>
      <c r="AI12" s="75">
        <f>IF(ISERROR(资产负债表!AI28-资产负债表!AH28),"0",资产负债表!AI28-资产负债表!AH28)</f>
        <v>0</v>
      </c>
      <c r="AJ12" s="75">
        <f>IF(ISERROR(资产负债表!AJ28-资产负债表!AI28),"0",资产负债表!AJ28-资产负债表!AI28)</f>
        <v>0</v>
      </c>
    </row>
    <row r="13" spans="2:37" ht="17.25" customHeight="1">
      <c r="B13" s="141" t="s">
        <v>303</v>
      </c>
      <c r="C13" s="421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>
        <f>IF(ISERROR(资产负债表!AA29-资产负债表!W29),"0",资产负债表!AA29-资产负债表!W29)</f>
        <v>0</v>
      </c>
      <c r="AB13" s="75">
        <f>IF(ISERROR(资产负债表!AB29-资产负债表!AA29),"0",资产负债表!AB29-资产负债表!AA29)</f>
        <v>0</v>
      </c>
      <c r="AC13" s="75">
        <f>IF(ISERROR(资产负债表!AC29-资产负债表!AB29),"0",资产负债表!AC29-资产负债表!AB29)</f>
        <v>0</v>
      </c>
      <c r="AD13" s="75">
        <f>IF(ISERROR(资产负债表!AD29-资产负债表!AC29),"0",资产负债表!AD29-资产负债表!AC29)</f>
        <v>0</v>
      </c>
      <c r="AE13" s="75">
        <f>IF(ISERROR(资产负债表!AE29-资产负债表!AD29),"0",资产负债表!AE29-资产负债表!AD29)</f>
        <v>0</v>
      </c>
      <c r="AF13" s="75">
        <f>IF(ISERROR(资产负债表!AF29-资产负债表!AE29),"0",资产负债表!AF29-资产负债表!AE29)</f>
        <v>0</v>
      </c>
      <c r="AG13" s="75">
        <f>IF(ISERROR(资产负债表!AG29-资产负债表!AF29),"0",资产负债表!AG29-资产负债表!AF29)</f>
        <v>0</v>
      </c>
      <c r="AH13" s="75">
        <f>IF(ISERROR(资产负债表!AH29-资产负债表!AG29),"0",资产负债表!AH29-资产负债表!AG29)</f>
        <v>0</v>
      </c>
      <c r="AI13" s="75">
        <f>IF(ISERROR(资产负债表!AI29-资产负债表!AH29),"0",资产负债表!AI29-资产负债表!AH29)</f>
        <v>0</v>
      </c>
      <c r="AJ13" s="75">
        <f>IF(ISERROR(资产负债表!AJ29-资产负债表!AI29),"0",资产负债表!AJ29-资产负债表!AI29)</f>
        <v>0</v>
      </c>
    </row>
    <row r="14" spans="2:37" ht="17.25" customHeight="1">
      <c r="B14" s="141" t="s">
        <v>304</v>
      </c>
      <c r="C14" s="421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>
        <f>IF(ISERROR(资产负债表!AA32-资产负债表!W32),"0",资产负债表!AA32-资产负债表!W32)</f>
        <v>0</v>
      </c>
      <c r="AB14" s="75">
        <f>IF(ISERROR(资产负债表!AB32-资产负债表!AA32),"0",资产负债表!AB32-资产负债表!AA32)</f>
        <v>0</v>
      </c>
      <c r="AC14" s="75">
        <f>IF(ISERROR(资产负债表!AC32-资产负债表!AB32),"0",资产负债表!AC32-资产负债表!AB32)</f>
        <v>0</v>
      </c>
      <c r="AD14" s="75">
        <f>IF(ISERROR(资产负债表!AD32-资产负债表!AC32),"0",资产负债表!AD32-资产负债表!AC32)</f>
        <v>0</v>
      </c>
      <c r="AE14" s="75">
        <f>IF(ISERROR(资产负债表!AE32-资产负债表!AD32),"0",资产负债表!AE32-资产负债表!AD32)</f>
        <v>0</v>
      </c>
      <c r="AF14" s="75">
        <f>IF(ISERROR(资产负债表!AF32-资产负债表!AE32),"0",资产负债表!AF32-资产负债表!AE32)</f>
        <v>0</v>
      </c>
      <c r="AG14" s="75">
        <f>IF(ISERROR(资产负债表!AG32-资产负债表!AF32),"0",资产负债表!AG32-资产负债表!AF32)</f>
        <v>0</v>
      </c>
      <c r="AH14" s="75">
        <f>IF(ISERROR(资产负债表!AH32-资产负债表!AG32),"0",资产负债表!AH32-资产负债表!AG32)</f>
        <v>0</v>
      </c>
      <c r="AI14" s="75">
        <f>IF(ISERROR(资产负债表!AI32-资产负债表!AH32),"0",资产负债表!AI32-资产负债表!AH32)</f>
        <v>0</v>
      </c>
      <c r="AJ14" s="75">
        <f>IF(ISERROR(资产负债表!AJ32-资产负债表!AI32),"0",资产负债表!AJ32-资产负债表!AI32)</f>
        <v>0</v>
      </c>
    </row>
    <row r="15" spans="2:37" ht="17.25" customHeight="1">
      <c r="B15" s="19" t="s">
        <v>305</v>
      </c>
      <c r="C15" s="421"/>
      <c r="D15" s="75">
        <f>(财务基础数据!D101)*目录!$D$6</f>
        <v>0</v>
      </c>
      <c r="E15" s="75">
        <f>(财务基础数据!E101)*目录!$D$6</f>
        <v>0</v>
      </c>
      <c r="F15" s="75">
        <f>(财务基础数据!F101)*目录!$D$6</f>
        <v>0</v>
      </c>
      <c r="G15" s="75">
        <f>(财务基础数据!G101)*目录!$D$6</f>
        <v>0</v>
      </c>
      <c r="H15" s="75">
        <f>(财务基础数据!H101)*目录!$D$6</f>
        <v>0</v>
      </c>
      <c r="I15" s="75">
        <f>(财务基础数据!I101)*目录!$D$6</f>
        <v>0</v>
      </c>
      <c r="J15" s="75">
        <f>(财务基础数据!J101)*目录!$D$6</f>
        <v>0</v>
      </c>
      <c r="K15" s="75">
        <f>(财务基础数据!K101)*目录!$D$6</f>
        <v>0</v>
      </c>
      <c r="L15" s="75">
        <f>(财务基础数据!L101)*目录!$D$6</f>
        <v>0</v>
      </c>
      <c r="M15" s="75">
        <f>(财务基础数据!M101)*目录!$D$6</f>
        <v>0</v>
      </c>
      <c r="N15" s="75">
        <f>(财务基础数据!N101)*目录!$D$6</f>
        <v>0</v>
      </c>
      <c r="O15" s="75">
        <f>(财务基础数据!O101)*目录!$D$6</f>
        <v>0</v>
      </c>
      <c r="P15" s="75">
        <f>(财务基础数据!P101)*目录!$D$6</f>
        <v>0</v>
      </c>
      <c r="Q15" s="75">
        <f>(财务基础数据!Q101)*目录!$D$6</f>
        <v>0</v>
      </c>
      <c r="R15" s="75">
        <f>(财务基础数据!R101)*目录!$D$6</f>
        <v>0</v>
      </c>
      <c r="S15" s="75">
        <f>(财务基础数据!S101)*目录!$D$6</f>
        <v>0</v>
      </c>
      <c r="T15" s="75">
        <f>(财务基础数据!T101)*目录!$D$6</f>
        <v>0</v>
      </c>
      <c r="U15" s="75">
        <f>(财务基础数据!U101)*目录!$D$6</f>
        <v>0</v>
      </c>
      <c r="V15" s="75">
        <f>(财务基础数据!V101)*目录!$D$6</f>
        <v>0</v>
      </c>
      <c r="W15" s="169">
        <f>(财务基础数据!W101)*目录!$D$6</f>
        <v>0</v>
      </c>
      <c r="X15" s="75">
        <f>(财务基础数据!X101)*目录!$D$6</f>
        <v>0</v>
      </c>
      <c r="Y15" s="75">
        <f>(财务基础数据!Y101)*目录!$D$6</f>
        <v>0</v>
      </c>
      <c r="Z15" s="75">
        <f>(财务基础数据!Z101)*目录!$D$6</f>
        <v>0</v>
      </c>
      <c r="AA15" s="75">
        <f>利润表!AA19-利润表!AA20-利润表!AA21+利润表!AA27-利润表!AA23</f>
        <v>0</v>
      </c>
      <c r="AB15" s="75">
        <f>利润表!AB19-利润表!AB20-利润表!AB21+利润表!AB27-利润表!AB23</f>
        <v>0</v>
      </c>
      <c r="AC15" s="75">
        <f>利润表!AC19-利润表!AC20-利润表!AC21+利润表!AC27-利润表!AC23</f>
        <v>0</v>
      </c>
      <c r="AD15" s="75">
        <f>利润表!AD19-利润表!AD20-利润表!AD21+利润表!AD27-利润表!AD23</f>
        <v>0</v>
      </c>
      <c r="AE15" s="75">
        <f>利润表!AE19-利润表!AE20-利润表!AE21+利润表!AE27-利润表!AE23</f>
        <v>0</v>
      </c>
      <c r="AF15" s="75">
        <f>利润表!AF19-利润表!AF20-利润表!AF21+利润表!AF27-利润表!AF23</f>
        <v>0</v>
      </c>
      <c r="AG15" s="75">
        <f>利润表!AG19-利润表!AG20-利润表!AG21+利润表!AG27-利润表!AG23</f>
        <v>0</v>
      </c>
      <c r="AH15" s="75">
        <f>利润表!AH19-利润表!AH20-利润表!AH21+利润表!AH27-利润表!AH23</f>
        <v>0</v>
      </c>
      <c r="AI15" s="75">
        <f>利润表!AI19-利润表!AI20-利润表!AI21+利润表!AI27-利润表!AI23</f>
        <v>0</v>
      </c>
      <c r="AJ15" s="75">
        <f>利润表!AJ19-利润表!AJ20-利润表!AJ21+利润表!AJ27-利润表!AJ23</f>
        <v>0</v>
      </c>
      <c r="AK15" s="75"/>
    </row>
    <row r="16" spans="2:37" s="131" customFormat="1" ht="17.25" customHeight="1">
      <c r="B16" s="142" t="s">
        <v>306</v>
      </c>
      <c r="C16" s="422"/>
      <c r="D16" s="91">
        <f>(财务基础数据!D102)*目录!$D$6</f>
        <v>0</v>
      </c>
      <c r="E16" s="91">
        <f>(财务基础数据!E102)*目录!$D$6</f>
        <v>0</v>
      </c>
      <c r="F16" s="91">
        <f>(财务基础数据!F102)*目录!$D$6</f>
        <v>0</v>
      </c>
      <c r="G16" s="91">
        <f>(财务基础数据!G102)*目录!$D$6</f>
        <v>0</v>
      </c>
      <c r="H16" s="91">
        <f>(财务基础数据!H102)*目录!$D$6</f>
        <v>0</v>
      </c>
      <c r="I16" s="91">
        <f>(财务基础数据!I102)*目录!$D$6</f>
        <v>0</v>
      </c>
      <c r="J16" s="91">
        <f>(财务基础数据!J102)*目录!$D$6</f>
        <v>0</v>
      </c>
      <c r="K16" s="91">
        <f>(财务基础数据!K102)*目录!$D$6</f>
        <v>0</v>
      </c>
      <c r="L16" s="91">
        <f>(财务基础数据!L102)*目录!$D$6</f>
        <v>0</v>
      </c>
      <c r="M16" s="91">
        <f>(财务基础数据!M102)*目录!$D$6</f>
        <v>0</v>
      </c>
      <c r="N16" s="91">
        <f>(财务基础数据!N102)*目录!$D$6</f>
        <v>0</v>
      </c>
      <c r="O16" s="91">
        <f>(财务基础数据!O102)*目录!$D$6</f>
        <v>0</v>
      </c>
      <c r="P16" s="91">
        <f>(财务基础数据!P102)*目录!$D$6</f>
        <v>0</v>
      </c>
      <c r="Q16" s="91">
        <f>(财务基础数据!Q102)*目录!$D$6</f>
        <v>0</v>
      </c>
      <c r="R16" s="91">
        <f>(财务基础数据!R102)*目录!$D$6</f>
        <v>0</v>
      </c>
      <c r="S16" s="91">
        <f>(财务基础数据!S102)*目录!$D$6</f>
        <v>0</v>
      </c>
      <c r="T16" s="91">
        <f>(财务基础数据!T102)*目录!$D$6</f>
        <v>0</v>
      </c>
      <c r="U16" s="91">
        <f>(财务基础数据!U102)*目录!$D$6</f>
        <v>0</v>
      </c>
      <c r="V16" s="91">
        <f>(财务基础数据!V102)*目录!$D$6</f>
        <v>0</v>
      </c>
      <c r="W16" s="555">
        <f>(财务基础数据!W102)*目录!$D$6</f>
        <v>0</v>
      </c>
      <c r="X16" s="91">
        <f>(财务基础数据!X102)*目录!$D$6</f>
        <v>0</v>
      </c>
      <c r="Y16" s="91">
        <f>(财务基础数据!Y102)*目录!$D$6</f>
        <v>0</v>
      </c>
      <c r="Z16" s="91">
        <f>(财务基础数据!Z102)*目录!$D$6</f>
        <v>0</v>
      </c>
      <c r="AA16" s="91">
        <f t="shared" ref="AA16:AJ16" si="1">AA5+AA6+AA7+AA15</f>
        <v>0</v>
      </c>
      <c r="AB16" s="91">
        <f t="shared" si="1"/>
        <v>0</v>
      </c>
      <c r="AC16" s="91">
        <f t="shared" si="1"/>
        <v>0</v>
      </c>
      <c r="AD16" s="91">
        <f t="shared" si="1"/>
        <v>0</v>
      </c>
      <c r="AE16" s="91">
        <f t="shared" si="1"/>
        <v>0</v>
      </c>
      <c r="AF16" s="91">
        <f t="shared" si="1"/>
        <v>0</v>
      </c>
      <c r="AG16" s="91">
        <f t="shared" si="1"/>
        <v>0</v>
      </c>
      <c r="AH16" s="91">
        <f t="shared" si="1"/>
        <v>0</v>
      </c>
      <c r="AI16" s="91">
        <f t="shared" si="1"/>
        <v>0</v>
      </c>
      <c r="AJ16" s="91">
        <f t="shared" si="1"/>
        <v>0</v>
      </c>
    </row>
    <row r="17" spans="1:38" ht="17.25" customHeight="1">
      <c r="B17" s="19" t="s">
        <v>307</v>
      </c>
      <c r="C17" s="421"/>
      <c r="D17" s="75">
        <f>(-财务基础数据!D104)*目录!$D$6</f>
        <v>0</v>
      </c>
      <c r="E17" s="75">
        <f>(-财务基础数据!E104)*目录!$D$6</f>
        <v>0</v>
      </c>
      <c r="F17" s="75">
        <f>(-财务基础数据!F104)*目录!$D$6</f>
        <v>0</v>
      </c>
      <c r="G17" s="75">
        <f>(-财务基础数据!G104)*目录!$D$6</f>
        <v>0</v>
      </c>
      <c r="H17" s="75">
        <f>(-财务基础数据!H104)*目录!$D$6</f>
        <v>0</v>
      </c>
      <c r="I17" s="75">
        <f>(-财务基础数据!I104)*目录!$D$6</f>
        <v>0</v>
      </c>
      <c r="J17" s="75">
        <f>(-财务基础数据!J104)*目录!$D$6</f>
        <v>0</v>
      </c>
      <c r="K17" s="75">
        <f>(-财务基础数据!K104)*目录!$D$6</f>
        <v>0</v>
      </c>
      <c r="L17" s="75">
        <f>(-财务基础数据!L104)*目录!$D$6</f>
        <v>0</v>
      </c>
      <c r="M17" s="75">
        <f>(-财务基础数据!M104)*目录!$D$6</f>
        <v>0</v>
      </c>
      <c r="N17" s="75">
        <f>(-财务基础数据!N104)*目录!$D$6</f>
        <v>0</v>
      </c>
      <c r="O17" s="75">
        <f>(-财务基础数据!O104)*目录!$D$6</f>
        <v>0</v>
      </c>
      <c r="P17" s="75">
        <f>(-财务基础数据!P104)*目录!$D$6</f>
        <v>0</v>
      </c>
      <c r="Q17" s="75">
        <f>(-财务基础数据!Q104)*目录!$D$6</f>
        <v>0</v>
      </c>
      <c r="R17" s="75">
        <f>(-财务基础数据!R104)*目录!$D$6</f>
        <v>0</v>
      </c>
      <c r="S17" s="75">
        <f>(-财务基础数据!S104)*目录!$D$6</f>
        <v>0</v>
      </c>
      <c r="T17" s="75">
        <f>(-财务基础数据!T104)*目录!$D$6</f>
        <v>0</v>
      </c>
      <c r="U17" s="75">
        <f>(-财务基础数据!U104)*目录!$D$6</f>
        <v>0</v>
      </c>
      <c r="V17" s="75">
        <f>(-财务基础数据!V104)*目录!$D$6</f>
        <v>0</v>
      </c>
      <c r="W17" s="169">
        <f>(-财务基础数据!W104)*目录!$D$6</f>
        <v>0</v>
      </c>
      <c r="X17" s="75">
        <f>(-财务基础数据!X104)*目录!$D$6</f>
        <v>0</v>
      </c>
      <c r="Y17" s="75">
        <f>(-财务基础数据!Y104)*目录!$D$6</f>
        <v>0</v>
      </c>
      <c r="Z17" s="75">
        <f>(-财务基础数据!Z104)*目录!$D$6</f>
        <v>0</v>
      </c>
      <c r="AA17" s="47">
        <f t="shared" ref="AA17:AJ17" si="2">IF(ISERROR(AA18+AA19),"0",AA18+AA19)</f>
        <v>0</v>
      </c>
      <c r="AB17" s="47">
        <f t="shared" si="2"/>
        <v>0</v>
      </c>
      <c r="AC17" s="47">
        <f t="shared" si="2"/>
        <v>0</v>
      </c>
      <c r="AD17" s="47">
        <f t="shared" si="2"/>
        <v>0</v>
      </c>
      <c r="AE17" s="47">
        <f t="shared" si="2"/>
        <v>0</v>
      </c>
      <c r="AF17" s="47">
        <f t="shared" si="2"/>
        <v>0</v>
      </c>
      <c r="AG17" s="47">
        <f t="shared" si="2"/>
        <v>0</v>
      </c>
      <c r="AH17" s="47">
        <f t="shared" si="2"/>
        <v>0</v>
      </c>
      <c r="AI17" s="47">
        <f t="shared" si="2"/>
        <v>0</v>
      </c>
      <c r="AJ17" s="47">
        <f t="shared" si="2"/>
        <v>0</v>
      </c>
    </row>
    <row r="18" spans="1:38" ht="17.25" customHeight="1">
      <c r="B18" s="143" t="s">
        <v>72</v>
      </c>
      <c r="C18" s="421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47">
        <f>-资产预测!J62</f>
        <v>0</v>
      </c>
      <c r="AB18" s="47">
        <f>-资产预测!K62</f>
        <v>0</v>
      </c>
      <c r="AC18" s="47">
        <f>-资产预测!L62</f>
        <v>0</v>
      </c>
      <c r="AD18" s="47">
        <f>-资产预测!M62</f>
        <v>0</v>
      </c>
      <c r="AE18" s="47">
        <f>-资产预测!N62</f>
        <v>0</v>
      </c>
      <c r="AF18" s="47">
        <f>-资产预测!O62</f>
        <v>0</v>
      </c>
      <c r="AG18" s="47">
        <f>-资产预测!P62</f>
        <v>0</v>
      </c>
      <c r="AH18" s="47">
        <f>-资产预测!Q62</f>
        <v>0</v>
      </c>
      <c r="AI18" s="47">
        <f>-资产预测!R62</f>
        <v>0</v>
      </c>
      <c r="AJ18" s="47">
        <f>-资产预测!S62</f>
        <v>0</v>
      </c>
    </row>
    <row r="19" spans="1:38" ht="17.25" customHeight="1">
      <c r="B19" s="143" t="s">
        <v>98</v>
      </c>
      <c r="C19" s="421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47">
        <f>-资产预测!J67</f>
        <v>0</v>
      </c>
      <c r="AB19" s="47">
        <f>-资产预测!K67</f>
        <v>0</v>
      </c>
      <c r="AC19" s="47">
        <f>-资产预测!L67</f>
        <v>0</v>
      </c>
      <c r="AD19" s="47">
        <f>-资产预测!M67</f>
        <v>0</v>
      </c>
      <c r="AE19" s="47">
        <f>-资产预测!N67</f>
        <v>0</v>
      </c>
      <c r="AF19" s="47">
        <f>-资产预测!O67</f>
        <v>0</v>
      </c>
      <c r="AG19" s="47">
        <f>-资产预测!P67</f>
        <v>0</v>
      </c>
      <c r="AH19" s="47">
        <f>-资产预测!Q67</f>
        <v>0</v>
      </c>
      <c r="AI19" s="47">
        <f>-资产预测!R67</f>
        <v>0</v>
      </c>
      <c r="AJ19" s="47">
        <f>-资产预测!S67</f>
        <v>0</v>
      </c>
    </row>
    <row r="20" spans="1:38" ht="17.25" customHeight="1">
      <c r="B20" s="19" t="s">
        <v>163</v>
      </c>
      <c r="C20" s="421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47">
        <f>利润表!AA20</f>
        <v>0</v>
      </c>
      <c r="AB20" s="47">
        <f>利润表!AB20</f>
        <v>0</v>
      </c>
      <c r="AC20" s="47">
        <f>利润表!AC20</f>
        <v>0</v>
      </c>
      <c r="AD20" s="47">
        <f>利润表!AD20</f>
        <v>0</v>
      </c>
      <c r="AE20" s="47">
        <f>利润表!AE20</f>
        <v>0</v>
      </c>
      <c r="AF20" s="47">
        <f>利润表!AF20</f>
        <v>0</v>
      </c>
      <c r="AG20" s="47">
        <f>利润表!AG20</f>
        <v>0</v>
      </c>
      <c r="AH20" s="47">
        <f>利润表!AH20</f>
        <v>0</v>
      </c>
      <c r="AI20" s="47">
        <f>利润表!AI20</f>
        <v>0</v>
      </c>
      <c r="AJ20" s="47">
        <f>利润表!AJ20</f>
        <v>0</v>
      </c>
      <c r="AK20" s="47"/>
      <c r="AL20" s="151"/>
    </row>
    <row r="21" spans="1:38" ht="17.25" customHeight="1">
      <c r="B21" s="19" t="s">
        <v>308</v>
      </c>
      <c r="C21" s="421"/>
      <c r="D21" s="75">
        <f>(财务基础数据!D106-财务基础数据!D105)*目录!$D$6</f>
        <v>0</v>
      </c>
      <c r="E21" s="75">
        <f>(财务基础数据!E106-财务基础数据!E105)*目录!$D$6</f>
        <v>0</v>
      </c>
      <c r="F21" s="75">
        <f>(财务基础数据!F106-财务基础数据!F105)*目录!$D$6</f>
        <v>0</v>
      </c>
      <c r="G21" s="75">
        <f>(财务基础数据!G106-财务基础数据!G105)*目录!$D$6</f>
        <v>0</v>
      </c>
      <c r="H21" s="75">
        <f>(财务基础数据!H106-财务基础数据!H105)*目录!$D$6</f>
        <v>0</v>
      </c>
      <c r="I21" s="75">
        <f>(财务基础数据!I106-财务基础数据!I105)*目录!$D$6</f>
        <v>0</v>
      </c>
      <c r="J21" s="75">
        <f>(财务基础数据!J106-财务基础数据!J105)*目录!$D$6</f>
        <v>0</v>
      </c>
      <c r="K21" s="75">
        <f>(财务基础数据!K106-财务基础数据!K105)*目录!$D$6</f>
        <v>0</v>
      </c>
      <c r="L21" s="75">
        <f>(财务基础数据!L106-财务基础数据!L105)*目录!$D$6</f>
        <v>0</v>
      </c>
      <c r="M21" s="75">
        <f>(财务基础数据!M106-财务基础数据!M105)*目录!$D$6</f>
        <v>0</v>
      </c>
      <c r="N21" s="75">
        <f>(财务基础数据!N106-财务基础数据!N105)*目录!$D$6</f>
        <v>0</v>
      </c>
      <c r="O21" s="75">
        <f>(财务基础数据!O106-财务基础数据!O105)*目录!$D$6</f>
        <v>0</v>
      </c>
      <c r="P21" s="75">
        <f>(财务基础数据!P106-财务基础数据!P105)*目录!$D$6</f>
        <v>0</v>
      </c>
      <c r="Q21" s="75">
        <f>(财务基础数据!Q106-财务基础数据!Q105)*目录!$D$6</f>
        <v>0</v>
      </c>
      <c r="R21" s="75">
        <f>(财务基础数据!R106-财务基础数据!R105)*目录!$D$6</f>
        <v>0</v>
      </c>
      <c r="S21" s="75">
        <f>(财务基础数据!S106-财务基础数据!S105)*目录!$D$6</f>
        <v>0</v>
      </c>
      <c r="T21" s="75">
        <f>(财务基础数据!T106-财务基础数据!T105)*目录!$D$6</f>
        <v>0</v>
      </c>
      <c r="U21" s="75">
        <f>(财务基础数据!U106-财务基础数据!U105)*目录!$D$6</f>
        <v>0</v>
      </c>
      <c r="V21" s="75">
        <f>(财务基础数据!V106-财务基础数据!V105)*目录!$D$6</f>
        <v>0</v>
      </c>
      <c r="W21" s="169">
        <f>(财务基础数据!W106-财务基础数据!W105)*目录!$D$6</f>
        <v>0</v>
      </c>
      <c r="X21" s="75">
        <f>(财务基础数据!X106-财务基础数据!X105)*目录!$D$6</f>
        <v>0</v>
      </c>
      <c r="Y21" s="75">
        <f>(财务基础数据!Y106-财务基础数据!Y105)*目录!$D$6</f>
        <v>0</v>
      </c>
      <c r="Z21" s="75">
        <f>(财务基础数据!Z106-财务基础数据!Z105)*目录!$D$6</f>
        <v>0</v>
      </c>
      <c r="AA21" s="47">
        <f t="shared" ref="AA21:AJ21" si="3">IF(ISERROR(AA22+AA23+AA24+AA25+AA26+AA27),"0",AA22+AA23+AA24+AA25+AA26+AA27)</f>
        <v>0</v>
      </c>
      <c r="AB21" s="47">
        <f t="shared" si="3"/>
        <v>0</v>
      </c>
      <c r="AC21" s="47">
        <f t="shared" si="3"/>
        <v>0</v>
      </c>
      <c r="AD21" s="47">
        <f t="shared" si="3"/>
        <v>0</v>
      </c>
      <c r="AE21" s="47">
        <f t="shared" si="3"/>
        <v>0</v>
      </c>
      <c r="AF21" s="47">
        <f t="shared" si="3"/>
        <v>0</v>
      </c>
      <c r="AG21" s="47">
        <f t="shared" si="3"/>
        <v>0</v>
      </c>
      <c r="AH21" s="47">
        <f t="shared" si="3"/>
        <v>0</v>
      </c>
      <c r="AI21" s="47">
        <f t="shared" si="3"/>
        <v>0</v>
      </c>
      <c r="AJ21" s="47">
        <f t="shared" si="3"/>
        <v>0</v>
      </c>
    </row>
    <row r="22" spans="1:38" ht="17.25" customHeight="1">
      <c r="B22" s="143" t="s">
        <v>309</v>
      </c>
      <c r="C22" s="421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47">
        <f>-资产预测!J41+资产预测!J47</f>
        <v>0</v>
      </c>
      <c r="AB22" s="47">
        <f>-资产预测!K41+资产预测!K47</f>
        <v>0</v>
      </c>
      <c r="AC22" s="47">
        <f>-资产预测!L41+资产预测!L47</f>
        <v>0</v>
      </c>
      <c r="AD22" s="47">
        <f>-资产预测!M41+资产预测!M47</f>
        <v>0</v>
      </c>
      <c r="AE22" s="47">
        <f>-资产预测!N41+资产预测!N47</f>
        <v>0</v>
      </c>
      <c r="AF22" s="47">
        <f>-资产预测!O41+资产预测!O47</f>
        <v>0</v>
      </c>
      <c r="AG22" s="47">
        <f>-资产预测!P41+资产预测!P47</f>
        <v>0</v>
      </c>
      <c r="AH22" s="47">
        <f>-资产预测!Q41+资产预测!Q47</f>
        <v>0</v>
      </c>
      <c r="AI22" s="47">
        <f>-资产预测!R41+资产预测!R47</f>
        <v>0</v>
      </c>
      <c r="AJ22" s="47">
        <f>-资产预测!S41+资产预测!S47</f>
        <v>0</v>
      </c>
    </row>
    <row r="23" spans="1:38" ht="17.25" customHeight="1">
      <c r="B23" s="143" t="s">
        <v>185</v>
      </c>
      <c r="C23" s="421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47">
        <f>-资产预测!J44</f>
        <v>0</v>
      </c>
      <c r="AB23" s="47">
        <f>-资产预测!K44</f>
        <v>0</v>
      </c>
      <c r="AC23" s="47">
        <f>-资产预测!L44</f>
        <v>0</v>
      </c>
      <c r="AD23" s="47">
        <f>-资产预测!M44</f>
        <v>0</v>
      </c>
      <c r="AE23" s="47">
        <f>-资产预测!N44</f>
        <v>0</v>
      </c>
      <c r="AF23" s="47">
        <f>-资产预测!O44</f>
        <v>0</v>
      </c>
      <c r="AG23" s="47">
        <f>-资产预测!P44</f>
        <v>0</v>
      </c>
      <c r="AH23" s="47">
        <f>-资产预测!Q44</f>
        <v>0</v>
      </c>
      <c r="AI23" s="47">
        <f>-资产预测!R44</f>
        <v>0</v>
      </c>
      <c r="AJ23" s="47">
        <f>-资产预测!S44</f>
        <v>0</v>
      </c>
    </row>
    <row r="24" spans="1:38" ht="17.25" customHeight="1">
      <c r="B24" s="143" t="s">
        <v>188</v>
      </c>
      <c r="C24" s="421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47">
        <f>-资产预测!J52</f>
        <v>0</v>
      </c>
      <c r="AB24" s="47">
        <f>-资产预测!K52</f>
        <v>0</v>
      </c>
      <c r="AC24" s="47">
        <f>-资产预测!L52</f>
        <v>0</v>
      </c>
      <c r="AD24" s="47">
        <f>-资产预测!M52</f>
        <v>0</v>
      </c>
      <c r="AE24" s="47">
        <f>-资产预测!N52</f>
        <v>0</v>
      </c>
      <c r="AF24" s="47">
        <f>-资产预测!O52</f>
        <v>0</v>
      </c>
      <c r="AG24" s="47">
        <f>-资产预测!P52</f>
        <v>0</v>
      </c>
      <c r="AH24" s="47">
        <f>-资产预测!Q52</f>
        <v>0</v>
      </c>
      <c r="AI24" s="47">
        <f>-资产预测!R52</f>
        <v>0</v>
      </c>
      <c r="AJ24" s="47">
        <f>-资产预测!S52</f>
        <v>0</v>
      </c>
    </row>
    <row r="25" spans="1:38" ht="17.25" customHeight="1">
      <c r="B25" s="143" t="s">
        <v>310</v>
      </c>
      <c r="C25" s="421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47">
        <f>-资产预测!J55</f>
        <v>0</v>
      </c>
      <c r="AB25" s="47">
        <f>-资产预测!K55</f>
        <v>0</v>
      </c>
      <c r="AC25" s="47">
        <f>-资产预测!L55</f>
        <v>0</v>
      </c>
      <c r="AD25" s="47">
        <f>-资产预测!M55</f>
        <v>0</v>
      </c>
      <c r="AE25" s="47">
        <f>-资产预测!N55</f>
        <v>0</v>
      </c>
      <c r="AF25" s="47">
        <f>-资产预测!O55</f>
        <v>0</v>
      </c>
      <c r="AG25" s="47">
        <f>-资产预测!P55</f>
        <v>0</v>
      </c>
      <c r="AH25" s="47">
        <f>-资产预测!Q55</f>
        <v>0</v>
      </c>
      <c r="AI25" s="47">
        <f>-资产预测!R55</f>
        <v>0</v>
      </c>
      <c r="AJ25" s="47">
        <f>-资产预测!S55</f>
        <v>0</v>
      </c>
    </row>
    <row r="26" spans="1:38" ht="17.25" customHeight="1">
      <c r="B26" s="143" t="s">
        <v>190</v>
      </c>
      <c r="C26" s="421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47">
        <f>-资产预测!J58</f>
        <v>0</v>
      </c>
      <c r="AB26" s="47">
        <f>-资产预测!K58</f>
        <v>0</v>
      </c>
      <c r="AC26" s="47">
        <f>-资产预测!L58</f>
        <v>0</v>
      </c>
      <c r="AD26" s="47">
        <f>-资产预测!M58</f>
        <v>0</v>
      </c>
      <c r="AE26" s="47">
        <f>-资产预测!N58</f>
        <v>0</v>
      </c>
      <c r="AF26" s="47">
        <f>-资产预测!O58</f>
        <v>0</v>
      </c>
      <c r="AG26" s="47">
        <f>-资产预测!P58</f>
        <v>0</v>
      </c>
      <c r="AH26" s="47">
        <f>-资产预测!Q58</f>
        <v>0</v>
      </c>
      <c r="AI26" s="47">
        <f>-资产预测!R58</f>
        <v>0</v>
      </c>
      <c r="AJ26" s="47">
        <f>-资产预测!S58</f>
        <v>0</v>
      </c>
    </row>
    <row r="27" spans="1:38" ht="17.25" customHeight="1">
      <c r="B27" s="143" t="s">
        <v>101</v>
      </c>
      <c r="C27" s="421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47">
        <f>-资产预测!J75-资产预测!J78</f>
        <v>0</v>
      </c>
      <c r="AB27" s="47">
        <f>-资产预测!K75-资产预测!K78</f>
        <v>0</v>
      </c>
      <c r="AC27" s="47">
        <f>-资产预测!L75-资产预测!L78</f>
        <v>0</v>
      </c>
      <c r="AD27" s="47">
        <f>-资产预测!M75-资产预测!M78</f>
        <v>0</v>
      </c>
      <c r="AE27" s="47">
        <f>-资产预测!N75-资产预测!N78</f>
        <v>0</v>
      </c>
      <c r="AF27" s="47">
        <f>-资产预测!O75-资产预测!O78</f>
        <v>0</v>
      </c>
      <c r="AG27" s="47">
        <f>-资产预测!P75-资产预测!P78</f>
        <v>0</v>
      </c>
      <c r="AH27" s="47">
        <f>-资产预测!Q75-资产预测!Q78</f>
        <v>0</v>
      </c>
      <c r="AI27" s="47">
        <f>-资产预测!R75-资产预测!R78</f>
        <v>0</v>
      </c>
      <c r="AJ27" s="47">
        <f>-资产预测!S75-资产预测!S78</f>
        <v>0</v>
      </c>
    </row>
    <row r="28" spans="1:38" ht="17.25" customHeight="1">
      <c r="B28" s="19" t="s">
        <v>311</v>
      </c>
      <c r="C28" s="421"/>
      <c r="D28" s="75">
        <f>(财务基础数据!D107+财务基础数据!D103)*目录!$D$6</f>
        <v>0</v>
      </c>
      <c r="E28" s="75">
        <f>(财务基础数据!E107+财务基础数据!E103)*目录!$D$6</f>
        <v>0</v>
      </c>
      <c r="F28" s="75">
        <f>(财务基础数据!F107+财务基础数据!F103)*目录!$D$6</f>
        <v>0</v>
      </c>
      <c r="G28" s="75">
        <f>(财务基础数据!G107+财务基础数据!G103)*目录!$D$6</f>
        <v>0</v>
      </c>
      <c r="H28" s="75">
        <f>(财务基础数据!H107+财务基础数据!H103)*目录!$D$6</f>
        <v>0</v>
      </c>
      <c r="I28" s="75">
        <f>(财务基础数据!I107+财务基础数据!I103)*目录!$D$6</f>
        <v>0</v>
      </c>
      <c r="J28" s="75">
        <f>(财务基础数据!J107+财务基础数据!J103)*目录!$D$6</f>
        <v>0</v>
      </c>
      <c r="K28" s="75">
        <f>(财务基础数据!K107+财务基础数据!K103)*目录!$D$6</f>
        <v>0</v>
      </c>
      <c r="L28" s="75">
        <f>(财务基础数据!L107+财务基础数据!L103)*目录!$D$6</f>
        <v>0</v>
      </c>
      <c r="M28" s="75">
        <f>(财务基础数据!M107+财务基础数据!M103)*目录!$D$6</f>
        <v>0</v>
      </c>
      <c r="N28" s="75">
        <f>(财务基础数据!N107+财务基础数据!N103)*目录!$D$6</f>
        <v>0</v>
      </c>
      <c r="O28" s="75">
        <f>(财务基础数据!O107+财务基础数据!O103)*目录!$D$6</f>
        <v>0</v>
      </c>
      <c r="P28" s="75">
        <f>(财务基础数据!P107+财务基础数据!P103)*目录!$D$6</f>
        <v>0</v>
      </c>
      <c r="Q28" s="75">
        <f>(财务基础数据!Q107+财务基础数据!Q103)*目录!$D$6</f>
        <v>0</v>
      </c>
      <c r="R28" s="75">
        <f>(财务基础数据!R107+财务基础数据!R103)*目录!$D$6</f>
        <v>0</v>
      </c>
      <c r="S28" s="75">
        <f>(财务基础数据!S107+财务基础数据!S103)*目录!$D$6</f>
        <v>0</v>
      </c>
      <c r="T28" s="75">
        <f>(财务基础数据!T107+财务基础数据!T103)*目录!$D$6</f>
        <v>0</v>
      </c>
      <c r="U28" s="75">
        <f>(财务基础数据!U107+财务基础数据!U103)*目录!$D$6</f>
        <v>0</v>
      </c>
      <c r="V28" s="75">
        <f>(财务基础数据!V107+财务基础数据!V103)*目录!$D$6</f>
        <v>0</v>
      </c>
      <c r="W28" s="169">
        <f>(财务基础数据!W107+财务基础数据!W103)*目录!$D$6</f>
        <v>0</v>
      </c>
      <c r="X28" s="75">
        <f>(财务基础数据!X107+财务基础数据!X103)*目录!$D$6</f>
        <v>0</v>
      </c>
      <c r="Y28" s="75">
        <f>(财务基础数据!Y107+财务基础数据!Y103)*目录!$D$6</f>
        <v>0</v>
      </c>
      <c r="Z28" s="75">
        <f>(财务基础数据!Z107+财务基础数据!Z103)*目录!$D$6</f>
        <v>0</v>
      </c>
      <c r="AA28" s="47">
        <f>资产负债表!W22-资产负债表!AA22+资产负债表!AA36-资产负债表!W36+利润表!AA23+利润表!AA21</f>
        <v>0</v>
      </c>
      <c r="AB28" s="47">
        <f>资产负债表!AA22-资产负债表!AB22+资产负债表!AB36-资产负债表!AA36+利润表!AB23+利润表!AB21</f>
        <v>0</v>
      </c>
      <c r="AC28" s="47">
        <f>资产负债表!AB22-资产负债表!AC22+资产负债表!AC36-资产负债表!AB36+利润表!AC23+利润表!AC21</f>
        <v>0</v>
      </c>
      <c r="AD28" s="47">
        <f>资产负债表!AC22-资产负债表!AD22+资产负债表!AD36-资产负债表!AC36+利润表!AD23+利润表!AD21</f>
        <v>0</v>
      </c>
      <c r="AE28" s="47">
        <f>资产负债表!AD22-资产负债表!AE22+资产负债表!AE36-资产负债表!AD36+利润表!AE23+利润表!AE21</f>
        <v>0</v>
      </c>
      <c r="AF28" s="47">
        <f>资产负债表!AE22-资产负债表!AF22+资产负债表!AF36-资产负债表!AE36+利润表!AF23+利润表!AF21</f>
        <v>0</v>
      </c>
      <c r="AG28" s="47">
        <f>资产负债表!AF22-资产负债表!AG22+资产负债表!AG36-资产负债表!AF36+利润表!AG23+利润表!AG21</f>
        <v>0</v>
      </c>
      <c r="AH28" s="47">
        <f>资产负债表!AG22-资产负债表!AH22+资产负债表!AH36-资产负债表!AG36+利润表!AH23+利润表!AH21</f>
        <v>0</v>
      </c>
      <c r="AI28" s="47">
        <f>资产负债表!AH22-资产负债表!AI22+资产负债表!AI36-资产负债表!AH36+利润表!AI23+利润表!AI21</f>
        <v>0</v>
      </c>
      <c r="AJ28" s="47">
        <f>资产负债表!AI22-资产负债表!AJ22+资产负债表!AJ36-资产负债表!AI36+利润表!AJ23+利润表!AJ21</f>
        <v>0</v>
      </c>
    </row>
    <row r="29" spans="1:38" s="131" customFormat="1" ht="17.25" customHeight="1">
      <c r="B29" s="142" t="s">
        <v>312</v>
      </c>
      <c r="C29" s="422"/>
      <c r="D29" s="91">
        <f>(财务基础数据!D108)*目录!$D$6</f>
        <v>0</v>
      </c>
      <c r="E29" s="91">
        <f>(财务基础数据!E108)*目录!$D$6</f>
        <v>0</v>
      </c>
      <c r="F29" s="91">
        <f>(财务基础数据!F108)*目录!$D$6</f>
        <v>0</v>
      </c>
      <c r="G29" s="91">
        <f>(财务基础数据!G108)*目录!$D$6</f>
        <v>0</v>
      </c>
      <c r="H29" s="91">
        <f>(财务基础数据!H108)*目录!$D$6</f>
        <v>0</v>
      </c>
      <c r="I29" s="91">
        <f>(财务基础数据!I108)*目录!$D$6</f>
        <v>0</v>
      </c>
      <c r="J29" s="91">
        <f>(财务基础数据!J108)*目录!$D$6</f>
        <v>0</v>
      </c>
      <c r="K29" s="91">
        <f>(财务基础数据!K108)*目录!$D$6</f>
        <v>0</v>
      </c>
      <c r="L29" s="91">
        <f>(财务基础数据!L108)*目录!$D$6</f>
        <v>0</v>
      </c>
      <c r="M29" s="91">
        <f>(财务基础数据!M108)*目录!$D$6</f>
        <v>0</v>
      </c>
      <c r="N29" s="91">
        <f>(财务基础数据!N108)*目录!$D$6</f>
        <v>0</v>
      </c>
      <c r="O29" s="91">
        <f>(财务基础数据!O108)*目录!$D$6</f>
        <v>0</v>
      </c>
      <c r="P29" s="91">
        <f>(财务基础数据!P108)*目录!$D$6</f>
        <v>0</v>
      </c>
      <c r="Q29" s="91">
        <f>(财务基础数据!Q108)*目录!$D$6</f>
        <v>0</v>
      </c>
      <c r="R29" s="91">
        <f>(财务基础数据!R108)*目录!$D$6</f>
        <v>0</v>
      </c>
      <c r="S29" s="91">
        <f>(财务基础数据!S108)*目录!$D$6</f>
        <v>0</v>
      </c>
      <c r="T29" s="91">
        <f>(财务基础数据!T108)*目录!$D$6</f>
        <v>0</v>
      </c>
      <c r="U29" s="91">
        <f>(财务基础数据!U108)*目录!$D$6</f>
        <v>0</v>
      </c>
      <c r="V29" s="91">
        <f>(财务基础数据!V108)*目录!$D$6</f>
        <v>0</v>
      </c>
      <c r="W29" s="555">
        <f>(财务基础数据!W108)*目录!$D$6</f>
        <v>0</v>
      </c>
      <c r="X29" s="91">
        <f>(财务基础数据!X108)*目录!$D$6</f>
        <v>0</v>
      </c>
      <c r="Y29" s="91">
        <f>(财务基础数据!Y108)*目录!$D$6</f>
        <v>0</v>
      </c>
      <c r="Z29" s="91">
        <f>(财务基础数据!Z108)*目录!$D$6</f>
        <v>0</v>
      </c>
      <c r="AA29" s="404">
        <f>IF(ISERROR(AA17+AA21+AA28+AA20),"0",AA17+AA21+AA28+AA20)</f>
        <v>0</v>
      </c>
      <c r="AB29" s="404">
        <f>IF(ISERROR(AB17+AB21+AB28+AB20),"0",AB17+AB21+AB28+AB20)</f>
        <v>0</v>
      </c>
      <c r="AC29" s="404">
        <f t="shared" ref="AC29:AJ29" si="4">IF(ISERROR(AC17+AC21+AC28+AC20),"0",AC17+AC21+AC28+AC20)</f>
        <v>0</v>
      </c>
      <c r="AD29" s="404">
        <f t="shared" si="4"/>
        <v>0</v>
      </c>
      <c r="AE29" s="404">
        <f t="shared" si="4"/>
        <v>0</v>
      </c>
      <c r="AF29" s="404">
        <f t="shared" si="4"/>
        <v>0</v>
      </c>
      <c r="AG29" s="404">
        <f t="shared" si="4"/>
        <v>0</v>
      </c>
      <c r="AH29" s="404">
        <f t="shared" si="4"/>
        <v>0</v>
      </c>
      <c r="AI29" s="404">
        <f t="shared" si="4"/>
        <v>0</v>
      </c>
      <c r="AJ29" s="404">
        <f t="shared" si="4"/>
        <v>0</v>
      </c>
      <c r="AK29" s="423"/>
    </row>
    <row r="30" spans="1:38" ht="17.25" customHeight="1">
      <c r="B30" s="19" t="s">
        <v>145</v>
      </c>
      <c r="C30" s="421"/>
      <c r="D30" s="75">
        <f>(财务基础数据!D109-财务基础数据!D110)*目录!$D$6</f>
        <v>0</v>
      </c>
      <c r="E30" s="75">
        <f>(财务基础数据!E109-财务基础数据!E110)*目录!$D$6</f>
        <v>0</v>
      </c>
      <c r="F30" s="75">
        <f>(财务基础数据!F109-财务基础数据!F110)*目录!$D$6</f>
        <v>0</v>
      </c>
      <c r="G30" s="75">
        <f>(财务基础数据!G109-财务基础数据!G110)*目录!$D$6</f>
        <v>0</v>
      </c>
      <c r="H30" s="75">
        <f>(财务基础数据!H109-财务基础数据!H110)*目录!$D$6</f>
        <v>0</v>
      </c>
      <c r="I30" s="75">
        <f>(财务基础数据!I109-财务基础数据!I110)*目录!$D$6</f>
        <v>0</v>
      </c>
      <c r="J30" s="75">
        <f>(财务基础数据!J109-财务基础数据!J110)*目录!$D$6</f>
        <v>0</v>
      </c>
      <c r="K30" s="75">
        <f>(财务基础数据!K109-财务基础数据!K110)*目录!$D$6</f>
        <v>0</v>
      </c>
      <c r="L30" s="75">
        <f>(财务基础数据!L109-财务基础数据!L110)*目录!$D$6</f>
        <v>0</v>
      </c>
      <c r="M30" s="75">
        <f>(财务基础数据!M109-财务基础数据!M110)*目录!$D$6</f>
        <v>0</v>
      </c>
      <c r="N30" s="75">
        <f>(财务基础数据!N109-财务基础数据!N110)*目录!$D$6</f>
        <v>0</v>
      </c>
      <c r="O30" s="75">
        <f>(财务基础数据!O109-财务基础数据!O110)*目录!$D$6</f>
        <v>0</v>
      </c>
      <c r="P30" s="75">
        <f>(财务基础数据!P109-财务基础数据!P110)*目录!$D$6</f>
        <v>0</v>
      </c>
      <c r="Q30" s="75">
        <f>(财务基础数据!Q109-财务基础数据!Q110)*目录!$D$6</f>
        <v>0</v>
      </c>
      <c r="R30" s="75">
        <f>(财务基础数据!R109-财务基础数据!R110)*目录!$D$6</f>
        <v>0</v>
      </c>
      <c r="S30" s="75">
        <f>(财务基础数据!S109-财务基础数据!S110)*目录!$D$6</f>
        <v>0</v>
      </c>
      <c r="T30" s="75">
        <f>(财务基础数据!T109-财务基础数据!T110)*目录!$D$6</f>
        <v>0</v>
      </c>
      <c r="U30" s="75">
        <f>(财务基础数据!U109-财务基础数据!U110)*目录!$D$6</f>
        <v>0</v>
      </c>
      <c r="V30" s="75">
        <f>(财务基础数据!V109-财务基础数据!V110)*目录!$D$6</f>
        <v>0</v>
      </c>
      <c r="W30" s="169">
        <f>(财务基础数据!W109-财务基础数据!W110)*目录!$D$6</f>
        <v>0</v>
      </c>
      <c r="X30" s="75">
        <f>(财务基础数据!X109-财务基础数据!X110)*目录!$D$6</f>
        <v>0</v>
      </c>
      <c r="Y30" s="75">
        <f>(财务基础数据!Y109-财务基础数据!Y110)*目录!$D$6</f>
        <v>0</v>
      </c>
      <c r="Z30" s="75">
        <f>(财务基础数据!Z109-财务基础数据!Z110)*目录!$D$6</f>
        <v>0</v>
      </c>
      <c r="AA30" s="47">
        <f>资产预测!J115+资产预测!J116+资产预测!J123</f>
        <v>0</v>
      </c>
      <c r="AB30" s="47">
        <f>资产预测!K115+资产预测!K116+资产预测!K123</f>
        <v>0</v>
      </c>
      <c r="AC30" s="47">
        <f>资产预测!L115+资产预测!L116+资产预测!L123</f>
        <v>0</v>
      </c>
      <c r="AD30" s="47">
        <f>资产预测!M115+资产预测!M116+资产预测!M123</f>
        <v>0</v>
      </c>
      <c r="AE30" s="47">
        <f>资产预测!N115+资产预测!N116+资产预测!N123</f>
        <v>0</v>
      </c>
      <c r="AF30" s="47">
        <f>资产预测!O115+资产预测!O116+资产预测!O123</f>
        <v>0</v>
      </c>
      <c r="AG30" s="47">
        <f>资产预测!P115+资产预测!P116+资产预测!P123</f>
        <v>0</v>
      </c>
      <c r="AH30" s="47">
        <f>资产预测!Q115+资产预测!Q116+资产预测!Q123</f>
        <v>0</v>
      </c>
      <c r="AI30" s="47">
        <f>资产预测!R115+资产预测!R116+资产预测!R123</f>
        <v>0</v>
      </c>
      <c r="AJ30" s="47">
        <f>资产预测!S115+资产预测!S116+资产预测!S123</f>
        <v>0</v>
      </c>
    </row>
    <row r="31" spans="1:38" ht="17.25" customHeight="1">
      <c r="B31" s="19" t="s">
        <v>144</v>
      </c>
      <c r="C31" s="421"/>
      <c r="D31" s="75">
        <f>(财务基础数据!D111-财务基础数据!D112)*目录!$D$6</f>
        <v>0</v>
      </c>
      <c r="E31" s="75">
        <f>(财务基础数据!E111-财务基础数据!E112)*目录!$D$6</f>
        <v>0</v>
      </c>
      <c r="F31" s="75">
        <f>(财务基础数据!F111-财务基础数据!F112)*目录!$D$6</f>
        <v>0</v>
      </c>
      <c r="G31" s="75">
        <f>(财务基础数据!G111-财务基础数据!G112)*目录!$D$6</f>
        <v>0</v>
      </c>
      <c r="H31" s="75">
        <f>(财务基础数据!H111-财务基础数据!H112)*目录!$D$6</f>
        <v>0</v>
      </c>
      <c r="I31" s="75">
        <f>(财务基础数据!I111-财务基础数据!I112)*目录!$D$6</f>
        <v>0</v>
      </c>
      <c r="J31" s="75">
        <f>(财务基础数据!J111-财务基础数据!J112)*目录!$D$6</f>
        <v>0</v>
      </c>
      <c r="K31" s="75">
        <f>(财务基础数据!K111-财务基础数据!K112)*目录!$D$6</f>
        <v>0</v>
      </c>
      <c r="L31" s="75">
        <f>(财务基础数据!L111-财务基础数据!L112)*目录!$D$6</f>
        <v>0</v>
      </c>
      <c r="M31" s="75">
        <f>(财务基础数据!M111-财务基础数据!M112)*目录!$D$6</f>
        <v>0</v>
      </c>
      <c r="N31" s="75">
        <f>(财务基础数据!N111-财务基础数据!N112)*目录!$D$6</f>
        <v>0</v>
      </c>
      <c r="O31" s="75">
        <f>(财务基础数据!O111-财务基础数据!O112)*目录!$D$6</f>
        <v>0</v>
      </c>
      <c r="P31" s="75">
        <f>(财务基础数据!P111-财务基础数据!P112)*目录!$D$6</f>
        <v>0</v>
      </c>
      <c r="Q31" s="75">
        <f>(财务基础数据!Q111-财务基础数据!Q112)*目录!$D$6</f>
        <v>0</v>
      </c>
      <c r="R31" s="75">
        <f>(财务基础数据!R111-财务基础数据!R112)*目录!$D$6</f>
        <v>0</v>
      </c>
      <c r="S31" s="75">
        <f>(财务基础数据!S111-财务基础数据!S112)*目录!$D$6</f>
        <v>0</v>
      </c>
      <c r="T31" s="75">
        <f>(财务基础数据!T111-财务基础数据!T112)*目录!$D$6</f>
        <v>0</v>
      </c>
      <c r="U31" s="75">
        <f>(财务基础数据!U111-财务基础数据!U112)*目录!$D$6</f>
        <v>0</v>
      </c>
      <c r="V31" s="75">
        <f>(财务基础数据!V111-财务基础数据!V112)*目录!$D$6</f>
        <v>0</v>
      </c>
      <c r="W31" s="169">
        <f>(财务基础数据!W111-财务基础数据!W112)*目录!$D$6</f>
        <v>0</v>
      </c>
      <c r="X31" s="75">
        <f>(财务基础数据!X111-财务基础数据!X112)*目录!$D$6</f>
        <v>0</v>
      </c>
      <c r="Y31" s="75">
        <f>(财务基础数据!Y111-财务基础数据!Y112)*目录!$D$6</f>
        <v>0</v>
      </c>
      <c r="Z31" s="75">
        <f>(财务基础数据!Z111-财务基础数据!Z112)*目录!$D$6</f>
        <v>0</v>
      </c>
      <c r="AA31" s="47">
        <f>资产预测!J93+资产预测!J94+资产预测!J107+资产预测!J108-资产预测!J109+资产预测!J110</f>
        <v>0</v>
      </c>
      <c r="AB31" s="47">
        <f>资产预测!K93+资产预测!K94+资产预测!K107+资产预测!K108-资产预测!K109+资产预测!K110</f>
        <v>0</v>
      </c>
      <c r="AC31" s="47">
        <f>资产预测!L93+资产预测!L94+资产预测!L107+资产预测!L108-资产预测!L109+资产预测!L110</f>
        <v>0</v>
      </c>
      <c r="AD31" s="47">
        <f>资产预测!M93+资产预测!M94+资产预测!M107+资产预测!M108-资产预测!M109+资产预测!M110</f>
        <v>0</v>
      </c>
      <c r="AE31" s="47">
        <f>资产预测!N93+资产预测!N94+资产预测!N107+资产预测!N108-资产预测!N109+资产预测!N110</f>
        <v>0</v>
      </c>
      <c r="AF31" s="47">
        <f>资产预测!O93+资产预测!O94+资产预测!O107+资产预测!O108-资产预测!O109+资产预测!O110</f>
        <v>0</v>
      </c>
      <c r="AG31" s="47">
        <f>资产预测!P93+资产预测!P94+资产预测!P107+资产预测!P108-资产预测!P109+资产预测!P110</f>
        <v>0</v>
      </c>
      <c r="AH31" s="47">
        <f>资产预测!Q93+资产预测!Q94+资产预测!Q107+资产预测!Q108-资产预测!Q109+资产预测!Q110</f>
        <v>0</v>
      </c>
      <c r="AI31" s="47">
        <f>资产预测!R93+资产预测!R94+资产预测!R107+资产预测!R108-资产预测!R109+资产预测!R110</f>
        <v>0</v>
      </c>
      <c r="AJ31" s="47">
        <f>资产预测!S93+资产预测!S94+资产预测!S107+资产预测!S108-资产预测!S109+资产预测!S110</f>
        <v>0</v>
      </c>
      <c r="AK31" s="47"/>
    </row>
    <row r="32" spans="1:38" ht="17.25" customHeight="1">
      <c r="B32" s="577" t="s">
        <v>562</v>
      </c>
      <c r="C32" s="421"/>
      <c r="D32" s="75">
        <f>-(财务基础数据!D113)*目录!$D$6</f>
        <v>0</v>
      </c>
      <c r="E32" s="75">
        <f>-(财务基础数据!E113)*目录!$D$6</f>
        <v>0</v>
      </c>
      <c r="F32" s="75">
        <f>-(财务基础数据!F113)*目录!$D$6</f>
        <v>0</v>
      </c>
      <c r="G32" s="75">
        <f>-(财务基础数据!G113)*目录!$D$6</f>
        <v>0</v>
      </c>
      <c r="H32" s="75">
        <f>-(财务基础数据!H113)*目录!$D$6</f>
        <v>0</v>
      </c>
      <c r="I32" s="75">
        <f>-(财务基础数据!I113)*目录!$D$6</f>
        <v>0</v>
      </c>
      <c r="J32" s="75">
        <f>-(财务基础数据!J113)*目录!$D$6</f>
        <v>0</v>
      </c>
      <c r="K32" s="75">
        <f>-(财务基础数据!K113)*目录!$D$6</f>
        <v>0</v>
      </c>
      <c r="L32" s="75">
        <f>-(财务基础数据!L113)*目录!$D$6</f>
        <v>0</v>
      </c>
      <c r="M32" s="75">
        <f>-(财务基础数据!M113)*目录!$D$6</f>
        <v>0</v>
      </c>
      <c r="N32" s="75">
        <f>-(财务基础数据!N113)*目录!$D$6</f>
        <v>0</v>
      </c>
      <c r="O32" s="75">
        <f>-(财务基础数据!O113)*目录!$D$6</f>
        <v>0</v>
      </c>
      <c r="P32" s="75">
        <f>-(财务基础数据!P113)*目录!$D$6</f>
        <v>0</v>
      </c>
      <c r="Q32" s="75">
        <f>-(财务基础数据!Q113)*目录!$D$6</f>
        <v>0</v>
      </c>
      <c r="R32" s="75">
        <f>-(财务基础数据!R113)*目录!$D$6</f>
        <v>0</v>
      </c>
      <c r="S32" s="75">
        <f>-(财务基础数据!S113)*目录!$D$6</f>
        <v>0</v>
      </c>
      <c r="T32" s="75">
        <f>-(财务基础数据!T113)*目录!$D$6</f>
        <v>0</v>
      </c>
      <c r="U32" s="75">
        <f>-(财务基础数据!U113)*目录!$D$6</f>
        <v>0</v>
      </c>
      <c r="V32" s="75">
        <f>-(财务基础数据!V113)*目录!$D$6</f>
        <v>0</v>
      </c>
      <c r="W32" s="169">
        <f>-(财务基础数据!W113)*目录!$D$6</f>
        <v>0</v>
      </c>
      <c r="X32" s="75">
        <f>-(财务基础数据!X113)*目录!$D$6</f>
        <v>0</v>
      </c>
      <c r="Y32" s="75">
        <f>-(财务基础数据!Y113)*目录!$D$6</f>
        <v>0</v>
      </c>
      <c r="Z32" s="75">
        <f>-(财务基础数据!Z113)*目录!$D$6</f>
        <v>0</v>
      </c>
      <c r="AA32" s="75">
        <f>-资产预测!J98</f>
        <v>0</v>
      </c>
      <c r="AB32" s="75">
        <f>-资产预测!K98</f>
        <v>0</v>
      </c>
      <c r="AC32" s="75">
        <f>-资产预测!L98</f>
        <v>0</v>
      </c>
      <c r="AD32" s="75">
        <f>-资产预测!M98</f>
        <v>0</v>
      </c>
      <c r="AE32" s="75">
        <f>-资产预测!N98</f>
        <v>0</v>
      </c>
      <c r="AF32" s="75">
        <f>-资产预测!O98</f>
        <v>0</v>
      </c>
      <c r="AG32" s="75">
        <f>-资产预测!P98</f>
        <v>0</v>
      </c>
      <c r="AH32" s="75">
        <f>-资产预测!Q98</f>
        <v>0</v>
      </c>
      <c r="AI32" s="75">
        <f>-资产预测!R98</f>
        <v>0</v>
      </c>
      <c r="AJ32" s="75">
        <f>-资产预测!S98</f>
        <v>0</v>
      </c>
      <c r="AK32" s="75"/>
    </row>
    <row r="33" spans="1:37" ht="17.25" customHeight="1">
      <c r="B33" s="19" t="s">
        <v>81</v>
      </c>
      <c r="C33" s="421"/>
      <c r="D33" s="75">
        <f>(财务基础数据!D114)*目录!$D$6</f>
        <v>0</v>
      </c>
      <c r="E33" s="75">
        <f>(财务基础数据!E114)*目录!$D$6</f>
        <v>0</v>
      </c>
      <c r="F33" s="75">
        <f>(财务基础数据!F114)*目录!$D$6</f>
        <v>0</v>
      </c>
      <c r="G33" s="75">
        <f>(财务基础数据!G114)*目录!$D$6</f>
        <v>0</v>
      </c>
      <c r="H33" s="75">
        <f>(财务基础数据!H114)*目录!$D$6</f>
        <v>0</v>
      </c>
      <c r="I33" s="75">
        <f>(财务基础数据!I114)*目录!$D$6</f>
        <v>0</v>
      </c>
      <c r="J33" s="75">
        <f>(财务基础数据!J114)*目录!$D$6</f>
        <v>0</v>
      </c>
      <c r="K33" s="75">
        <f>(财务基础数据!K114)*目录!$D$6</f>
        <v>0</v>
      </c>
      <c r="L33" s="75">
        <f>(财务基础数据!L114)*目录!$D$6</f>
        <v>0</v>
      </c>
      <c r="M33" s="75">
        <f>(财务基础数据!M114)*目录!$D$6</f>
        <v>0</v>
      </c>
      <c r="N33" s="75">
        <f>(财务基础数据!N114)*目录!$D$6</f>
        <v>0</v>
      </c>
      <c r="O33" s="75">
        <f>(财务基础数据!O114)*目录!$D$6</f>
        <v>0</v>
      </c>
      <c r="P33" s="75">
        <f>(财务基础数据!P114)*目录!$D$6</f>
        <v>0</v>
      </c>
      <c r="Q33" s="75">
        <f>(财务基础数据!Q114)*目录!$D$6</f>
        <v>0</v>
      </c>
      <c r="R33" s="75">
        <f>(财务基础数据!R114)*目录!$D$6</f>
        <v>0</v>
      </c>
      <c r="S33" s="75">
        <f>(财务基础数据!S114)*目录!$D$6</f>
        <v>0</v>
      </c>
      <c r="T33" s="75">
        <f>(财务基础数据!T114)*目录!$D$6</f>
        <v>0</v>
      </c>
      <c r="U33" s="75">
        <f>(财务基础数据!U114)*目录!$D$6</f>
        <v>0</v>
      </c>
      <c r="V33" s="75">
        <f>(财务基础数据!V114)*目录!$D$6</f>
        <v>0</v>
      </c>
      <c r="W33" s="169">
        <f>(财务基础数据!W114)*目录!$D$6</f>
        <v>0</v>
      </c>
      <c r="X33" s="75">
        <f>(财务基础数据!X114)*目录!$D$6</f>
        <v>0</v>
      </c>
      <c r="Y33" s="75">
        <f>(财务基础数据!Y114)*目录!$D$6</f>
        <v>0</v>
      </c>
      <c r="Z33" s="75">
        <f>(财务基础数据!Z114)*目录!$D$6</f>
        <v>0</v>
      </c>
      <c r="AA33" s="75">
        <f>资产预测!J111-利润表!AA19</f>
        <v>0</v>
      </c>
      <c r="AB33" s="75">
        <f>资产预测!K111-利润表!AB19</f>
        <v>0</v>
      </c>
      <c r="AC33" s="75">
        <f>资产预测!L111-利润表!AC19</f>
        <v>0</v>
      </c>
      <c r="AD33" s="75">
        <f>资产预测!M111-利润表!AD19</f>
        <v>0</v>
      </c>
      <c r="AE33" s="75">
        <f>资产预测!N111-利润表!AE19</f>
        <v>0</v>
      </c>
      <c r="AF33" s="75">
        <f>资产预测!O111-利润表!AF19</f>
        <v>0</v>
      </c>
      <c r="AG33" s="75">
        <f>资产预测!P111-利润表!AG19</f>
        <v>0</v>
      </c>
      <c r="AH33" s="75">
        <f>资产预测!Q111-利润表!AH19</f>
        <v>0</v>
      </c>
      <c r="AI33" s="75">
        <f>资产预测!R111-利润表!AI19</f>
        <v>0</v>
      </c>
      <c r="AJ33" s="75">
        <f>资产预测!S111-利润表!AJ19</f>
        <v>0</v>
      </c>
      <c r="AK33" s="75"/>
    </row>
    <row r="34" spans="1:37" s="131" customFormat="1" ht="17.25" customHeight="1">
      <c r="B34" s="142" t="s">
        <v>313</v>
      </c>
      <c r="C34" s="422"/>
      <c r="D34" s="91">
        <f>(财务基础数据!D115)*目录!$D$6</f>
        <v>0</v>
      </c>
      <c r="E34" s="91">
        <f>(财务基础数据!E115)*目录!$D$6</f>
        <v>0</v>
      </c>
      <c r="F34" s="91">
        <f>(财务基础数据!F115)*目录!$D$6</f>
        <v>0</v>
      </c>
      <c r="G34" s="91">
        <f>(财务基础数据!G115)*目录!$D$6</f>
        <v>0</v>
      </c>
      <c r="H34" s="91">
        <f>(财务基础数据!H115)*目录!$D$6</f>
        <v>0</v>
      </c>
      <c r="I34" s="91">
        <f>(财务基础数据!I115)*目录!$D$6</f>
        <v>0</v>
      </c>
      <c r="J34" s="91">
        <f>(财务基础数据!J115)*目录!$D$6</f>
        <v>0</v>
      </c>
      <c r="K34" s="91">
        <f>(财务基础数据!K115)*目录!$D$6</f>
        <v>0</v>
      </c>
      <c r="L34" s="91">
        <f>(财务基础数据!L115)*目录!$D$6</f>
        <v>0</v>
      </c>
      <c r="M34" s="91">
        <f>(财务基础数据!M115)*目录!$D$6</f>
        <v>0</v>
      </c>
      <c r="N34" s="91">
        <f>(财务基础数据!N115)*目录!$D$6</f>
        <v>0</v>
      </c>
      <c r="O34" s="91">
        <f>(财务基础数据!O115)*目录!$D$6</f>
        <v>0</v>
      </c>
      <c r="P34" s="91">
        <f>(财务基础数据!P115)*目录!$D$6</f>
        <v>0</v>
      </c>
      <c r="Q34" s="91">
        <f>(财务基础数据!Q115)*目录!$D$6</f>
        <v>0</v>
      </c>
      <c r="R34" s="91">
        <f>(财务基础数据!R115)*目录!$D$6</f>
        <v>0</v>
      </c>
      <c r="S34" s="91">
        <f>(财务基础数据!S115)*目录!$D$6</f>
        <v>0</v>
      </c>
      <c r="T34" s="91">
        <f>(财务基础数据!T115)*目录!$D$6</f>
        <v>0</v>
      </c>
      <c r="U34" s="91">
        <f>(财务基础数据!U115)*目录!$D$6</f>
        <v>0</v>
      </c>
      <c r="V34" s="91">
        <f>(财务基础数据!V115)*目录!$D$6</f>
        <v>0</v>
      </c>
      <c r="W34" s="555">
        <f>(财务基础数据!W115)*目录!$D$6</f>
        <v>0</v>
      </c>
      <c r="X34" s="91">
        <f>(财务基础数据!X115)*目录!$D$6</f>
        <v>0</v>
      </c>
      <c r="Y34" s="91">
        <f>(财务基础数据!Y115)*目录!$D$6</f>
        <v>0</v>
      </c>
      <c r="Z34" s="91">
        <f>(财务基础数据!Z115)*目录!$D$6</f>
        <v>0</v>
      </c>
      <c r="AA34" s="404">
        <f>IF(ISERROR(SUM(AA30:AA33)),"0",SUM(AA30:AA33))</f>
        <v>0</v>
      </c>
      <c r="AB34" s="404">
        <f t="shared" ref="AB34:AJ34" si="5">IF(ISERROR(SUM(AB30:AB33)),"0",SUM(AB30:AB33))</f>
        <v>0</v>
      </c>
      <c r="AC34" s="404">
        <f t="shared" si="5"/>
        <v>0</v>
      </c>
      <c r="AD34" s="404">
        <f t="shared" si="5"/>
        <v>0</v>
      </c>
      <c r="AE34" s="404">
        <f t="shared" si="5"/>
        <v>0</v>
      </c>
      <c r="AF34" s="404">
        <f t="shared" si="5"/>
        <v>0</v>
      </c>
      <c r="AG34" s="404">
        <f t="shared" si="5"/>
        <v>0</v>
      </c>
      <c r="AH34" s="404">
        <f t="shared" si="5"/>
        <v>0</v>
      </c>
      <c r="AI34" s="404">
        <f t="shared" si="5"/>
        <v>0</v>
      </c>
      <c r="AJ34" s="404">
        <f t="shared" si="5"/>
        <v>0</v>
      </c>
    </row>
    <row r="35" spans="1:37" s="131" customFormat="1" ht="17.25" customHeight="1">
      <c r="A35" s="132"/>
      <c r="B35" s="19" t="s">
        <v>237</v>
      </c>
      <c r="C35" s="144"/>
      <c r="D35" s="75">
        <f>(财务基础数据!D116)*目录!$D$6</f>
        <v>0</v>
      </c>
      <c r="E35" s="75">
        <f>(财务基础数据!E116)*目录!$D$6</f>
        <v>0</v>
      </c>
      <c r="F35" s="75">
        <f>(财务基础数据!F116)*目录!$D$6</f>
        <v>0</v>
      </c>
      <c r="G35" s="75">
        <f>(财务基础数据!G116)*目录!$D$6</f>
        <v>0</v>
      </c>
      <c r="H35" s="75">
        <f>(财务基础数据!H116)*目录!$D$6</f>
        <v>0</v>
      </c>
      <c r="I35" s="75">
        <f>(财务基础数据!I116)*目录!$D$6</f>
        <v>0</v>
      </c>
      <c r="J35" s="75">
        <f>(财务基础数据!J116)*目录!$D$6</f>
        <v>0</v>
      </c>
      <c r="K35" s="75">
        <f>(财务基础数据!K116)*目录!$D$6</f>
        <v>0</v>
      </c>
      <c r="L35" s="75">
        <f>(财务基础数据!L116)*目录!$D$6</f>
        <v>0</v>
      </c>
      <c r="M35" s="75">
        <f>(财务基础数据!M116)*目录!$D$6</f>
        <v>0</v>
      </c>
      <c r="N35" s="75">
        <f>(财务基础数据!N116)*目录!$D$6</f>
        <v>0</v>
      </c>
      <c r="O35" s="75">
        <f>(财务基础数据!O116)*目录!$D$6</f>
        <v>0</v>
      </c>
      <c r="P35" s="75">
        <f>(财务基础数据!P116)*目录!$D$6</f>
        <v>0</v>
      </c>
      <c r="Q35" s="75">
        <f>(财务基础数据!Q116)*目录!$D$6</f>
        <v>0</v>
      </c>
      <c r="R35" s="75">
        <f>(财务基础数据!R116)*目录!$D$6</f>
        <v>0</v>
      </c>
      <c r="S35" s="75">
        <f>(财务基础数据!S116)*目录!$D$6</f>
        <v>0</v>
      </c>
      <c r="T35" s="75">
        <f>(财务基础数据!T116)*目录!$D$6</f>
        <v>0</v>
      </c>
      <c r="U35" s="75">
        <f>(财务基础数据!U116)*目录!$D$6</f>
        <v>0</v>
      </c>
      <c r="V35" s="75">
        <f>(财务基础数据!V116)*目录!$D$6</f>
        <v>0</v>
      </c>
      <c r="W35" s="169">
        <f>(财务基础数据!W116)*目录!$D$6</f>
        <v>0</v>
      </c>
      <c r="X35" s="75">
        <f>(财务基础数据!X116)*目录!$D$6</f>
        <v>0</v>
      </c>
      <c r="Y35" s="75">
        <f>(财务基础数据!Y116)*目录!$D$6</f>
        <v>0</v>
      </c>
      <c r="Z35" s="75">
        <f>(财务基础数据!Z116)*目录!$D$6</f>
        <v>0</v>
      </c>
      <c r="AA35" s="152">
        <f>IF(财务基础数据!W$2=0,W35,IF(财务基础数据!W$2=1,X35,IF(财务基础数据!W$2=2,Y35,Z35)))</f>
        <v>0</v>
      </c>
      <c r="AB35" s="152">
        <f t="shared" ref="AB35:AJ35" si="6">AA35</f>
        <v>0</v>
      </c>
      <c r="AC35" s="152">
        <f t="shared" si="6"/>
        <v>0</v>
      </c>
      <c r="AD35" s="186">
        <f t="shared" si="6"/>
        <v>0</v>
      </c>
      <c r="AE35" s="186">
        <f t="shared" si="6"/>
        <v>0</v>
      </c>
      <c r="AF35" s="186">
        <f t="shared" si="6"/>
        <v>0</v>
      </c>
      <c r="AG35" s="186">
        <f t="shared" si="6"/>
        <v>0</v>
      </c>
      <c r="AH35" s="186">
        <f t="shared" si="6"/>
        <v>0</v>
      </c>
      <c r="AI35" s="186">
        <f t="shared" si="6"/>
        <v>0</v>
      </c>
      <c r="AJ35" s="186">
        <f t="shared" si="6"/>
        <v>0</v>
      </c>
    </row>
    <row r="36" spans="1:37" s="131" customFormat="1" ht="17.25" customHeight="1">
      <c r="B36" s="142" t="s">
        <v>314</v>
      </c>
      <c r="C36" s="422"/>
      <c r="D36" s="91">
        <f>(财务基础数据!D118)*目录!$D$6</f>
        <v>0</v>
      </c>
      <c r="E36" s="91">
        <f>(财务基础数据!E118)*目录!$D$6</f>
        <v>0</v>
      </c>
      <c r="F36" s="91">
        <f>(财务基础数据!F118)*目录!$D$6</f>
        <v>0</v>
      </c>
      <c r="G36" s="91">
        <f>(财务基础数据!G118)*目录!$D$6</f>
        <v>0</v>
      </c>
      <c r="H36" s="91">
        <f>(财务基础数据!H118)*目录!$D$6</f>
        <v>0</v>
      </c>
      <c r="I36" s="91">
        <f>(财务基础数据!I118)*目录!$D$6</f>
        <v>0</v>
      </c>
      <c r="J36" s="91">
        <f>(财务基础数据!J118)*目录!$D$6</f>
        <v>0</v>
      </c>
      <c r="K36" s="91">
        <f>(财务基础数据!K118)*目录!$D$6</f>
        <v>0</v>
      </c>
      <c r="L36" s="91">
        <f>(财务基础数据!L118)*目录!$D$6</f>
        <v>0</v>
      </c>
      <c r="M36" s="91">
        <f>(财务基础数据!M118)*目录!$D$6</f>
        <v>0</v>
      </c>
      <c r="N36" s="91">
        <f>(财务基础数据!N118)*目录!$D$6</f>
        <v>0</v>
      </c>
      <c r="O36" s="91">
        <f>(财务基础数据!O118)*目录!$D$6</f>
        <v>0</v>
      </c>
      <c r="P36" s="91">
        <f>(财务基础数据!P118)*目录!$D$6</f>
        <v>0</v>
      </c>
      <c r="Q36" s="91">
        <f>(财务基础数据!Q118)*目录!$D$6</f>
        <v>0</v>
      </c>
      <c r="R36" s="91">
        <f>(财务基础数据!R118)*目录!$D$6</f>
        <v>0</v>
      </c>
      <c r="S36" s="91">
        <f>(财务基础数据!S118)*目录!$D$6</f>
        <v>0</v>
      </c>
      <c r="T36" s="91">
        <f>(财务基础数据!T118)*目录!$D$6</f>
        <v>0</v>
      </c>
      <c r="U36" s="91">
        <f>(财务基础数据!U118)*目录!$D$6</f>
        <v>0</v>
      </c>
      <c r="V36" s="91">
        <f>(财务基础数据!V118)*目录!$D$6</f>
        <v>0</v>
      </c>
      <c r="W36" s="555">
        <f>(财务基础数据!W118)*目录!$D$6</f>
        <v>0</v>
      </c>
      <c r="X36" s="91">
        <f>(财务基础数据!X118)*目录!$D$6</f>
        <v>0</v>
      </c>
      <c r="Y36" s="91">
        <f>(财务基础数据!Y118)*目录!$D$6</f>
        <v>0</v>
      </c>
      <c r="Z36" s="91">
        <f>(财务基础数据!Z118)*目录!$D$6</f>
        <v>0</v>
      </c>
      <c r="AA36" s="404">
        <f t="shared" ref="AA36:AJ36" si="7">IF(ISERROR(AA34+AA29+AA16+AA35),"0",AA34+AA29+AA16+AA35)</f>
        <v>0</v>
      </c>
      <c r="AB36" s="404">
        <f t="shared" si="7"/>
        <v>0</v>
      </c>
      <c r="AC36" s="404">
        <f t="shared" si="7"/>
        <v>0</v>
      </c>
      <c r="AD36" s="404">
        <f t="shared" si="7"/>
        <v>0</v>
      </c>
      <c r="AE36" s="404">
        <f t="shared" si="7"/>
        <v>0</v>
      </c>
      <c r="AF36" s="404">
        <f t="shared" si="7"/>
        <v>0</v>
      </c>
      <c r="AG36" s="404">
        <f t="shared" si="7"/>
        <v>0</v>
      </c>
      <c r="AH36" s="404">
        <f t="shared" si="7"/>
        <v>0</v>
      </c>
      <c r="AI36" s="404">
        <f t="shared" si="7"/>
        <v>0</v>
      </c>
      <c r="AJ36" s="404">
        <f t="shared" si="7"/>
        <v>0</v>
      </c>
    </row>
    <row r="37" spans="1:37" ht="17.25" customHeight="1">
      <c r="B37" s="19" t="s">
        <v>232</v>
      </c>
      <c r="C37" s="421"/>
      <c r="D37" s="75">
        <f>(财务基础数据!D119)*目录!$D$6</f>
        <v>0</v>
      </c>
      <c r="E37" s="75">
        <f>(财务基础数据!E119)*目录!$D$6</f>
        <v>0</v>
      </c>
      <c r="F37" s="75">
        <f>(财务基础数据!F119)*目录!$D$6</f>
        <v>0</v>
      </c>
      <c r="G37" s="75">
        <f>(财务基础数据!G119)*目录!$D$6</f>
        <v>0</v>
      </c>
      <c r="H37" s="75">
        <f>(财务基础数据!H119)*目录!$D$6</f>
        <v>0</v>
      </c>
      <c r="I37" s="75">
        <f>(财务基础数据!I119)*目录!$D$6</f>
        <v>0</v>
      </c>
      <c r="J37" s="75">
        <f>(财务基础数据!J119)*目录!$D$6</f>
        <v>0</v>
      </c>
      <c r="K37" s="75">
        <f>(财务基础数据!K119)*目录!$D$6</f>
        <v>0</v>
      </c>
      <c r="L37" s="75">
        <f>(财务基础数据!L119)*目录!$D$6</f>
        <v>0</v>
      </c>
      <c r="M37" s="75">
        <f>(财务基础数据!M119)*目录!$D$6</f>
        <v>0</v>
      </c>
      <c r="N37" s="75">
        <f>(财务基础数据!N119)*目录!$D$6</f>
        <v>0</v>
      </c>
      <c r="O37" s="75">
        <f>(财务基础数据!O119)*目录!$D$6</f>
        <v>0</v>
      </c>
      <c r="P37" s="75">
        <f>(财务基础数据!P119)*目录!$D$6</f>
        <v>0</v>
      </c>
      <c r="Q37" s="75">
        <f>(财务基础数据!Q119)*目录!$D$6</f>
        <v>0</v>
      </c>
      <c r="R37" s="75">
        <f>(财务基础数据!R119)*目录!$D$6</f>
        <v>0</v>
      </c>
      <c r="S37" s="75">
        <f>(财务基础数据!S119)*目录!$D$6</f>
        <v>0</v>
      </c>
      <c r="T37" s="75">
        <f>(财务基础数据!T119)*目录!$D$6</f>
        <v>0</v>
      </c>
      <c r="U37" s="75">
        <f>(财务基础数据!U119)*目录!$D$6</f>
        <v>0</v>
      </c>
      <c r="V37" s="75">
        <f>(财务基础数据!V119)*目录!$D$6</f>
        <v>0</v>
      </c>
      <c r="W37" s="169">
        <f>(财务基础数据!W119)*目录!$D$6</f>
        <v>0</v>
      </c>
      <c r="X37" s="75">
        <f>(财务基础数据!X119)*目录!$D$6</f>
        <v>0</v>
      </c>
      <c r="Y37" s="75">
        <f>(财务基础数据!Y119)*目录!$D$6</f>
        <v>0</v>
      </c>
      <c r="Z37" s="75">
        <f>(财务基础数据!Z119)*目录!$D$6</f>
        <v>0</v>
      </c>
      <c r="AA37" s="47">
        <f>资产负债表!W6</f>
        <v>0</v>
      </c>
      <c r="AB37" s="47">
        <f>资产负债表!AA6</f>
        <v>0</v>
      </c>
      <c r="AC37" s="47">
        <f>资产负债表!AB6</f>
        <v>0</v>
      </c>
      <c r="AD37" s="47">
        <f>资产负债表!AC6</f>
        <v>0</v>
      </c>
      <c r="AE37" s="47">
        <f>资产负债表!AD6</f>
        <v>0</v>
      </c>
      <c r="AF37" s="47">
        <f>资产负债表!AE6</f>
        <v>0</v>
      </c>
      <c r="AG37" s="47">
        <f>资产负债表!AF6</f>
        <v>0</v>
      </c>
      <c r="AH37" s="47">
        <f>资产负债表!AG6</f>
        <v>0</v>
      </c>
      <c r="AI37" s="47">
        <f>资产负债表!AH6</f>
        <v>0</v>
      </c>
      <c r="AJ37" s="47">
        <f>资产负债表!AI6</f>
        <v>0</v>
      </c>
    </row>
    <row r="38" spans="1:37" ht="17.25" customHeight="1" thickBot="1">
      <c r="B38" s="145" t="s">
        <v>315</v>
      </c>
      <c r="C38" s="424"/>
      <c r="D38" s="425">
        <f>(财务基础数据!D120)*目录!$D$6</f>
        <v>0</v>
      </c>
      <c r="E38" s="425">
        <f>(财务基础数据!E120)*目录!$D$6</f>
        <v>0</v>
      </c>
      <c r="F38" s="425">
        <f>(财务基础数据!F120)*目录!$D$6</f>
        <v>0</v>
      </c>
      <c r="G38" s="425">
        <f>(财务基础数据!G120)*目录!$D$6</f>
        <v>0</v>
      </c>
      <c r="H38" s="425">
        <f>(财务基础数据!H120)*目录!$D$6</f>
        <v>0</v>
      </c>
      <c r="I38" s="425">
        <f>(财务基础数据!I120)*目录!$D$6</f>
        <v>0</v>
      </c>
      <c r="J38" s="425">
        <f>(财务基础数据!J120)*目录!$D$6</f>
        <v>0</v>
      </c>
      <c r="K38" s="425">
        <f>(财务基础数据!K120)*目录!$D$6</f>
        <v>0</v>
      </c>
      <c r="L38" s="425">
        <f>(财务基础数据!L120)*目录!$D$6</f>
        <v>0</v>
      </c>
      <c r="M38" s="425">
        <f>(财务基础数据!M120)*目录!$D$6</f>
        <v>0</v>
      </c>
      <c r="N38" s="425">
        <f>(财务基础数据!N120)*目录!$D$6</f>
        <v>0</v>
      </c>
      <c r="O38" s="425">
        <f>(财务基础数据!O120)*目录!$D$6</f>
        <v>0</v>
      </c>
      <c r="P38" s="425">
        <f>(财务基础数据!P120)*目录!$D$6</f>
        <v>0</v>
      </c>
      <c r="Q38" s="425">
        <f>(财务基础数据!Q120)*目录!$D$6</f>
        <v>0</v>
      </c>
      <c r="R38" s="425">
        <f>(财务基础数据!R120)*目录!$D$6</f>
        <v>0</v>
      </c>
      <c r="S38" s="425">
        <f>(财务基础数据!S120)*目录!$D$6</f>
        <v>0</v>
      </c>
      <c r="T38" s="425">
        <f>(财务基础数据!T120)*目录!$D$6</f>
        <v>0</v>
      </c>
      <c r="U38" s="425">
        <f>(财务基础数据!U120)*目录!$D$6</f>
        <v>0</v>
      </c>
      <c r="V38" s="425">
        <f>(财务基础数据!V120)*目录!$D$6</f>
        <v>0</v>
      </c>
      <c r="W38" s="554">
        <f>(财务基础数据!W120)*目录!$D$6</f>
        <v>0</v>
      </c>
      <c r="X38" s="425">
        <f>(财务基础数据!X120)*目录!$D$6</f>
        <v>0</v>
      </c>
      <c r="Y38" s="425">
        <f>(财务基础数据!Y120)*目录!$D$6</f>
        <v>0</v>
      </c>
      <c r="Z38" s="425">
        <f>(财务基础数据!Z120)*目录!$D$6</f>
        <v>0</v>
      </c>
      <c r="AA38" s="43">
        <f t="shared" ref="AA38:AJ38" si="8">AA36+AA37</f>
        <v>0</v>
      </c>
      <c r="AB38" s="43">
        <f t="shared" si="8"/>
        <v>0</v>
      </c>
      <c r="AC38" s="43">
        <f t="shared" si="8"/>
        <v>0</v>
      </c>
      <c r="AD38" s="43">
        <f t="shared" si="8"/>
        <v>0</v>
      </c>
      <c r="AE38" s="43">
        <f t="shared" si="8"/>
        <v>0</v>
      </c>
      <c r="AF38" s="43">
        <f t="shared" si="8"/>
        <v>0</v>
      </c>
      <c r="AG38" s="43">
        <f t="shared" si="8"/>
        <v>0</v>
      </c>
      <c r="AH38" s="43">
        <f t="shared" si="8"/>
        <v>0</v>
      </c>
      <c r="AI38" s="43">
        <f t="shared" si="8"/>
        <v>0</v>
      </c>
      <c r="AJ38" s="43">
        <f t="shared" si="8"/>
        <v>0</v>
      </c>
    </row>
    <row r="39" spans="1:37" ht="17.25" customHeight="1" thickTop="1">
      <c r="D39" s="146"/>
      <c r="E39" s="146"/>
      <c r="F39" s="146"/>
    </row>
    <row r="40" spans="1:37" ht="17.25" customHeight="1">
      <c r="B40" s="147" t="s">
        <v>316</v>
      </c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</row>
    <row r="41" spans="1:37" ht="17.25" customHeight="1">
      <c r="A41" s="131"/>
      <c r="B41" s="148" t="s">
        <v>317</v>
      </c>
    </row>
    <row r="42" spans="1:37" ht="17.25" customHeight="1">
      <c r="A42" s="131"/>
    </row>
    <row r="43" spans="1:37" ht="17.25" customHeight="1">
      <c r="AA43" s="146"/>
    </row>
    <row r="46" spans="1:37" ht="17.25" customHeight="1">
      <c r="AA46" s="146"/>
    </row>
    <row r="47" spans="1:37" ht="17.25" customHeight="1">
      <c r="AA47" s="146"/>
    </row>
  </sheetData>
  <phoneticPr fontId="93" type="noConversion"/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0"/>
  <dimension ref="A1:M125"/>
  <sheetViews>
    <sheetView showGridLines="0" workbookViewId="0">
      <selection activeCell="B3" sqref="B3"/>
    </sheetView>
  </sheetViews>
  <sheetFormatPr defaultColWidth="9" defaultRowHeight="17.25" outlineLevelRow="1"/>
  <cols>
    <col min="1" max="1" width="24.625" style="49" customWidth="1"/>
    <col min="2" max="2" width="18.25" style="50" customWidth="1"/>
    <col min="3" max="12" width="15" style="51" customWidth="1"/>
    <col min="13" max="16384" width="9" style="51"/>
  </cols>
  <sheetData>
    <row r="1" spans="1:6" ht="18">
      <c r="A1" s="52" t="s">
        <v>318</v>
      </c>
      <c r="B1" s="52" t="s">
        <v>319</v>
      </c>
      <c r="C1" s="19" t="s">
        <v>320</v>
      </c>
      <c r="D1" s="49"/>
      <c r="E1" s="49"/>
      <c r="F1" s="49"/>
    </row>
    <row r="2" spans="1:6">
      <c r="A2" s="49" t="s">
        <v>321</v>
      </c>
      <c r="B2" s="53">
        <f>目录!D4</f>
        <v>3</v>
      </c>
      <c r="C2" s="54" t="s">
        <v>322</v>
      </c>
      <c r="D2" s="49"/>
      <c r="E2" s="49"/>
      <c r="F2" s="49"/>
    </row>
    <row r="3" spans="1:6">
      <c r="A3" s="49" t="s">
        <v>323</v>
      </c>
      <c r="B3" s="53"/>
      <c r="C3" s="54" t="s">
        <v>324</v>
      </c>
      <c r="D3" s="49"/>
      <c r="E3" s="49"/>
      <c r="F3" s="49"/>
    </row>
    <row r="4" spans="1:6">
      <c r="A4" s="49" t="s">
        <v>325</v>
      </c>
      <c r="B4" s="55"/>
      <c r="C4" s="54" t="s">
        <v>326</v>
      </c>
      <c r="D4" s="49"/>
      <c r="E4" s="49"/>
      <c r="F4" s="49"/>
    </row>
    <row r="5" spans="1:6">
      <c r="A5" s="49" t="s">
        <v>327</v>
      </c>
      <c r="B5" s="56"/>
      <c r="C5" s="54" t="s">
        <v>328</v>
      </c>
      <c r="D5" s="49"/>
      <c r="E5" s="49"/>
      <c r="F5" s="49"/>
    </row>
    <row r="6" spans="1:6">
      <c r="A6" s="49" t="s">
        <v>329</v>
      </c>
      <c r="B6" s="57"/>
      <c r="C6" s="54" t="s">
        <v>330</v>
      </c>
      <c r="D6" s="49"/>
      <c r="E6" s="49"/>
      <c r="F6" s="49"/>
    </row>
    <row r="7" spans="1:6">
      <c r="A7" s="49" t="s">
        <v>331</v>
      </c>
      <c r="B7" s="56"/>
      <c r="C7" s="54" t="s">
        <v>332</v>
      </c>
      <c r="D7" s="49"/>
      <c r="E7" s="49"/>
      <c r="F7" s="49"/>
    </row>
    <row r="8" spans="1:6">
      <c r="A8" s="49" t="s">
        <v>333</v>
      </c>
      <c r="B8" s="55"/>
      <c r="C8" s="54" t="s">
        <v>334</v>
      </c>
      <c r="D8" s="49"/>
      <c r="E8" s="49"/>
      <c r="F8" s="49"/>
    </row>
    <row r="9" spans="1:6">
      <c r="A9" s="49" t="s">
        <v>335</v>
      </c>
      <c r="B9" s="56">
        <f>销售预测!J34</f>
        <v>0</v>
      </c>
      <c r="C9" s="54" t="s">
        <v>336</v>
      </c>
      <c r="D9" s="49"/>
      <c r="E9" s="49"/>
      <c r="F9" s="49"/>
    </row>
    <row r="10" spans="1:6">
      <c r="A10" s="19" t="s">
        <v>337</v>
      </c>
      <c r="B10" s="58">
        <f ca="1">12-MONTH(TODAY())</f>
        <v>9</v>
      </c>
      <c r="C10" s="54" t="s">
        <v>338</v>
      </c>
      <c r="D10" s="49"/>
      <c r="E10" s="49"/>
      <c r="F10" s="49"/>
    </row>
    <row r="11" spans="1:6" ht="15.75">
      <c r="A11" s="576" t="s">
        <v>339</v>
      </c>
      <c r="B11" s="576" t="s">
        <v>319</v>
      </c>
      <c r="C11" s="575" t="s">
        <v>340</v>
      </c>
      <c r="D11" s="575"/>
      <c r="E11" s="575"/>
      <c r="F11" s="574" t="s">
        <v>320</v>
      </c>
    </row>
    <row r="12" spans="1:6" ht="18.75" customHeight="1">
      <c r="A12" s="576"/>
      <c r="B12" s="576"/>
      <c r="C12" s="61" t="str">
        <f>财务基础数据!AA5&amp;"E"</f>
        <v>2022E</v>
      </c>
      <c r="D12" s="62">
        <f>财务基础数据!AA5+1</f>
        <v>2023</v>
      </c>
      <c r="E12" s="62">
        <f>D12+1</f>
        <v>2024</v>
      </c>
      <c r="F12" s="574"/>
    </row>
    <row r="13" spans="1:6">
      <c r="A13" s="49" t="s">
        <v>341</v>
      </c>
      <c r="B13" s="63">
        <f>C13</f>
        <v>0</v>
      </c>
      <c r="C13" s="64">
        <f>资产预测!J118</f>
        <v>0</v>
      </c>
      <c r="D13" s="64">
        <f>资产预测!K118</f>
        <v>0</v>
      </c>
      <c r="E13" s="64">
        <f>资产预测!L118</f>
        <v>0</v>
      </c>
      <c r="F13" s="54" t="s">
        <v>342</v>
      </c>
    </row>
    <row r="14" spans="1:6">
      <c r="A14" s="49" t="s">
        <v>343</v>
      </c>
      <c r="B14" s="63" t="str">
        <f>C14</f>
        <v>0</v>
      </c>
      <c r="C14" s="65" t="str">
        <f>IF(ISERROR(资产负债表!AA35/(资产负债表!AA35+资产负债表!AA47)),"0",资产负债表!AA35/(资产负债表!AA35+资产负债表!AA47))</f>
        <v>0</v>
      </c>
      <c r="D14" s="65" t="str">
        <f>IF(ISERROR(资产负债表!AB35/(资产负债表!AB35+资产负债表!AB47)),"0",资产负债表!AB35/(资产负债表!AB35+资产负债表!AB47))</f>
        <v>0</v>
      </c>
      <c r="E14" s="65" t="str">
        <f>IF(ISERROR(资产负债表!AC35/(资产负债表!AC35+资产负债表!AC47)),"0",资产负债表!AC35/(资产负债表!AC35+资产负债表!AC47))</f>
        <v>0</v>
      </c>
      <c r="F14" s="54" t="s">
        <v>344</v>
      </c>
    </row>
    <row r="15" spans="1:6">
      <c r="A15" s="49" t="s">
        <v>345</v>
      </c>
      <c r="B15" s="63">
        <f>C15</f>
        <v>0</v>
      </c>
      <c r="C15" s="64">
        <f>$B7+$B6*($B8-$B7)</f>
        <v>0</v>
      </c>
      <c r="D15" s="64">
        <f>$B7+$B6*($B8-$B7)</f>
        <v>0</v>
      </c>
      <c r="E15" s="64">
        <f>$B7+$B6*($B8-$B7)</f>
        <v>0</v>
      </c>
      <c r="F15" s="54" t="s">
        <v>346</v>
      </c>
    </row>
    <row r="16" spans="1:6" ht="14.25" customHeight="1">
      <c r="A16" s="49" t="s">
        <v>347</v>
      </c>
      <c r="B16" s="63">
        <f>IF(ISERROR(B13*B14*(1-$B9)+B15*(1-B14)),"—",B13*B14*(1-$B9)+B15*(1-B14))</f>
        <v>0</v>
      </c>
      <c r="C16" s="65">
        <f>IF(ISERROR(C13*C14*(1-$B9)+C15*(1-C14)),"—",C13*C14*(1-$B9)+C15*(1-C14))</f>
        <v>0</v>
      </c>
      <c r="D16" s="65">
        <f>IF(ISERROR(D13*D14*(1-$B9)+D15*(1-D14)),"—",D13*D14*(1-$B9)+D15*(1-D14))</f>
        <v>0</v>
      </c>
      <c r="E16" s="65">
        <f>IF(ISERROR(E13*E14*(1-$B9)+E15*(1-E14)),"—",E13*E14*(1-$B9)+E15*(1-E14))</f>
        <v>0</v>
      </c>
      <c r="F16" s="54" t="s">
        <v>348</v>
      </c>
    </row>
    <row r="17" spans="1:13" ht="14.25" customHeight="1"/>
    <row r="18" spans="1:13" ht="12.75" customHeight="1">
      <c r="D18" s="66"/>
    </row>
    <row r="19" spans="1:13" ht="27" customHeight="1">
      <c r="A19" s="67" t="s">
        <v>349</v>
      </c>
      <c r="B19" s="3" t="str">
        <f ca="1">B42</f>
        <v>—</v>
      </c>
      <c r="C19" s="68">
        <v>1</v>
      </c>
      <c r="D19" s="68">
        <v>2</v>
      </c>
      <c r="E19" s="68">
        <v>3</v>
      </c>
      <c r="F19" s="68">
        <v>4</v>
      </c>
      <c r="G19" s="68">
        <v>5</v>
      </c>
      <c r="H19" s="68">
        <v>6</v>
      </c>
      <c r="I19" s="68">
        <v>7</v>
      </c>
      <c r="J19" s="68">
        <v>8</v>
      </c>
      <c r="K19" s="68">
        <v>9</v>
      </c>
      <c r="L19" s="68">
        <v>10</v>
      </c>
    </row>
    <row r="20" spans="1:13" outlineLevel="1">
      <c r="B20" s="69">
        <f>财务基础数据!AA5-1</f>
        <v>2021</v>
      </c>
      <c r="C20" s="70" t="str">
        <f>财务基础数据!AA5&amp;"E"</f>
        <v>2022E</v>
      </c>
      <c r="D20" s="70">
        <f>财务基础数据!AA5+1</f>
        <v>2023</v>
      </c>
      <c r="E20" s="70">
        <f>D20+1</f>
        <v>2024</v>
      </c>
      <c r="F20" s="70">
        <f t="shared" ref="F20:L20" si="0">E20+1</f>
        <v>2025</v>
      </c>
      <c r="G20" s="70">
        <f t="shared" si="0"/>
        <v>2026</v>
      </c>
      <c r="H20" s="70">
        <f t="shared" si="0"/>
        <v>2027</v>
      </c>
      <c r="I20" s="70">
        <f t="shared" si="0"/>
        <v>2028</v>
      </c>
      <c r="J20" s="70">
        <f t="shared" si="0"/>
        <v>2029</v>
      </c>
      <c r="K20" s="70">
        <f t="shared" si="0"/>
        <v>2030</v>
      </c>
      <c r="L20" s="70">
        <f t="shared" si="0"/>
        <v>2031</v>
      </c>
      <c r="M20" s="105"/>
    </row>
    <row r="21" spans="1:13" outlineLevel="1">
      <c r="A21" s="49" t="s">
        <v>53</v>
      </c>
      <c r="B21" s="71">
        <f>IF(ISERROR(利润表!W35),"—",利润表!W35)</f>
        <v>0</v>
      </c>
      <c r="C21" s="72">
        <f>IF(ISERROR(利润表!AA35),"—",利润表!AA35)</f>
        <v>0</v>
      </c>
      <c r="D21" s="72">
        <f>IF(ISERROR(利润表!AB35),"—",利润表!AB35)</f>
        <v>0</v>
      </c>
      <c r="E21" s="72">
        <f>IF(ISERROR(利润表!AC35),"—",利润表!AC35)</f>
        <v>0</v>
      </c>
      <c r="F21" s="72">
        <f>IF(ISERROR(利润表!AD35),"—",利润表!AD35)</f>
        <v>0</v>
      </c>
      <c r="G21" s="72">
        <f>IF(ISERROR(利润表!AE35),"—",利润表!AE35)</f>
        <v>0</v>
      </c>
      <c r="H21" s="72">
        <f>IF(ISERROR(利润表!AF35),"—",利润表!AF35)</f>
        <v>0</v>
      </c>
      <c r="I21" s="72">
        <f>IF(ISERROR(利润表!AG35),"—",利润表!AG35)</f>
        <v>0</v>
      </c>
      <c r="J21" s="72">
        <f>IF(ISERROR(利润表!AH35),"—",利润表!AH35)</f>
        <v>0</v>
      </c>
      <c r="K21" s="72">
        <f>IF(ISERROR(利润表!AI35),"—",利润表!AI35)</f>
        <v>0</v>
      </c>
      <c r="L21" s="72">
        <f>IF(ISERROR(利润表!AJ35),"—",利润表!AJ35)</f>
        <v>0</v>
      </c>
      <c r="M21" s="105"/>
    </row>
    <row r="22" spans="1:13" outlineLevel="1">
      <c r="A22" s="49" t="s">
        <v>166</v>
      </c>
      <c r="B22" s="73" t="str">
        <f>IF(ISERROR(利润表!W25/利润表!W24),"-",利润表!W25/利润表!W24)</f>
        <v>-</v>
      </c>
      <c r="C22" s="65" t="str">
        <f>IF(ISERROR(利润表!AA25/利润表!AA24),"-",利润表!AA25/利润表!AA24)</f>
        <v>-</v>
      </c>
      <c r="D22" s="65" t="str">
        <f>IF(ISERROR(利润表!AB25/利润表!AB24),"-",利润表!AB25/利润表!AB24)</f>
        <v>-</v>
      </c>
      <c r="E22" s="65" t="str">
        <f>IF(ISERROR(利润表!AC25/利润表!AC24),"-",利润表!AC25/利润表!AC24)</f>
        <v>-</v>
      </c>
      <c r="F22" s="65" t="str">
        <f>IF(ISERROR(利润表!AD25/利润表!AD24),"-",利润表!AD25/利润表!AD24)</f>
        <v>-</v>
      </c>
      <c r="G22" s="65" t="str">
        <f>IF(ISERROR(利润表!AE25/利润表!AE24),"-",利润表!AE25/利润表!AE24)</f>
        <v>-</v>
      </c>
      <c r="H22" s="65" t="str">
        <f>IF(ISERROR(利润表!AF25/利润表!AF24),"-",利润表!AF25/利润表!AF24)</f>
        <v>-</v>
      </c>
      <c r="I22" s="65" t="str">
        <f>IF(ISERROR(利润表!AG25/利润表!AG24),"-",利润表!AG25/利润表!AG24)</f>
        <v>-</v>
      </c>
      <c r="J22" s="65" t="str">
        <f>IF(ISERROR(利润表!AH25/利润表!AH24),"-",利润表!AH25/利润表!AH24)</f>
        <v>-</v>
      </c>
      <c r="K22" s="65" t="str">
        <f>IF(ISERROR(利润表!AI25/利润表!AI24),"-",利润表!AI25/利润表!AI24)</f>
        <v>-</v>
      </c>
      <c r="L22" s="65" t="str">
        <f>IF(ISERROR(利润表!AJ25/利润表!AJ24),"-",利润表!AJ25/利润表!AJ24)</f>
        <v>-</v>
      </c>
      <c r="M22" s="105"/>
    </row>
    <row r="23" spans="1:13" outlineLevel="1">
      <c r="A23" s="49" t="s">
        <v>350</v>
      </c>
      <c r="B23" s="71" t="str">
        <f>IF(ISERROR(B21*(1-B22)),"-",B21*(1-B22))</f>
        <v>-</v>
      </c>
      <c r="C23" s="74" t="str">
        <f>IF(ISERROR(C21*(1-C22)),"-",C21*(1-C22))</f>
        <v>-</v>
      </c>
      <c r="D23" s="74" t="str">
        <f t="shared" ref="D23:L23" si="1">IF(ISERROR(D21*(1-D22)),"-",D21*(1-D22))</f>
        <v>-</v>
      </c>
      <c r="E23" s="74" t="str">
        <f t="shared" si="1"/>
        <v>-</v>
      </c>
      <c r="F23" s="74" t="str">
        <f t="shared" si="1"/>
        <v>-</v>
      </c>
      <c r="G23" s="74" t="str">
        <f t="shared" si="1"/>
        <v>-</v>
      </c>
      <c r="H23" s="74" t="str">
        <f t="shared" si="1"/>
        <v>-</v>
      </c>
      <c r="I23" s="74" t="str">
        <f t="shared" si="1"/>
        <v>-</v>
      </c>
      <c r="J23" s="74" t="str">
        <f t="shared" si="1"/>
        <v>-</v>
      </c>
      <c r="K23" s="74" t="str">
        <f t="shared" si="1"/>
        <v>-</v>
      </c>
      <c r="L23" s="74" t="str">
        <f t="shared" si="1"/>
        <v>-</v>
      </c>
      <c r="M23" s="105"/>
    </row>
    <row r="24" spans="1:13" outlineLevel="1">
      <c r="B24" s="75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105"/>
    </row>
    <row r="25" spans="1:13" outlineLevel="1">
      <c r="A25" s="49" t="s">
        <v>351</v>
      </c>
      <c r="B25" s="71">
        <f>现金流量表!W6</f>
        <v>0</v>
      </c>
      <c r="C25" s="72">
        <f>现金流量表!AA6</f>
        <v>0</v>
      </c>
      <c r="D25" s="72">
        <f>现金流量表!AB6</f>
        <v>0</v>
      </c>
      <c r="E25" s="72">
        <f>现金流量表!AC6</f>
        <v>0</v>
      </c>
      <c r="F25" s="72">
        <f>现金流量表!AD6</f>
        <v>0</v>
      </c>
      <c r="G25" s="72">
        <f>现金流量表!AE6</f>
        <v>0</v>
      </c>
      <c r="H25" s="72">
        <f>现金流量表!AF6</f>
        <v>0</v>
      </c>
      <c r="I25" s="72">
        <f>现金流量表!AG6</f>
        <v>0</v>
      </c>
      <c r="J25" s="72">
        <f>现金流量表!AH6</f>
        <v>0</v>
      </c>
      <c r="K25" s="72">
        <f>现金流量表!AI6</f>
        <v>0</v>
      </c>
      <c r="L25" s="72">
        <f>现金流量表!AJ6</f>
        <v>0</v>
      </c>
      <c r="M25" s="105"/>
    </row>
    <row r="26" spans="1:13" outlineLevel="1">
      <c r="A26" s="49" t="s">
        <v>352</v>
      </c>
      <c r="B26" s="71">
        <f>资产负债表!W53-资产负债表!S53</f>
        <v>0</v>
      </c>
      <c r="C26" s="72">
        <f>资产负债表!AA53-资产负债表!W53</f>
        <v>0</v>
      </c>
      <c r="D26" s="72">
        <f>资产负债表!AB53-资产负债表!AA53</f>
        <v>0</v>
      </c>
      <c r="E26" s="72">
        <f>资产负债表!AC53-资产负债表!AB53</f>
        <v>0</v>
      </c>
      <c r="F26" s="72">
        <f>资产负债表!AD53-资产负债表!AC53</f>
        <v>0</v>
      </c>
      <c r="G26" s="72">
        <f>资产负债表!AE53-资产负债表!AD53</f>
        <v>0</v>
      </c>
      <c r="H26" s="72">
        <f>资产负债表!AF53-资产负债表!AE53</f>
        <v>0</v>
      </c>
      <c r="I26" s="72">
        <f>资产负债表!AG53-资产负债表!AF53</f>
        <v>0</v>
      </c>
      <c r="J26" s="72">
        <f>资产负债表!AH53-资产负债表!AG53</f>
        <v>0</v>
      </c>
      <c r="K26" s="72">
        <f>资产负债表!AI53-资产负债表!AH53</f>
        <v>0</v>
      </c>
      <c r="L26" s="72">
        <f>资产负债表!AJ53-资产负债表!AI53</f>
        <v>0</v>
      </c>
      <c r="M26" s="105"/>
    </row>
    <row r="27" spans="1:13" outlineLevel="1">
      <c r="A27" s="49" t="s">
        <v>353</v>
      </c>
      <c r="B27" s="71">
        <f>现金流量表!W17</f>
        <v>0</v>
      </c>
      <c r="C27" s="72">
        <f>现金流量表!AA17</f>
        <v>0</v>
      </c>
      <c r="D27" s="72">
        <f>现金流量表!AB17</f>
        <v>0</v>
      </c>
      <c r="E27" s="72">
        <f>现金流量表!AC17</f>
        <v>0</v>
      </c>
      <c r="F27" s="72">
        <f>现金流量表!AD17</f>
        <v>0</v>
      </c>
      <c r="G27" s="72">
        <f>现金流量表!AE17</f>
        <v>0</v>
      </c>
      <c r="H27" s="72">
        <f>现金流量表!AF17</f>
        <v>0</v>
      </c>
      <c r="I27" s="72">
        <f>现金流量表!AG17</f>
        <v>0</v>
      </c>
      <c r="J27" s="72">
        <f>现金流量表!AH17</f>
        <v>0</v>
      </c>
      <c r="K27" s="72">
        <f>现金流量表!AI17</f>
        <v>0</v>
      </c>
      <c r="L27" s="72">
        <f>现金流量表!AJ17</f>
        <v>0</v>
      </c>
      <c r="M27" s="105"/>
    </row>
    <row r="28" spans="1:13" ht="15.75" outlineLevel="1">
      <c r="A28" s="76" t="s">
        <v>354</v>
      </c>
      <c r="B28" s="77" t="str">
        <f>IF(ISERROR(B23+B25-B26+B27),"0.00",B23+B25-B26+B27)</f>
        <v>0.00</v>
      </c>
      <c r="C28" s="78" t="str">
        <f>IF(ISERROR(IF($B2&gt;=C19,C23+C25-C26+C27,"")),"0.00",IF($B2&gt;=C19,C23+C25-C26+C27,""))</f>
        <v>0.00</v>
      </c>
      <c r="D28" s="78" t="str">
        <f>IF(ISERROR(IF($B2&gt;=D19,D23+D25-D26+D27,"")),"0.00",IF($B2&gt;=D19,D23+D25-D26+D27,""))</f>
        <v>0.00</v>
      </c>
      <c r="E28" s="78" t="str">
        <f t="shared" ref="E28:L28" si="2">IF(ISERROR(IF($B2&gt;=E19,E23+E25-E26+E27,"")),"0.00",IF($B2&gt;=E19,E23+E25-E26+E27,""))</f>
        <v>0.00</v>
      </c>
      <c r="F28" s="78" t="str">
        <f t="shared" si="2"/>
        <v/>
      </c>
      <c r="G28" s="78" t="str">
        <f t="shared" si="2"/>
        <v/>
      </c>
      <c r="H28" s="78" t="str">
        <f t="shared" si="2"/>
        <v/>
      </c>
      <c r="I28" s="78" t="str">
        <f t="shared" si="2"/>
        <v/>
      </c>
      <c r="J28" s="78" t="str">
        <f t="shared" si="2"/>
        <v/>
      </c>
      <c r="K28" s="78" t="str">
        <f t="shared" si="2"/>
        <v/>
      </c>
      <c r="L28" s="78" t="str">
        <f t="shared" si="2"/>
        <v/>
      </c>
      <c r="M28" s="105"/>
    </row>
    <row r="29" spans="1:13" ht="15.75" outlineLevel="1">
      <c r="A29" s="79"/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105"/>
    </row>
    <row r="30" spans="1:13" ht="15.75" outlineLevel="1">
      <c r="A30" s="79"/>
      <c r="B30" s="70">
        <f>INDEX(C20:L20,MATCH(B2,C19:L19))+1</f>
        <v>2025</v>
      </c>
      <c r="C30" s="70">
        <f>B30+1</f>
        <v>2026</v>
      </c>
      <c r="D30" s="70">
        <f t="shared" ref="D30:L30" si="3">C30+1</f>
        <v>2027</v>
      </c>
      <c r="E30" s="70">
        <f t="shared" si="3"/>
        <v>2028</v>
      </c>
      <c r="F30" s="70">
        <f t="shared" si="3"/>
        <v>2029</v>
      </c>
      <c r="G30" s="70">
        <f t="shared" si="3"/>
        <v>2030</v>
      </c>
      <c r="H30" s="70">
        <f t="shared" si="3"/>
        <v>2031</v>
      </c>
      <c r="I30" s="70">
        <f t="shared" si="3"/>
        <v>2032</v>
      </c>
      <c r="J30" s="70">
        <f t="shared" si="3"/>
        <v>2033</v>
      </c>
      <c r="K30" s="70">
        <f t="shared" si="3"/>
        <v>2034</v>
      </c>
      <c r="L30" s="70">
        <f t="shared" si="3"/>
        <v>2035</v>
      </c>
      <c r="M30" s="105"/>
    </row>
    <row r="31" spans="1:13" ht="15.75" outlineLevel="1">
      <c r="A31" s="76" t="s">
        <v>355</v>
      </c>
      <c r="B31" s="78">
        <f>IF($B3&gt;0,INDEX(C28:L28,MATCH(B2,C19:L19))*(1+B4),0)</f>
        <v>0</v>
      </c>
      <c r="C31" s="80" t="str">
        <f t="shared" ref="C31:L31" si="4">IF(($B3-C19)&gt;0,B31*(1+$B4),"")</f>
        <v/>
      </c>
      <c r="D31" s="80" t="str">
        <f t="shared" si="4"/>
        <v/>
      </c>
      <c r="E31" s="80" t="str">
        <f t="shared" si="4"/>
        <v/>
      </c>
      <c r="F31" s="80" t="str">
        <f t="shared" si="4"/>
        <v/>
      </c>
      <c r="G31" s="80" t="str">
        <f t="shared" si="4"/>
        <v/>
      </c>
      <c r="H31" s="80" t="str">
        <f t="shared" si="4"/>
        <v/>
      </c>
      <c r="I31" s="80" t="str">
        <f t="shared" si="4"/>
        <v/>
      </c>
      <c r="J31" s="80" t="str">
        <f t="shared" si="4"/>
        <v/>
      </c>
      <c r="K31" s="80" t="str">
        <f t="shared" si="4"/>
        <v/>
      </c>
      <c r="L31" s="80" t="str">
        <f t="shared" si="4"/>
        <v/>
      </c>
      <c r="M31" s="105"/>
    </row>
    <row r="32" spans="1:13" outlineLevel="1">
      <c r="B32" s="74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105"/>
    </row>
    <row r="33" spans="1:12" ht="14.25" customHeight="1" outlineLevel="1">
      <c r="A33" s="49" t="s">
        <v>356</v>
      </c>
      <c r="B33" s="74">
        <f ca="1">IF(ISERROR((NPV(B16,D28:L28)+C28*$B$10/12)/(1+B16)^($B$10/12)),"0.00",(NPV(B16,D28:L28)+C28*$B$10/12)/(1+B16)^($B$10/12))</f>
        <v>0</v>
      </c>
      <c r="D33" s="571" t="s">
        <v>357</v>
      </c>
      <c r="E33" s="81" t="s">
        <v>358</v>
      </c>
      <c r="F33" s="82"/>
      <c r="G33" s="83">
        <v>5.0000000000000001E-3</v>
      </c>
      <c r="H33" s="84"/>
      <c r="I33" s="84"/>
      <c r="J33" s="84"/>
      <c r="K33" s="84"/>
      <c r="L33" s="106"/>
    </row>
    <row r="34" spans="1:12" outlineLevel="1">
      <c r="A34" s="49" t="s">
        <v>359</v>
      </c>
      <c r="B34" s="74">
        <f>IF(ISERROR(IF(B3=0,0,NPV(B16,B31:L31)/(1+B16)^(B2-1+B10/12))),"0.00",IF(B3=0,0,NPV(B16,B31:L31)/(1+B16)^(B2-1+B10/12)))</f>
        <v>0</v>
      </c>
      <c r="C34" s="85"/>
      <c r="D34" s="572"/>
      <c r="E34" s="86" t="s">
        <v>360</v>
      </c>
      <c r="F34" s="87"/>
      <c r="G34" s="88">
        <v>5.0000000000000001E-3</v>
      </c>
      <c r="H34" s="85"/>
      <c r="I34" s="85"/>
      <c r="J34" s="85"/>
      <c r="K34" s="85"/>
      <c r="L34" s="107"/>
    </row>
    <row r="35" spans="1:12" outlineLevel="1">
      <c r="A35" s="49" t="s">
        <v>361</v>
      </c>
      <c r="B35" s="74" t="str">
        <f ca="1">IF(ISERROR(INDEX(C28:L28,MATCH(B2,C19:L19))*(1+B4)^B3*(1+B5)/(B16-B5)/(POWER((1+B16),B2+B3-1+B10/12))),"—",INDEX(C28:L28,MATCH(B2,C19:L19))*(1+B4)^B3*(1+B5)/(B16-B5)/(POWER((1+B16),B2+B3-1+B10/12)))</f>
        <v>—</v>
      </c>
      <c r="D35" s="572"/>
      <c r="E35" s="89" t="str">
        <f ca="1">B42</f>
        <v>—</v>
      </c>
      <c r="F35" s="90">
        <f>IF(ISERROR(G35-$G$33),"—",G35-$G$33)</f>
        <v>-1.4999999999999999E-2</v>
      </c>
      <c r="G35" s="90">
        <f>IF(ISERROR(H35-$G$33),"—",H35-$G$33)</f>
        <v>-0.01</v>
      </c>
      <c r="H35" s="90">
        <f>IF(ISERROR(I35-$G$33),"—",I35-$G$33)</f>
        <v>-5.0000000000000001E-3</v>
      </c>
      <c r="I35" s="108">
        <f>B16</f>
        <v>0</v>
      </c>
      <c r="J35" s="90">
        <f>IF(ISERROR(I35+$G$33),"—",I35+$G$33)</f>
        <v>5.0000000000000001E-3</v>
      </c>
      <c r="K35" s="90">
        <f>IF(ISERROR(J35+$G$33),"—",J35+$G$33)</f>
        <v>0.01</v>
      </c>
      <c r="L35" s="109">
        <f>IF(ISERROR(K35+$G$33),"—",K35+$G$33)</f>
        <v>1.4999999999999999E-2</v>
      </c>
    </row>
    <row r="36" spans="1:12" ht="15.75" outlineLevel="1">
      <c r="A36" s="76" t="s">
        <v>132</v>
      </c>
      <c r="B36" s="91">
        <f ca="1">SUM(B33:B35)</f>
        <v>0</v>
      </c>
      <c r="D36" s="572"/>
      <c r="E36" s="92">
        <f>E37-$G$34</f>
        <v>-1.4999999999999999E-2</v>
      </c>
      <c r="F36" s="93" t="e">
        <f ca="1">((NPV(F$35,$D$28:$L$28)+$C$28*$B$10/12)/(1+F$35)^($B$10/12)+NPV(F$35,$B$31:$L$31)/(1+F$35)^($B$2-1+$B$10/12)+INDEX($C$28:$L$28,MATCH($B$2,$C$19:$L$19))*(1+$B$4)^$B$3*(1+$E36)/(F$35-$E36)/(POWER((1+F$35),$B$2+$B$3-1+$B$10/12))+$B$37-$B$38-$B$39)/$B$41</f>
        <v>#DIV/0!</v>
      </c>
      <c r="G36" s="93" t="e">
        <f t="shared" ref="G36:L42" ca="1" si="5">((NPV(G$35,$D$28:$L$28)+$C$28*$B$10/12)/(1+G$35)^($B$10/12)+NPV(G$35,$B$31:$L$31)/(1+G$35)^($B$2-1+$B$10/12)+INDEX($C$28:$L$28,MATCH($B$2,$C$19:$L$19))*(1+$B$4)^$B$3*(1+$E36)/(G$35-$E36)/(POWER((1+G$35),$B$2+$B$3-1+$B$10/12))+$B$37-$B$38-$B$39)/$B$41</f>
        <v>#VALUE!</v>
      </c>
      <c r="H36" s="93" t="e">
        <f t="shared" ca="1" si="5"/>
        <v>#VALUE!</v>
      </c>
      <c r="I36" s="93" t="e">
        <f t="shared" ca="1" si="5"/>
        <v>#VALUE!</v>
      </c>
      <c r="J36" s="93" t="e">
        <f t="shared" ca="1" si="5"/>
        <v>#VALUE!</v>
      </c>
      <c r="K36" s="93" t="e">
        <f t="shared" ca="1" si="5"/>
        <v>#VALUE!</v>
      </c>
      <c r="L36" s="110" t="e">
        <f t="shared" ca="1" si="5"/>
        <v>#VALUE!</v>
      </c>
    </row>
    <row r="37" spans="1:12" outlineLevel="1">
      <c r="A37" s="49" t="s">
        <v>362</v>
      </c>
      <c r="B37" s="75">
        <f>IF(财务基础数据!$W$2=0,资产负债表!W57,IF(财务基础数据!$W$2=1,资产负债表!X57,IF(财务基础数据!$W$2=2,资产负债表!Y57,资产负债表!Z57)))</f>
        <v>0</v>
      </c>
      <c r="D37" s="572"/>
      <c r="E37" s="92">
        <f>E38-$G$34</f>
        <v>-0.01</v>
      </c>
      <c r="F37" s="93" t="e">
        <f t="shared" ref="F37:F42" ca="1" si="6">((NPV(F$35,$D$28:$L$28)+$C$28*$B$10/12)/(1+F$35)^($B$10/12)+NPV(F$35,$B$31:$L$31)/(1+F$35)^($B$2-1+$B$10/12)+INDEX($C$28:$L$28,MATCH($B$2,$C$19:$L$19))*(1+$B$4)^$B$3*(1+$E37)/(F$35-$E37)/(POWER((1+F$35),$B$2+$B$3-1+$B$10/12))+$B$37-$B$38-$B$39)/$B$41</f>
        <v>#VALUE!</v>
      </c>
      <c r="G37" s="93" t="e">
        <f t="shared" ca="1" si="5"/>
        <v>#DIV/0!</v>
      </c>
      <c r="H37" s="93" t="e">
        <f t="shared" ca="1" si="5"/>
        <v>#VALUE!</v>
      </c>
      <c r="I37" s="93" t="e">
        <f t="shared" ca="1" si="5"/>
        <v>#VALUE!</v>
      </c>
      <c r="J37" s="93" t="e">
        <f t="shared" ca="1" si="5"/>
        <v>#VALUE!</v>
      </c>
      <c r="K37" s="93" t="e">
        <f t="shared" ca="1" si="5"/>
        <v>#VALUE!</v>
      </c>
      <c r="L37" s="110" t="e">
        <f t="shared" ca="1" si="5"/>
        <v>#VALUE!</v>
      </c>
    </row>
    <row r="38" spans="1:12" outlineLevel="1">
      <c r="A38" s="49" t="s">
        <v>363</v>
      </c>
      <c r="B38" s="75">
        <f>IF(财务基础数据!$W$2=0,资产负债表!W55,IF(财务基础数据!$W$2=1,资产负债表!X55,IF(财务基础数据!$W$2=2,资产负债表!Y55,资产负债表!Z55)))</f>
        <v>0</v>
      </c>
      <c r="D38" s="572"/>
      <c r="E38" s="92">
        <f>E39-$G$34</f>
        <v>-5.0000000000000001E-3</v>
      </c>
      <c r="F38" s="93" t="e">
        <f t="shared" ca="1" si="6"/>
        <v>#VALUE!</v>
      </c>
      <c r="G38" s="93" t="e">
        <f t="shared" ca="1" si="5"/>
        <v>#VALUE!</v>
      </c>
      <c r="H38" s="93" t="e">
        <f t="shared" ca="1" si="5"/>
        <v>#DIV/0!</v>
      </c>
      <c r="I38" s="93" t="e">
        <f t="shared" ca="1" si="5"/>
        <v>#VALUE!</v>
      </c>
      <c r="J38" s="93" t="e">
        <f t="shared" ca="1" si="5"/>
        <v>#VALUE!</v>
      </c>
      <c r="K38" s="93" t="e">
        <f t="shared" ca="1" si="5"/>
        <v>#VALUE!</v>
      </c>
      <c r="L38" s="110" t="e">
        <f t="shared" ca="1" si="5"/>
        <v>#VALUE!</v>
      </c>
    </row>
    <row r="39" spans="1:12" outlineLevel="1">
      <c r="A39" s="49" t="s">
        <v>364</v>
      </c>
      <c r="B39" s="75">
        <f>IF(财务基础数据!$W$2=0,资产负债表!W46,IF(财务基础数据!$W$2=1,资产负债表!X46,IF(财务基础数据!$W$2=2,资产负债表!Y46,资产负债表!Z46)))</f>
        <v>0</v>
      </c>
      <c r="D39" s="572"/>
      <c r="E39" s="94">
        <f>B5</f>
        <v>0</v>
      </c>
      <c r="F39" s="93" t="e">
        <f t="shared" ca="1" si="6"/>
        <v>#VALUE!</v>
      </c>
      <c r="G39" s="93" t="e">
        <f t="shared" ca="1" si="5"/>
        <v>#VALUE!</v>
      </c>
      <c r="H39" s="93" t="e">
        <f t="shared" ca="1" si="5"/>
        <v>#VALUE!</v>
      </c>
      <c r="I39" s="111" t="e">
        <f t="shared" ca="1" si="5"/>
        <v>#DIV/0!</v>
      </c>
      <c r="J39" s="93" t="e">
        <f t="shared" ca="1" si="5"/>
        <v>#VALUE!</v>
      </c>
      <c r="K39" s="93" t="e">
        <f t="shared" ca="1" si="5"/>
        <v>#VALUE!</v>
      </c>
      <c r="L39" s="110" t="e">
        <f t="shared" ca="1" si="5"/>
        <v>#VALUE!</v>
      </c>
    </row>
    <row r="40" spans="1:12" ht="15.75" outlineLevel="1">
      <c r="A40" s="76" t="s">
        <v>133</v>
      </c>
      <c r="B40" s="91">
        <f ca="1">B36+B37-B38-B39</f>
        <v>0</v>
      </c>
      <c r="D40" s="572"/>
      <c r="E40" s="92">
        <f>E39+$G$34</f>
        <v>5.0000000000000001E-3</v>
      </c>
      <c r="F40" s="93" t="e">
        <f t="shared" ca="1" si="6"/>
        <v>#VALUE!</v>
      </c>
      <c r="G40" s="93" t="e">
        <f t="shared" ca="1" si="5"/>
        <v>#VALUE!</v>
      </c>
      <c r="H40" s="93" t="e">
        <f t="shared" ca="1" si="5"/>
        <v>#VALUE!</v>
      </c>
      <c r="I40" s="93" t="e">
        <f t="shared" ca="1" si="5"/>
        <v>#VALUE!</v>
      </c>
      <c r="J40" s="93" t="e">
        <f t="shared" ca="1" si="5"/>
        <v>#DIV/0!</v>
      </c>
      <c r="K40" s="93" t="e">
        <f t="shared" ca="1" si="5"/>
        <v>#VALUE!</v>
      </c>
      <c r="L40" s="110" t="e">
        <f t="shared" ca="1" si="5"/>
        <v>#VALUE!</v>
      </c>
    </row>
    <row r="41" spans="1:12" outlineLevel="1">
      <c r="A41" s="49" t="s">
        <v>365</v>
      </c>
      <c r="B41" s="95" t="str">
        <f>IF(ISERROR(目录!F7*1000000*目录!D6),"—",目录!F7*1000000*目录!D6)</f>
        <v>—</v>
      </c>
      <c r="D41" s="572"/>
      <c r="E41" s="92">
        <f>E40+$G$34</f>
        <v>0.01</v>
      </c>
      <c r="F41" s="93" t="e">
        <f t="shared" ca="1" si="6"/>
        <v>#VALUE!</v>
      </c>
      <c r="G41" s="93" t="e">
        <f t="shared" ca="1" si="5"/>
        <v>#VALUE!</v>
      </c>
      <c r="H41" s="93" t="e">
        <f t="shared" ca="1" si="5"/>
        <v>#VALUE!</v>
      </c>
      <c r="I41" s="93" t="e">
        <f t="shared" ca="1" si="5"/>
        <v>#VALUE!</v>
      </c>
      <c r="J41" s="93" t="e">
        <f t="shared" ca="1" si="5"/>
        <v>#VALUE!</v>
      </c>
      <c r="K41" s="93" t="e">
        <f t="shared" ca="1" si="5"/>
        <v>#DIV/0!</v>
      </c>
      <c r="L41" s="110" t="e">
        <f t="shared" ca="1" si="5"/>
        <v>#VALUE!</v>
      </c>
    </row>
    <row r="42" spans="1:12" ht="16.5" outlineLevel="1" thickBot="1">
      <c r="A42" s="96" t="str">
        <f>"每股价值("&amp;目录!F8&amp;")"</f>
        <v>每股价值(XXXX)</v>
      </c>
      <c r="B42" s="97" t="str">
        <f ca="1">IF(ISERROR(B40/B41),"—",B40/B41)</f>
        <v>—</v>
      </c>
      <c r="D42" s="573"/>
      <c r="E42" s="98">
        <f>E41+$G$34</f>
        <v>1.4999999999999999E-2</v>
      </c>
      <c r="F42" s="99" t="e">
        <f t="shared" ca="1" si="6"/>
        <v>#VALUE!</v>
      </c>
      <c r="G42" s="99" t="e">
        <f t="shared" ca="1" si="5"/>
        <v>#VALUE!</v>
      </c>
      <c r="H42" s="99" t="e">
        <f t="shared" ca="1" si="5"/>
        <v>#VALUE!</v>
      </c>
      <c r="I42" s="99" t="e">
        <f t="shared" ca="1" si="5"/>
        <v>#VALUE!</v>
      </c>
      <c r="J42" s="99" t="e">
        <f t="shared" ca="1" si="5"/>
        <v>#VALUE!</v>
      </c>
      <c r="K42" s="99" t="e">
        <f t="shared" ca="1" si="5"/>
        <v>#VALUE!</v>
      </c>
      <c r="L42" s="112" t="e">
        <f t="shared" ca="1" si="5"/>
        <v>#DIV/0!</v>
      </c>
    </row>
    <row r="43" spans="1:12" outlineLevel="1"/>
    <row r="44" spans="1:12" outlineLevel="1">
      <c r="B44" s="100"/>
      <c r="C44" s="101" t="str">
        <f t="shared" ref="C44:L44" si="7">C20</f>
        <v>2022E</v>
      </c>
      <c r="D44" s="101">
        <f t="shared" si="7"/>
        <v>2023</v>
      </c>
      <c r="E44" s="101">
        <f t="shared" si="7"/>
        <v>2024</v>
      </c>
      <c r="F44" s="101">
        <f t="shared" si="7"/>
        <v>2025</v>
      </c>
      <c r="G44" s="101">
        <f t="shared" si="7"/>
        <v>2026</v>
      </c>
      <c r="H44" s="101">
        <f t="shared" si="7"/>
        <v>2027</v>
      </c>
      <c r="I44" s="101">
        <f t="shared" si="7"/>
        <v>2028</v>
      </c>
      <c r="J44" s="101">
        <f t="shared" si="7"/>
        <v>2029</v>
      </c>
      <c r="K44" s="101">
        <f t="shared" si="7"/>
        <v>2030</v>
      </c>
      <c r="L44" s="101">
        <f t="shared" si="7"/>
        <v>2031</v>
      </c>
    </row>
    <row r="45" spans="1:12" outlineLevel="1">
      <c r="B45" s="61" t="s">
        <v>47</v>
      </c>
      <c r="C45" s="102" t="str">
        <f ca="1">IF(ISERROR($B$40/利润表!AA29),"—",$B$40/利润表!AA29)</f>
        <v>—</v>
      </c>
      <c r="D45" s="102" t="str">
        <f ca="1">IF(ISERROR($B$40/利润表!AB29),"—",$B$40/利润表!AB29)</f>
        <v>—</v>
      </c>
      <c r="E45" s="102" t="str">
        <f ca="1">IF(ISERROR($B$40/利润表!AC29),"—",$B$40/利润表!AC29)</f>
        <v>—</v>
      </c>
      <c r="F45" s="102" t="str">
        <f ca="1">IF(ISERROR($B$40/利润表!AD29),"—",$B$40/利润表!AD29)</f>
        <v>—</v>
      </c>
      <c r="G45" s="102" t="str">
        <f ca="1">IF(ISERROR($B$40/利润表!AE29),"—",$B$40/利润表!AE29)</f>
        <v>—</v>
      </c>
      <c r="H45" s="102" t="str">
        <f ca="1">IF(ISERROR($B$40/利润表!AF29),"—",$B$40/利润表!AF29)</f>
        <v>—</v>
      </c>
      <c r="I45" s="102" t="str">
        <f ca="1">IF(ISERROR($B$40/利润表!AG29),"—",$B$40/利润表!AG29)</f>
        <v>—</v>
      </c>
      <c r="J45" s="102" t="str">
        <f ca="1">IF(ISERROR($B$40/利润表!AH29),"—",$B$40/利润表!AH29)</f>
        <v>—</v>
      </c>
      <c r="K45" s="102" t="str">
        <f ca="1">IF(ISERROR($B$40/利润表!AI29),"—",$B$40/利润表!AI29)</f>
        <v>—</v>
      </c>
      <c r="L45" s="102" t="str">
        <f ca="1">IF(ISERROR($B$40/利润表!AJ29),"—",$B$40/利润表!AJ29)</f>
        <v>—</v>
      </c>
    </row>
    <row r="46" spans="1:12" outlineLevel="1">
      <c r="B46" s="61" t="s">
        <v>48</v>
      </c>
      <c r="C46" s="102" t="str">
        <f ca="1">IF(ISERROR($B$40/资产负债表!AA45),"—",$B$40/资产负债表!AA45)</f>
        <v>—</v>
      </c>
      <c r="D46" s="102" t="str">
        <f ca="1">IF(ISERROR($B$40/资产负债表!AB45),"—",$B$40/资产负债表!AB45)</f>
        <v>—</v>
      </c>
      <c r="E46" s="102" t="str">
        <f ca="1">IF(ISERROR($B$40/资产负债表!AC45),"—",$B$40/资产负债表!AC45)</f>
        <v>—</v>
      </c>
      <c r="F46" s="102" t="str">
        <f ca="1">IF(ISERROR($B$40/资产负债表!AD45),"—",$B$40/资产负债表!AD45)</f>
        <v>—</v>
      </c>
      <c r="G46" s="102" t="str">
        <f ca="1">IF(ISERROR($B$40/资产负债表!AE45),"—",$B$40/资产负债表!AE45)</f>
        <v>—</v>
      </c>
      <c r="H46" s="102" t="str">
        <f ca="1">IF(ISERROR($B$40/资产负债表!AF45),"—",$B$40/资产负债表!AF45)</f>
        <v>—</v>
      </c>
      <c r="I46" s="102" t="str">
        <f ca="1">IF(ISERROR($B$40/资产负债表!AG45),"—",$B$40/资产负债表!AG45)</f>
        <v>—</v>
      </c>
      <c r="J46" s="102" t="str">
        <f ca="1">IF(ISERROR($B$40/资产负债表!AH45),"—",$B$40/资产负债表!AH45)</f>
        <v>—</v>
      </c>
      <c r="K46" s="102" t="str">
        <f ca="1">IF(ISERROR($B$40/资产负债表!AI45),"—",$B$40/资产负债表!AI45)</f>
        <v>—</v>
      </c>
      <c r="L46" s="102" t="str">
        <f ca="1">IF(ISERROR($B$40/资产负债表!AJ45),"—",$B$40/资产负债表!AJ45)</f>
        <v>—</v>
      </c>
    </row>
    <row r="47" spans="1:12" outlineLevel="1">
      <c r="B47" s="61" t="s">
        <v>50</v>
      </c>
      <c r="C47" s="102" t="str">
        <f ca="1">IF(ISERROR($B$40/利润表!AA6),"—",$B$40/利润表!AA6)</f>
        <v>—</v>
      </c>
      <c r="D47" s="102" t="str">
        <f ca="1">IF(ISERROR($B$40/利润表!AB6),"—",$B$40/利润表!AB6)</f>
        <v>—</v>
      </c>
      <c r="E47" s="102" t="str">
        <f ca="1">IF(ISERROR($B$40/利润表!AC6),"—",$B$40/利润表!AC6)</f>
        <v>—</v>
      </c>
      <c r="F47" s="102" t="str">
        <f ca="1">IF(ISERROR($B$40/利润表!AD6),"—",$B$40/利润表!AD6)</f>
        <v>—</v>
      </c>
      <c r="G47" s="102" t="str">
        <f ca="1">IF(ISERROR($B$40/利润表!AE6),"—",$B$40/利润表!AE6)</f>
        <v>—</v>
      </c>
      <c r="H47" s="102" t="str">
        <f ca="1">IF(ISERROR($B$40/利润表!AF6),"—",$B$40/利润表!AF6)</f>
        <v>—</v>
      </c>
      <c r="I47" s="102" t="str">
        <f ca="1">IF(ISERROR($B$40/利润表!AG6),"—",$B$40/利润表!AG6)</f>
        <v>—</v>
      </c>
      <c r="J47" s="102" t="str">
        <f ca="1">IF(ISERROR($B$40/利润表!AH6),"—",$B$40/利润表!AH6)</f>
        <v>—</v>
      </c>
      <c r="K47" s="102" t="str">
        <f ca="1">IF(ISERROR($B$40/利润表!AI6),"—",$B$40/利润表!AI6)</f>
        <v>—</v>
      </c>
      <c r="L47" s="102" t="str">
        <f ca="1">IF(ISERROR($B$40/利润表!AJ6),"—",$B$40/利润表!AJ6)</f>
        <v>—</v>
      </c>
    </row>
    <row r="49" spans="1:12" ht="27" customHeight="1">
      <c r="A49" s="67" t="s">
        <v>366</v>
      </c>
      <c r="B49" s="3" t="str">
        <f ca="1">B69</f>
        <v>—</v>
      </c>
      <c r="C49" s="103">
        <v>1</v>
      </c>
      <c r="D49" s="103">
        <v>2</v>
      </c>
      <c r="E49" s="103">
        <v>3</v>
      </c>
      <c r="F49" s="103">
        <v>4</v>
      </c>
      <c r="G49" s="103">
        <v>5</v>
      </c>
      <c r="H49" s="103">
        <v>6</v>
      </c>
      <c r="I49" s="103">
        <v>7</v>
      </c>
      <c r="J49" s="103">
        <v>8</v>
      </c>
      <c r="K49" s="103">
        <v>9</v>
      </c>
      <c r="L49" s="103">
        <v>10</v>
      </c>
    </row>
    <row r="50" spans="1:12" outlineLevel="1">
      <c r="B50" s="69">
        <f t="shared" ref="B50:L50" si="8">B20</f>
        <v>2021</v>
      </c>
      <c r="C50" s="69" t="str">
        <f t="shared" si="8"/>
        <v>2022E</v>
      </c>
      <c r="D50" s="70">
        <f t="shared" si="8"/>
        <v>2023</v>
      </c>
      <c r="E50" s="70">
        <f t="shared" si="8"/>
        <v>2024</v>
      </c>
      <c r="F50" s="70">
        <f t="shared" si="8"/>
        <v>2025</v>
      </c>
      <c r="G50" s="70">
        <f t="shared" si="8"/>
        <v>2026</v>
      </c>
      <c r="H50" s="70">
        <f t="shared" si="8"/>
        <v>2027</v>
      </c>
      <c r="I50" s="70">
        <f t="shared" si="8"/>
        <v>2028</v>
      </c>
      <c r="J50" s="70">
        <f t="shared" si="8"/>
        <v>2029</v>
      </c>
      <c r="K50" s="70">
        <f t="shared" si="8"/>
        <v>2030</v>
      </c>
      <c r="L50" s="70">
        <f t="shared" si="8"/>
        <v>2031</v>
      </c>
    </row>
    <row r="51" spans="1:12" outlineLevel="1">
      <c r="A51" s="19" t="s">
        <v>73</v>
      </c>
      <c r="B51" s="74">
        <f>利润表!W29</f>
        <v>0</v>
      </c>
      <c r="C51" s="72">
        <f>利润表!AA29</f>
        <v>0</v>
      </c>
      <c r="D51" s="72">
        <f>利润表!AB29</f>
        <v>0</v>
      </c>
      <c r="E51" s="72">
        <f>利润表!AC29</f>
        <v>0</v>
      </c>
      <c r="F51" s="72">
        <f>利润表!AD29</f>
        <v>0</v>
      </c>
      <c r="G51" s="72">
        <f>利润表!AE29</f>
        <v>0</v>
      </c>
      <c r="H51" s="72">
        <f>利润表!AF29</f>
        <v>0</v>
      </c>
      <c r="I51" s="72">
        <f>利润表!AG29</f>
        <v>0</v>
      </c>
      <c r="J51" s="72">
        <f>利润表!AH29</f>
        <v>0</v>
      </c>
      <c r="K51" s="72">
        <f>利润表!AI29</f>
        <v>0</v>
      </c>
      <c r="L51" s="72">
        <f>利润表!AJ29</f>
        <v>0</v>
      </c>
    </row>
    <row r="52" spans="1:12" outlineLevel="1">
      <c r="A52" s="19" t="s">
        <v>351</v>
      </c>
      <c r="B52" s="74">
        <f>现金流量表!W6</f>
        <v>0</v>
      </c>
      <c r="C52" s="72">
        <f>现金流量表!AA6</f>
        <v>0</v>
      </c>
      <c r="D52" s="72">
        <f>现金流量表!AB6</f>
        <v>0</v>
      </c>
      <c r="E52" s="72">
        <f>现金流量表!AC6</f>
        <v>0</v>
      </c>
      <c r="F52" s="72">
        <f>现金流量表!AD6</f>
        <v>0</v>
      </c>
      <c r="G52" s="72">
        <f>现金流量表!AE6</f>
        <v>0</v>
      </c>
      <c r="H52" s="72">
        <f>现金流量表!AF6</f>
        <v>0</v>
      </c>
      <c r="I52" s="72">
        <f>现金流量表!AG6</f>
        <v>0</v>
      </c>
      <c r="J52" s="72">
        <f>现金流量表!AH6</f>
        <v>0</v>
      </c>
      <c r="K52" s="72">
        <f>现金流量表!AI6</f>
        <v>0</v>
      </c>
      <c r="L52" s="72">
        <f>现金流量表!AJ6</f>
        <v>0</v>
      </c>
    </row>
    <row r="53" spans="1:12" outlineLevel="1">
      <c r="A53" s="19" t="s">
        <v>352</v>
      </c>
      <c r="B53" s="74">
        <f>资产负债表!W53-资产负债表!S53</f>
        <v>0</v>
      </c>
      <c r="C53" s="72">
        <f>资产负债表!AA53-资产负债表!W53</f>
        <v>0</v>
      </c>
      <c r="D53" s="72">
        <f>资产负债表!AB53-资产负债表!AA53</f>
        <v>0</v>
      </c>
      <c r="E53" s="72">
        <f>资产负债表!AC53-资产负债表!AB53</f>
        <v>0</v>
      </c>
      <c r="F53" s="72">
        <f>资产负债表!AD53-资产负债表!AC53</f>
        <v>0</v>
      </c>
      <c r="G53" s="72">
        <f>资产负债表!AE53-资产负债表!AD53</f>
        <v>0</v>
      </c>
      <c r="H53" s="72">
        <f>资产负债表!AF53-资产负债表!AE53</f>
        <v>0</v>
      </c>
      <c r="I53" s="72">
        <f>资产负债表!AG53-资产负债表!AF53</f>
        <v>0</v>
      </c>
      <c r="J53" s="72">
        <f>资产负债表!AH53-资产负债表!AG53</f>
        <v>0</v>
      </c>
      <c r="K53" s="72">
        <f>资产负债表!AI53-资产负债表!AH53</f>
        <v>0</v>
      </c>
      <c r="L53" s="72">
        <f>资产负债表!AJ53-资产负债表!AI53</f>
        <v>0</v>
      </c>
    </row>
    <row r="54" spans="1:12" outlineLevel="1">
      <c r="A54" s="19" t="s">
        <v>353</v>
      </c>
      <c r="B54" s="74">
        <f>现金流量表!W17</f>
        <v>0</v>
      </c>
      <c r="C54" s="72">
        <f>现金流量表!AA17</f>
        <v>0</v>
      </c>
      <c r="D54" s="72">
        <f>现金流量表!AB17</f>
        <v>0</v>
      </c>
      <c r="E54" s="72">
        <f>现金流量表!AC17</f>
        <v>0</v>
      </c>
      <c r="F54" s="72">
        <f>现金流量表!AD17</f>
        <v>0</v>
      </c>
      <c r="G54" s="72">
        <f>现金流量表!AE17</f>
        <v>0</v>
      </c>
      <c r="H54" s="72">
        <f>现金流量表!AF17</f>
        <v>0</v>
      </c>
      <c r="I54" s="72">
        <f>现金流量表!AG17</f>
        <v>0</v>
      </c>
      <c r="J54" s="72">
        <f>现金流量表!AH17</f>
        <v>0</v>
      </c>
      <c r="K54" s="72">
        <f>现金流量表!AI17</f>
        <v>0</v>
      </c>
      <c r="L54" s="72">
        <f>现金流量表!AJ17</f>
        <v>0</v>
      </c>
    </row>
    <row r="55" spans="1:12" outlineLevel="1">
      <c r="A55" s="19" t="s">
        <v>367</v>
      </c>
      <c r="B55" s="74">
        <f>资产预测!F115+资产预测!F123</f>
        <v>0</v>
      </c>
      <c r="C55" s="72">
        <f>资产预测!J115+资产预测!J116+资产预测!J123</f>
        <v>0</v>
      </c>
      <c r="D55" s="72">
        <f>资产预测!K115+资产预测!K116+资产预测!K123</f>
        <v>0</v>
      </c>
      <c r="E55" s="72">
        <f>资产预测!L115+资产预测!L116+资产预测!L123</f>
        <v>0</v>
      </c>
      <c r="F55" s="72">
        <f>资产预测!M115+资产预测!M116+资产预测!M123</f>
        <v>0</v>
      </c>
      <c r="G55" s="72">
        <f>资产预测!N115+资产预测!N116+资产预测!N123</f>
        <v>0</v>
      </c>
      <c r="H55" s="72">
        <f>资产预测!O115+资产预测!O116+资产预测!O123</f>
        <v>0</v>
      </c>
      <c r="I55" s="72">
        <f>资产预测!P115+资产预测!P116+资产预测!P123</f>
        <v>0</v>
      </c>
      <c r="J55" s="72">
        <f>资产预测!Q115+资产预测!Q116+资产预测!Q123</f>
        <v>0</v>
      </c>
      <c r="K55" s="72">
        <f>资产预测!R115+资产预测!R116+资产预测!R123</f>
        <v>0</v>
      </c>
      <c r="L55" s="72">
        <f>资产预测!S115+资产预测!S116+资产预测!S123</f>
        <v>0</v>
      </c>
    </row>
    <row r="56" spans="1:12" outlineLevel="1">
      <c r="A56" s="19" t="s">
        <v>368</v>
      </c>
      <c r="B56" s="74">
        <f>现金流量表!W15</f>
        <v>0</v>
      </c>
      <c r="C56" s="72">
        <f>现金流量表!AA15</f>
        <v>0</v>
      </c>
      <c r="D56" s="72">
        <f>现金流量表!AB15</f>
        <v>0</v>
      </c>
      <c r="E56" s="72">
        <f>现金流量表!AC15</f>
        <v>0</v>
      </c>
      <c r="F56" s="72">
        <f>现金流量表!AD15</f>
        <v>0</v>
      </c>
      <c r="G56" s="72">
        <f>现金流量表!AE15</f>
        <v>0</v>
      </c>
      <c r="H56" s="72">
        <f>现金流量表!AF15</f>
        <v>0</v>
      </c>
      <c r="I56" s="72">
        <f>现金流量表!AG15</f>
        <v>0</v>
      </c>
      <c r="J56" s="72">
        <f>现金流量表!AH15</f>
        <v>0</v>
      </c>
      <c r="K56" s="72">
        <f>现金流量表!AI15</f>
        <v>0</v>
      </c>
      <c r="L56" s="72">
        <f>现金流量表!AJ15</f>
        <v>0</v>
      </c>
    </row>
    <row r="57" spans="1:12" ht="15.75" outlineLevel="1">
      <c r="A57" s="79" t="s">
        <v>369</v>
      </c>
      <c r="B57" s="78">
        <f>B51+B52-B53+B54+B55+B56</f>
        <v>0</v>
      </c>
      <c r="C57" s="78">
        <f t="shared" ref="C57:L57" si="9">IF(ISERROR(IF($B2&gt;=C49,C51+C52-C53+C54+C55+C56,"")),"0.00",IF($B2&gt;=C49,C51+C52-C53+C54+C55+C56,""))</f>
        <v>0</v>
      </c>
      <c r="D57" s="78">
        <f t="shared" si="9"/>
        <v>0</v>
      </c>
      <c r="E57" s="78">
        <f t="shared" si="9"/>
        <v>0</v>
      </c>
      <c r="F57" s="78" t="str">
        <f t="shared" si="9"/>
        <v/>
      </c>
      <c r="G57" s="78" t="str">
        <f t="shared" si="9"/>
        <v/>
      </c>
      <c r="H57" s="78" t="str">
        <f t="shared" si="9"/>
        <v/>
      </c>
      <c r="I57" s="78" t="str">
        <f t="shared" si="9"/>
        <v/>
      </c>
      <c r="J57" s="78" t="str">
        <f t="shared" si="9"/>
        <v/>
      </c>
      <c r="K57" s="78" t="str">
        <f t="shared" si="9"/>
        <v/>
      </c>
      <c r="L57" s="78" t="str">
        <f t="shared" si="9"/>
        <v/>
      </c>
    </row>
    <row r="58" spans="1:12" outlineLevel="1">
      <c r="B58" s="74"/>
      <c r="C58" s="72"/>
      <c r="D58" s="72"/>
      <c r="E58" s="72"/>
      <c r="F58" s="72"/>
      <c r="G58" s="72"/>
      <c r="H58" s="72"/>
      <c r="I58" s="72"/>
      <c r="J58" s="72"/>
      <c r="K58" s="72"/>
      <c r="L58" s="72"/>
    </row>
    <row r="59" spans="1:12" outlineLevel="1">
      <c r="B59" s="70">
        <f>INDEX(C50:L50,MATCH(B2,C49:K49))+1</f>
        <v>2025</v>
      </c>
      <c r="C59" s="70">
        <f t="shared" ref="C59:L59" si="10">B59+1</f>
        <v>2026</v>
      </c>
      <c r="D59" s="70">
        <f t="shared" si="10"/>
        <v>2027</v>
      </c>
      <c r="E59" s="70">
        <f t="shared" si="10"/>
        <v>2028</v>
      </c>
      <c r="F59" s="70">
        <f t="shared" si="10"/>
        <v>2029</v>
      </c>
      <c r="G59" s="70">
        <f t="shared" si="10"/>
        <v>2030</v>
      </c>
      <c r="H59" s="70">
        <f t="shared" si="10"/>
        <v>2031</v>
      </c>
      <c r="I59" s="70">
        <f t="shared" si="10"/>
        <v>2032</v>
      </c>
      <c r="J59" s="70">
        <f t="shared" si="10"/>
        <v>2033</v>
      </c>
      <c r="K59" s="70">
        <f t="shared" si="10"/>
        <v>2034</v>
      </c>
      <c r="L59" s="70">
        <f t="shared" si="10"/>
        <v>2035</v>
      </c>
    </row>
    <row r="60" spans="1:12" ht="15.75" outlineLevel="1">
      <c r="A60" s="76" t="s">
        <v>355</v>
      </c>
      <c r="B60" s="78">
        <f>IF($B3&gt;0,INDEX(C57:L57,MATCH(B2,C49:L49))*(1+B4),0)</f>
        <v>0</v>
      </c>
      <c r="C60" s="78" t="str">
        <f t="shared" ref="C60:L60" si="11">IF(($B3-C49)&gt;0,B60*(1+$B4),"")</f>
        <v/>
      </c>
      <c r="D60" s="78" t="str">
        <f t="shared" si="11"/>
        <v/>
      </c>
      <c r="E60" s="78" t="str">
        <f t="shared" si="11"/>
        <v/>
      </c>
      <c r="F60" s="78" t="str">
        <f t="shared" si="11"/>
        <v/>
      </c>
      <c r="G60" s="78" t="str">
        <f t="shared" si="11"/>
        <v/>
      </c>
      <c r="H60" s="78" t="str">
        <f t="shared" si="11"/>
        <v/>
      </c>
      <c r="I60" s="78" t="str">
        <f t="shared" si="11"/>
        <v/>
      </c>
      <c r="J60" s="78" t="str">
        <f t="shared" si="11"/>
        <v/>
      </c>
      <c r="K60" s="78" t="str">
        <f t="shared" si="11"/>
        <v/>
      </c>
      <c r="L60" s="78" t="str">
        <f t="shared" si="11"/>
        <v/>
      </c>
    </row>
    <row r="61" spans="1:12" outlineLevel="1"/>
    <row r="62" spans="1:12" ht="14.25" customHeight="1" outlineLevel="1">
      <c r="D62" s="571" t="s">
        <v>357</v>
      </c>
      <c r="E62" s="81" t="s">
        <v>358</v>
      </c>
      <c r="F62" s="82"/>
      <c r="G62" s="83">
        <v>5.0000000000000001E-3</v>
      </c>
      <c r="H62" s="84"/>
      <c r="I62" s="84"/>
      <c r="J62" s="84"/>
      <c r="K62" s="84"/>
      <c r="L62" s="106"/>
    </row>
    <row r="63" spans="1:12" outlineLevel="1">
      <c r="B63" s="104"/>
      <c r="D63" s="572"/>
      <c r="E63" s="86" t="s">
        <v>360</v>
      </c>
      <c r="F63" s="87"/>
      <c r="G63" s="88">
        <v>5.0000000000000001E-3</v>
      </c>
      <c r="H63" s="85"/>
      <c r="I63" s="85"/>
      <c r="J63" s="85"/>
      <c r="K63" s="85"/>
      <c r="L63" s="107"/>
    </row>
    <row r="64" spans="1:12" ht="14.25" customHeight="1" outlineLevel="1">
      <c r="A64" s="49" t="s">
        <v>370</v>
      </c>
      <c r="B64" s="74">
        <f ca="1">(NPV(B15,D57:L57)+C57*B10/12)/(1+B15)^(B10/12)</f>
        <v>0</v>
      </c>
      <c r="D64" s="572"/>
      <c r="E64" s="89" t="str">
        <f ca="1">B69</f>
        <v>—</v>
      </c>
      <c r="F64" s="90">
        <f>G64-$G$62</f>
        <v>-1.4999999999999999E-2</v>
      </c>
      <c r="G64" s="90">
        <f>H64-$G$62</f>
        <v>-0.01</v>
      </c>
      <c r="H64" s="90">
        <f>I64-$G$62</f>
        <v>-5.0000000000000001E-3</v>
      </c>
      <c r="I64" s="108">
        <f>B15</f>
        <v>0</v>
      </c>
      <c r="J64" s="90">
        <f>I64+$G$62</f>
        <v>5.0000000000000001E-3</v>
      </c>
      <c r="K64" s="90">
        <f>J64+$G$62</f>
        <v>0.01</v>
      </c>
      <c r="L64" s="109">
        <f>K64+$G$62</f>
        <v>1.4999999999999999E-2</v>
      </c>
    </row>
    <row r="65" spans="1:13" ht="14.25" customHeight="1" outlineLevel="1">
      <c r="A65" s="49" t="s">
        <v>371</v>
      </c>
      <c r="B65" s="74">
        <f>IF(B3=0,0,NPV(B15,B60:L60)/(1+B15)^(B2-1+B10/12))</f>
        <v>0</v>
      </c>
      <c r="D65" s="572"/>
      <c r="E65" s="92">
        <f>E66-$G$63</f>
        <v>-1.4999999999999999E-2</v>
      </c>
      <c r="F65" s="93" t="e">
        <f ca="1">((NPV(F$64,$D$57:$L$57)+$C$57*$B$10/12)/(1+F$64)^($B$10/12)+NPV(F$64,$B$60:$L$60)/(1+F$64)^($B$2-1+$B$10/12)+INDEX($C$57:$L$57,MATCH($B$2,$C$49:$L$49))*(1+$B$4)^$B$3*(1+$E65)/(F$64-$E65)/(POWER((1+F$64),$B$2+$B$3-1+$B$10/12)))/$B$68</f>
        <v>#DIV/0!</v>
      </c>
      <c r="G65" s="93" t="e">
        <f t="shared" ref="G65:L71" ca="1" si="12">((NPV(G$64,$D$57:$L$57)+$C$57*$B$10/12)/(1+G$64)^($B$10/12)+NPV(G$64,$B$60:$L$60)/(1+G$64)^($B$2-1+$B$10/12)+INDEX($C$57:$L$57,MATCH($B$2,$C$49:$L$49))*(1+$B$4)^$B$3*(1+$E65)/(G$64-$E65)/(POWER((1+G$64),$B$2+$B$3-1+$B$10/12)))/$B$68</f>
        <v>#VALUE!</v>
      </c>
      <c r="H65" s="93" t="e">
        <f t="shared" ca="1" si="12"/>
        <v>#VALUE!</v>
      </c>
      <c r="I65" s="93" t="e">
        <f t="shared" ca="1" si="12"/>
        <v>#VALUE!</v>
      </c>
      <c r="J65" s="93" t="e">
        <f t="shared" ca="1" si="12"/>
        <v>#VALUE!</v>
      </c>
      <c r="K65" s="93" t="e">
        <f t="shared" ca="1" si="12"/>
        <v>#VALUE!</v>
      </c>
      <c r="L65" s="110" t="e">
        <f t="shared" ca="1" si="12"/>
        <v>#VALUE!</v>
      </c>
    </row>
    <row r="66" spans="1:13" ht="14.25" customHeight="1" outlineLevel="1">
      <c r="A66" s="49" t="s">
        <v>372</v>
      </c>
      <c r="B66" s="74" t="e">
        <f ca="1">INDEX(C57:L57,MATCH(B2,C49:L49))*(1+B4)^B3*(1+B5)/(B15-B5)/(POWER((1+B15),B2+B3-1+B10/12))</f>
        <v>#DIV/0!</v>
      </c>
      <c r="D66" s="572"/>
      <c r="E66" s="92">
        <f>E67-$G$63</f>
        <v>-0.01</v>
      </c>
      <c r="F66" s="93" t="e">
        <f t="shared" ref="F66:F71" ca="1" si="13">((NPV(F$64,$D$57:$L$57)+$C$57*$B$10/12)/(1+F$64)^($B$10/12)+NPV(F$64,$B$60:$L$60)/(1+F$64)^($B$2-1+$B$10/12)+INDEX($C$57:$L$57,MATCH($B$2,$C$49:$L$49))*(1+$B$4)^$B$3*(1+$E66)/(F$64-$E66)/(POWER((1+F$64),$B$2+$B$3-1+$B$10/12)))/$B$68</f>
        <v>#VALUE!</v>
      </c>
      <c r="G66" s="93" t="e">
        <f t="shared" ca="1" si="12"/>
        <v>#DIV/0!</v>
      </c>
      <c r="H66" s="93" t="e">
        <f t="shared" ca="1" si="12"/>
        <v>#VALUE!</v>
      </c>
      <c r="I66" s="93" t="e">
        <f t="shared" ca="1" si="12"/>
        <v>#VALUE!</v>
      </c>
      <c r="J66" s="93" t="e">
        <f t="shared" ca="1" si="12"/>
        <v>#VALUE!</v>
      </c>
      <c r="K66" s="93" t="e">
        <f t="shared" ca="1" si="12"/>
        <v>#VALUE!</v>
      </c>
      <c r="L66" s="110" t="e">
        <f t="shared" ca="1" si="12"/>
        <v>#VALUE!</v>
      </c>
    </row>
    <row r="67" spans="1:13" ht="14.25" customHeight="1" outlineLevel="1">
      <c r="A67" s="76" t="s">
        <v>133</v>
      </c>
      <c r="B67" s="78" t="e">
        <f ca="1">SUM(B64:B66)</f>
        <v>#DIV/0!</v>
      </c>
      <c r="D67" s="572"/>
      <c r="E67" s="92">
        <f>E68-$G$63</f>
        <v>-5.0000000000000001E-3</v>
      </c>
      <c r="F67" s="93" t="e">
        <f t="shared" ca="1" si="13"/>
        <v>#VALUE!</v>
      </c>
      <c r="G67" s="93" t="e">
        <f t="shared" ca="1" si="12"/>
        <v>#VALUE!</v>
      </c>
      <c r="H67" s="93" t="e">
        <f t="shared" ca="1" si="12"/>
        <v>#DIV/0!</v>
      </c>
      <c r="I67" s="93" t="e">
        <f t="shared" ca="1" si="12"/>
        <v>#VALUE!</v>
      </c>
      <c r="J67" s="93" t="e">
        <f t="shared" ca="1" si="12"/>
        <v>#VALUE!</v>
      </c>
      <c r="K67" s="93" t="e">
        <f t="shared" ca="1" si="12"/>
        <v>#VALUE!</v>
      </c>
      <c r="L67" s="110" t="e">
        <f t="shared" ca="1" si="12"/>
        <v>#VALUE!</v>
      </c>
    </row>
    <row r="68" spans="1:13" ht="14.25" customHeight="1" outlineLevel="1">
      <c r="A68" s="49" t="s">
        <v>365</v>
      </c>
      <c r="B68" s="113" t="str">
        <f>IF(ISERROR(目录!F7*1000000*目录!D6),"—",目录!F7*1000000*目录!D6)</f>
        <v>—</v>
      </c>
      <c r="D68" s="572"/>
      <c r="E68" s="94">
        <f>B5</f>
        <v>0</v>
      </c>
      <c r="F68" s="93" t="e">
        <f t="shared" ca="1" si="13"/>
        <v>#VALUE!</v>
      </c>
      <c r="G68" s="93" t="e">
        <f t="shared" ca="1" si="12"/>
        <v>#VALUE!</v>
      </c>
      <c r="H68" s="93" t="e">
        <f t="shared" ca="1" si="12"/>
        <v>#VALUE!</v>
      </c>
      <c r="I68" s="111" t="e">
        <f t="shared" ca="1" si="12"/>
        <v>#DIV/0!</v>
      </c>
      <c r="J68" s="93" t="e">
        <f t="shared" ca="1" si="12"/>
        <v>#VALUE!</v>
      </c>
      <c r="K68" s="93" t="e">
        <f t="shared" ca="1" si="12"/>
        <v>#VALUE!</v>
      </c>
      <c r="L68" s="110" t="e">
        <f t="shared" ca="1" si="12"/>
        <v>#VALUE!</v>
      </c>
    </row>
    <row r="69" spans="1:13" ht="14.25" customHeight="1" outlineLevel="1">
      <c r="A69" s="114" t="str">
        <f>"每股价值("&amp;目录!F8&amp;")"</f>
        <v>每股价值(XXXX)</v>
      </c>
      <c r="B69" s="115" t="str">
        <f ca="1">IF(ISERROR(B67/B68),"—",B67/B68)</f>
        <v>—</v>
      </c>
      <c r="D69" s="572"/>
      <c r="E69" s="92">
        <f>E68+$G$63</f>
        <v>5.0000000000000001E-3</v>
      </c>
      <c r="F69" s="93" t="e">
        <f t="shared" ca="1" si="13"/>
        <v>#VALUE!</v>
      </c>
      <c r="G69" s="93" t="e">
        <f t="shared" ca="1" si="12"/>
        <v>#VALUE!</v>
      </c>
      <c r="H69" s="93" t="e">
        <f t="shared" ca="1" si="12"/>
        <v>#VALUE!</v>
      </c>
      <c r="I69" s="93" t="e">
        <f t="shared" ca="1" si="12"/>
        <v>#VALUE!</v>
      </c>
      <c r="J69" s="93" t="e">
        <f t="shared" ca="1" si="12"/>
        <v>#DIV/0!</v>
      </c>
      <c r="K69" s="93" t="e">
        <f t="shared" ca="1" si="12"/>
        <v>#VALUE!</v>
      </c>
      <c r="L69" s="110" t="e">
        <f t="shared" ca="1" si="12"/>
        <v>#VALUE!</v>
      </c>
    </row>
    <row r="70" spans="1:13" ht="14.25" customHeight="1" outlineLevel="1">
      <c r="D70" s="572"/>
      <c r="E70" s="92">
        <f>E69+$G$63</f>
        <v>0.01</v>
      </c>
      <c r="F70" s="93" t="e">
        <f t="shared" ca="1" si="13"/>
        <v>#VALUE!</v>
      </c>
      <c r="G70" s="93" t="e">
        <f t="shared" ca="1" si="12"/>
        <v>#VALUE!</v>
      </c>
      <c r="H70" s="93" t="e">
        <f t="shared" ca="1" si="12"/>
        <v>#VALUE!</v>
      </c>
      <c r="I70" s="93" t="e">
        <f t="shared" ca="1" si="12"/>
        <v>#VALUE!</v>
      </c>
      <c r="J70" s="93" t="e">
        <f t="shared" ca="1" si="12"/>
        <v>#VALUE!</v>
      </c>
      <c r="K70" s="93" t="e">
        <f t="shared" ca="1" si="12"/>
        <v>#DIV/0!</v>
      </c>
      <c r="L70" s="110" t="e">
        <f t="shared" ca="1" si="12"/>
        <v>#VALUE!</v>
      </c>
    </row>
    <row r="71" spans="1:13" ht="15" customHeight="1" outlineLevel="1" thickBot="1">
      <c r="D71" s="573"/>
      <c r="E71" s="98">
        <f>E70+$G$63</f>
        <v>1.4999999999999999E-2</v>
      </c>
      <c r="F71" s="99" t="e">
        <f t="shared" ca="1" si="13"/>
        <v>#VALUE!</v>
      </c>
      <c r="G71" s="99" t="e">
        <f t="shared" ca="1" si="12"/>
        <v>#VALUE!</v>
      </c>
      <c r="H71" s="99" t="e">
        <f t="shared" ca="1" si="12"/>
        <v>#VALUE!</v>
      </c>
      <c r="I71" s="99" t="e">
        <f t="shared" ca="1" si="12"/>
        <v>#VALUE!</v>
      </c>
      <c r="J71" s="99" t="e">
        <f t="shared" ca="1" si="12"/>
        <v>#VALUE!</v>
      </c>
      <c r="K71" s="99" t="e">
        <f t="shared" ca="1" si="12"/>
        <v>#VALUE!</v>
      </c>
      <c r="L71" s="112" t="e">
        <f t="shared" ca="1" si="12"/>
        <v>#DIV/0!</v>
      </c>
    </row>
    <row r="72" spans="1:13" ht="14.25" customHeight="1" outlineLevel="1"/>
    <row r="73" spans="1:13" ht="14.25" customHeight="1" outlineLevel="1">
      <c r="B73" s="100"/>
      <c r="C73" s="101" t="str">
        <f>C50</f>
        <v>2022E</v>
      </c>
      <c r="D73" s="101">
        <f t="shared" ref="D73:L73" si="14">D50</f>
        <v>2023</v>
      </c>
      <c r="E73" s="101">
        <f t="shared" si="14"/>
        <v>2024</v>
      </c>
      <c r="F73" s="101">
        <f t="shared" si="14"/>
        <v>2025</v>
      </c>
      <c r="G73" s="101">
        <f t="shared" si="14"/>
        <v>2026</v>
      </c>
      <c r="H73" s="101">
        <f t="shared" si="14"/>
        <v>2027</v>
      </c>
      <c r="I73" s="101">
        <f t="shared" si="14"/>
        <v>2028</v>
      </c>
      <c r="J73" s="101">
        <f t="shared" si="14"/>
        <v>2029</v>
      </c>
      <c r="K73" s="101">
        <f t="shared" si="14"/>
        <v>2030</v>
      </c>
      <c r="L73" s="101">
        <f t="shared" si="14"/>
        <v>2031</v>
      </c>
    </row>
    <row r="74" spans="1:13" ht="14.25" customHeight="1" outlineLevel="1">
      <c r="B74" s="61" t="s">
        <v>47</v>
      </c>
      <c r="C74" s="102" t="str">
        <f ca="1">IF(ISERROR($B$67/利润表!AA29),"—",$B$67/利润表!AA29)</f>
        <v>—</v>
      </c>
      <c r="D74" s="102" t="str">
        <f ca="1">IF(ISERROR($B$67/利润表!AB29),"—",$B$67/利润表!AB29)</f>
        <v>—</v>
      </c>
      <c r="E74" s="102" t="str">
        <f ca="1">IF(ISERROR($B$67/利润表!AC29),"—",$B$67/利润表!AC29)</f>
        <v>—</v>
      </c>
      <c r="F74" s="102" t="str">
        <f ca="1">IF(ISERROR($B$67/利润表!AD29),"—",$B$67/利润表!AD29)</f>
        <v>—</v>
      </c>
      <c r="G74" s="102" t="str">
        <f ca="1">IF(ISERROR($B$67/利润表!AE29),"—",$B$67/利润表!AE29)</f>
        <v>—</v>
      </c>
      <c r="H74" s="102" t="str">
        <f ca="1">IF(ISERROR($B$67/利润表!AF29),"—",$B$67/利润表!AF29)</f>
        <v>—</v>
      </c>
      <c r="I74" s="102" t="str">
        <f ca="1">IF(ISERROR($B$67/利润表!AG29),"—",$B$67/利润表!AG29)</f>
        <v>—</v>
      </c>
      <c r="J74" s="102" t="str">
        <f ca="1">IF(ISERROR($B$67/利润表!AH29),"—",$B$67/利润表!AH29)</f>
        <v>—</v>
      </c>
      <c r="K74" s="102" t="str">
        <f ca="1">IF(ISERROR($B$67/利润表!AI29),"—",$B$67/利润表!AI29)</f>
        <v>—</v>
      </c>
      <c r="L74" s="102" t="str">
        <f ca="1">IF(ISERROR($B$67/利润表!AJ29),"—",$B$67/利润表!AJ29)</f>
        <v>—</v>
      </c>
    </row>
    <row r="75" spans="1:13" ht="14.25" customHeight="1" outlineLevel="1">
      <c r="B75" s="61" t="s">
        <v>48</v>
      </c>
      <c r="C75" s="102" t="str">
        <f ca="1">IF(ISERROR($B$67/资产负债表!AA45),"—",$B$67/资产负债表!AA45)</f>
        <v>—</v>
      </c>
      <c r="D75" s="102" t="str">
        <f ca="1">IF(ISERROR($B$67/资产负债表!AB45),"—",$B$67/资产负债表!AB45)</f>
        <v>—</v>
      </c>
      <c r="E75" s="102" t="str">
        <f ca="1">IF(ISERROR($B$67/资产负债表!AC45),"—",$B$67/资产负债表!AC45)</f>
        <v>—</v>
      </c>
      <c r="F75" s="102" t="str">
        <f ca="1">IF(ISERROR($B$67/资产负债表!AD45),"—",$B$67/资产负债表!AD45)</f>
        <v>—</v>
      </c>
      <c r="G75" s="102" t="str">
        <f ca="1">IF(ISERROR($B$67/资产负债表!AE45),"—",$B$67/资产负债表!AE45)</f>
        <v>—</v>
      </c>
      <c r="H75" s="102" t="str">
        <f ca="1">IF(ISERROR($B$67/资产负债表!AF45),"—",$B$67/资产负债表!AF45)</f>
        <v>—</v>
      </c>
      <c r="I75" s="102" t="str">
        <f ca="1">IF(ISERROR($B$67/资产负债表!AG45),"—",$B$67/资产负债表!AG45)</f>
        <v>—</v>
      </c>
      <c r="J75" s="102" t="str">
        <f ca="1">IF(ISERROR($B$67/资产负债表!AH45),"—",$B$67/资产负债表!AH45)</f>
        <v>—</v>
      </c>
      <c r="K75" s="102" t="str">
        <f ca="1">IF(ISERROR($B$67/资产负债表!AI45),"—",$B$67/资产负债表!AI45)</f>
        <v>—</v>
      </c>
      <c r="L75" s="102" t="str">
        <f ca="1">IF(ISERROR($B$67/资产负债表!AJ45),"—",$B$67/资产负债表!AJ45)</f>
        <v>—</v>
      </c>
    </row>
    <row r="76" spans="1:13" ht="14.25" customHeight="1" outlineLevel="1">
      <c r="B76" s="61" t="s">
        <v>50</v>
      </c>
      <c r="C76" s="102" t="str">
        <f ca="1">IF(ISERROR($B$67/利润表!AA6),"—",$B$67/利润表!AA6)</f>
        <v>—</v>
      </c>
      <c r="D76" s="102" t="str">
        <f ca="1">IF(ISERROR($B$67/利润表!AB6),"—",$B$67/利润表!AB6)</f>
        <v>—</v>
      </c>
      <c r="E76" s="102" t="str">
        <f ca="1">IF(ISERROR($B$67/利润表!AC6),"—",$B$67/利润表!AC6)</f>
        <v>—</v>
      </c>
      <c r="F76" s="102" t="str">
        <f ca="1">IF(ISERROR($B$67/利润表!AD6),"—",$B$67/利润表!AD6)</f>
        <v>—</v>
      </c>
      <c r="G76" s="102" t="str">
        <f ca="1">IF(ISERROR($B$67/利润表!AE6),"—",$B$67/利润表!AE6)</f>
        <v>—</v>
      </c>
      <c r="H76" s="102" t="str">
        <f ca="1">IF(ISERROR($B$67/利润表!AF6),"—",$B$67/利润表!AF6)</f>
        <v>—</v>
      </c>
      <c r="I76" s="102" t="str">
        <f ca="1">IF(ISERROR($B$67/利润表!AG6),"—",$B$67/利润表!AG6)</f>
        <v>—</v>
      </c>
      <c r="J76" s="102" t="str">
        <f ca="1">IF(ISERROR($B$67/利润表!AH6),"—",$B$67/利润表!AH6)</f>
        <v>—</v>
      </c>
      <c r="K76" s="102" t="str">
        <f ca="1">IF(ISERROR($B$67/利润表!AI6),"—",$B$67/利润表!AI6)</f>
        <v>—</v>
      </c>
      <c r="L76" s="102" t="str">
        <f ca="1">IF(ISERROR($B$67/利润表!AJ6),"—",$B$67/利润表!AJ6)</f>
        <v>—</v>
      </c>
    </row>
    <row r="77" spans="1:13" ht="14.25" customHeight="1" outlineLevel="1">
      <c r="B77" s="104"/>
      <c r="C77" s="116"/>
      <c r="D77" s="116"/>
      <c r="E77" s="116"/>
      <c r="F77" s="116"/>
      <c r="G77" s="116"/>
      <c r="H77" s="116"/>
      <c r="I77" s="116"/>
      <c r="J77" s="116"/>
      <c r="K77" s="116"/>
      <c r="L77" s="116"/>
    </row>
    <row r="79" spans="1:13" ht="27" customHeight="1">
      <c r="A79" s="67" t="s">
        <v>373</v>
      </c>
      <c r="B79" s="3" t="str">
        <f ca="1">B93</f>
        <v>—</v>
      </c>
      <c r="C79" s="103">
        <v>1</v>
      </c>
      <c r="D79" s="103">
        <v>2</v>
      </c>
      <c r="E79" s="103">
        <v>3</v>
      </c>
      <c r="F79" s="103">
        <v>4</v>
      </c>
      <c r="G79" s="103">
        <v>5</v>
      </c>
      <c r="H79" s="103">
        <v>6</v>
      </c>
      <c r="I79" s="103">
        <v>7</v>
      </c>
      <c r="J79" s="103">
        <v>8</v>
      </c>
      <c r="K79" s="103">
        <v>9</v>
      </c>
      <c r="L79" s="103">
        <v>10</v>
      </c>
    </row>
    <row r="80" spans="1:13" ht="16.5" customHeight="1" outlineLevel="1">
      <c r="A80" s="117"/>
      <c r="B80" s="69">
        <f t="shared" ref="B80:L80" si="15">B20</f>
        <v>2021</v>
      </c>
      <c r="C80" s="69" t="str">
        <f t="shared" si="15"/>
        <v>2022E</v>
      </c>
      <c r="D80" s="70">
        <f t="shared" si="15"/>
        <v>2023</v>
      </c>
      <c r="E80" s="70">
        <f t="shared" si="15"/>
        <v>2024</v>
      </c>
      <c r="F80" s="70">
        <f t="shared" si="15"/>
        <v>2025</v>
      </c>
      <c r="G80" s="70">
        <f t="shared" si="15"/>
        <v>2026</v>
      </c>
      <c r="H80" s="70">
        <f t="shared" si="15"/>
        <v>2027</v>
      </c>
      <c r="I80" s="70">
        <f t="shared" si="15"/>
        <v>2028</v>
      </c>
      <c r="J80" s="70">
        <f t="shared" si="15"/>
        <v>2029</v>
      </c>
      <c r="K80" s="70">
        <f t="shared" si="15"/>
        <v>2030</v>
      </c>
      <c r="L80" s="70">
        <f t="shared" si="15"/>
        <v>2031</v>
      </c>
      <c r="M80" s="128"/>
    </row>
    <row r="81" spans="1:12" ht="15.75" outlineLevel="1">
      <c r="A81" s="76" t="s">
        <v>374</v>
      </c>
      <c r="B81" s="78">
        <f>资产预测!F98</f>
        <v>0</v>
      </c>
      <c r="C81" s="78">
        <f>IF($B$2&gt;=C79,资产预测!J98,"")</f>
        <v>0</v>
      </c>
      <c r="D81" s="78">
        <f>IF($B$2&gt;=D79,资产预测!K98,"")</f>
        <v>0</v>
      </c>
      <c r="E81" s="78">
        <f>IF($B$2&gt;=E79,资产预测!L98,"")</f>
        <v>0</v>
      </c>
      <c r="F81" s="78" t="str">
        <f>IF($B$2&gt;=F79,资产预测!M98,"")</f>
        <v/>
      </c>
      <c r="G81" s="78" t="str">
        <f>IF($B$2&gt;=G79,资产预测!N98,"")</f>
        <v/>
      </c>
      <c r="H81" s="78" t="str">
        <f>IF($B$2&gt;=H79,资产预测!O98,"")</f>
        <v/>
      </c>
      <c r="I81" s="78" t="str">
        <f>IF($B$2&gt;=I79,资产预测!P98,"")</f>
        <v/>
      </c>
      <c r="J81" s="78" t="str">
        <f>IF($B$2&gt;=J79,资产预测!Q98,"")</f>
        <v/>
      </c>
      <c r="K81" s="78" t="str">
        <f>IF($B$2&gt;=K79,资产预测!R98,"")</f>
        <v/>
      </c>
      <c r="L81" s="78" t="str">
        <f>IF($B$2&gt;=L79,资产预测!S98,"")</f>
        <v/>
      </c>
    </row>
    <row r="82" spans="1:12" ht="15.75" outlineLevel="1">
      <c r="A82" s="76"/>
      <c r="B82" s="70">
        <f>INDEX(C80:L80,MATCH($B$2,C79:L79))+1</f>
        <v>2025</v>
      </c>
      <c r="C82" s="70">
        <f>B82+1</f>
        <v>2026</v>
      </c>
      <c r="D82" s="70">
        <f t="shared" ref="D82:L82" si="16">C82+1</f>
        <v>2027</v>
      </c>
      <c r="E82" s="70">
        <f t="shared" si="16"/>
        <v>2028</v>
      </c>
      <c r="F82" s="70">
        <f t="shared" si="16"/>
        <v>2029</v>
      </c>
      <c r="G82" s="70">
        <f t="shared" si="16"/>
        <v>2030</v>
      </c>
      <c r="H82" s="70">
        <f t="shared" si="16"/>
        <v>2031</v>
      </c>
      <c r="I82" s="70">
        <f t="shared" si="16"/>
        <v>2032</v>
      </c>
      <c r="J82" s="70">
        <f t="shared" si="16"/>
        <v>2033</v>
      </c>
      <c r="K82" s="70">
        <f t="shared" si="16"/>
        <v>2034</v>
      </c>
      <c r="L82" s="70">
        <f t="shared" si="16"/>
        <v>2035</v>
      </c>
    </row>
    <row r="83" spans="1:12" ht="15.75" outlineLevel="1">
      <c r="A83" s="76" t="s">
        <v>375</v>
      </c>
      <c r="B83" s="78">
        <f>IF($B3&gt;0,INDEX(C81:L81,MATCH(B2,C79:L79))*(1+B4),0)</f>
        <v>0</v>
      </c>
      <c r="C83" s="78" t="str">
        <f t="shared" ref="C83:L83" si="17">IF(($B3-C79)&gt;0,B83*(1+$B4),"")</f>
        <v/>
      </c>
      <c r="D83" s="78" t="str">
        <f t="shared" si="17"/>
        <v/>
      </c>
      <c r="E83" s="78" t="str">
        <f t="shared" si="17"/>
        <v/>
      </c>
      <c r="F83" s="78" t="str">
        <f t="shared" si="17"/>
        <v/>
      </c>
      <c r="G83" s="78" t="str">
        <f t="shared" si="17"/>
        <v/>
      </c>
      <c r="H83" s="78" t="str">
        <f t="shared" si="17"/>
        <v/>
      </c>
      <c r="I83" s="78" t="str">
        <f t="shared" si="17"/>
        <v/>
      </c>
      <c r="J83" s="78" t="str">
        <f t="shared" si="17"/>
        <v/>
      </c>
      <c r="K83" s="78" t="str">
        <f t="shared" si="17"/>
        <v/>
      </c>
      <c r="L83" s="78" t="str">
        <f t="shared" si="17"/>
        <v/>
      </c>
    </row>
    <row r="84" spans="1:12" outlineLevel="1"/>
    <row r="85" spans="1:12" ht="14.25" customHeight="1" outlineLevel="1">
      <c r="D85" s="571" t="s">
        <v>357</v>
      </c>
      <c r="E85" s="81" t="s">
        <v>358</v>
      </c>
      <c r="F85" s="82"/>
      <c r="G85" s="83">
        <v>5.0000000000000001E-3</v>
      </c>
      <c r="H85" s="84"/>
      <c r="I85" s="84"/>
      <c r="J85" s="84"/>
      <c r="K85" s="84"/>
      <c r="L85" s="106"/>
    </row>
    <row r="86" spans="1:12" outlineLevel="1">
      <c r="D86" s="572"/>
      <c r="E86" s="86" t="s">
        <v>360</v>
      </c>
      <c r="F86" s="87"/>
      <c r="G86" s="88">
        <v>5.0000000000000001E-3</v>
      </c>
      <c r="H86" s="85"/>
      <c r="I86" s="85"/>
      <c r="J86" s="85"/>
      <c r="K86" s="85"/>
      <c r="L86" s="107"/>
    </row>
    <row r="87" spans="1:12" outlineLevel="1">
      <c r="D87" s="572"/>
      <c r="E87" s="89" t="str">
        <f ca="1">B93</f>
        <v>—</v>
      </c>
      <c r="F87" s="90">
        <f>G87-$G$85</f>
        <v>-1.4999999999999999E-2</v>
      </c>
      <c r="G87" s="90">
        <f>H87-$G$85</f>
        <v>-0.01</v>
      </c>
      <c r="H87" s="90">
        <f>I87-$G$85</f>
        <v>-5.0000000000000001E-3</v>
      </c>
      <c r="I87" s="108">
        <f>B15</f>
        <v>0</v>
      </c>
      <c r="J87" s="90">
        <f>I87+$G$85</f>
        <v>5.0000000000000001E-3</v>
      </c>
      <c r="K87" s="90">
        <f>J87+$G$85</f>
        <v>0.01</v>
      </c>
      <c r="L87" s="109">
        <f>K87+$G$85</f>
        <v>1.4999999999999999E-2</v>
      </c>
    </row>
    <row r="88" spans="1:12" outlineLevel="1">
      <c r="A88" s="49" t="s">
        <v>376</v>
      </c>
      <c r="B88" s="74">
        <f ca="1">(C81+NPV(B15,D81:L81))/(1+B15)^(B10/12)</f>
        <v>0</v>
      </c>
      <c r="D88" s="572"/>
      <c r="E88" s="92">
        <f>E89-$G$86</f>
        <v>-1.4999999999999999E-2</v>
      </c>
      <c r="F88" s="93" t="e">
        <f t="shared" ref="F88:L94" ca="1" si="18">(($C$81+NPV(F$87,$D$81:$L$81))/(1+F$87)^($B$10/12)+NPV(F$87,$B$83:$L$83)/(1+F$87)^($B$2-1+$B$10/12)+INDEX($C$81:$L$81,MATCH($B$2,$C$79:$L$79))*(1+$B$4)^$B$3*(1+$E88)/(F$87-$E88)/(POWER((1+F$87),$B$2+$B$3-1+$B$10/12)))/$B$92</f>
        <v>#DIV/0!</v>
      </c>
      <c r="G88" s="93" t="e">
        <f t="shared" ca="1" si="18"/>
        <v>#VALUE!</v>
      </c>
      <c r="H88" s="93" t="e">
        <f t="shared" ca="1" si="18"/>
        <v>#VALUE!</v>
      </c>
      <c r="I88" s="93" t="e">
        <f t="shared" ca="1" si="18"/>
        <v>#VALUE!</v>
      </c>
      <c r="J88" s="93" t="e">
        <f t="shared" ca="1" si="18"/>
        <v>#VALUE!</v>
      </c>
      <c r="K88" s="93" t="e">
        <f t="shared" ca="1" si="18"/>
        <v>#VALUE!</v>
      </c>
      <c r="L88" s="110" t="e">
        <f t="shared" ca="1" si="18"/>
        <v>#VALUE!</v>
      </c>
    </row>
    <row r="89" spans="1:12" outlineLevel="1">
      <c r="A89" s="49" t="s">
        <v>377</v>
      </c>
      <c r="B89" s="74">
        <f>IF(B3=0,0,NPV(B15,B83:L83)/(1+B15)^(B2-1+B10/12))</f>
        <v>0</v>
      </c>
      <c r="D89" s="572"/>
      <c r="E89" s="92">
        <f>E90-$G$86</f>
        <v>-0.01</v>
      </c>
      <c r="F89" s="93" t="e">
        <f t="shared" ca="1" si="18"/>
        <v>#VALUE!</v>
      </c>
      <c r="G89" s="93" t="e">
        <f t="shared" ca="1" si="18"/>
        <v>#DIV/0!</v>
      </c>
      <c r="H89" s="93" t="e">
        <f t="shared" ca="1" si="18"/>
        <v>#VALUE!</v>
      </c>
      <c r="I89" s="93" t="e">
        <f t="shared" ca="1" si="18"/>
        <v>#VALUE!</v>
      </c>
      <c r="J89" s="93" t="e">
        <f t="shared" ca="1" si="18"/>
        <v>#VALUE!</v>
      </c>
      <c r="K89" s="93" t="e">
        <f t="shared" ca="1" si="18"/>
        <v>#VALUE!</v>
      </c>
      <c r="L89" s="110" t="e">
        <f t="shared" ca="1" si="18"/>
        <v>#VALUE!</v>
      </c>
    </row>
    <row r="90" spans="1:12" outlineLevel="1">
      <c r="A90" s="49" t="s">
        <v>378</v>
      </c>
      <c r="B90" s="74" t="e">
        <f ca="1">INDEX(C81:L81,MATCH(B2,C79:L79))*(1+B4)^B3*(1+B5)/(B15-B5)/(POWER((1+B15),B2+B3-1+B10/12))</f>
        <v>#DIV/0!</v>
      </c>
      <c r="D90" s="572"/>
      <c r="E90" s="92">
        <f>E91-$G$86</f>
        <v>-5.0000000000000001E-3</v>
      </c>
      <c r="F90" s="93" t="e">
        <f t="shared" ca="1" si="18"/>
        <v>#VALUE!</v>
      </c>
      <c r="G90" s="93" t="e">
        <f t="shared" ca="1" si="18"/>
        <v>#VALUE!</v>
      </c>
      <c r="H90" s="93" t="e">
        <f t="shared" ca="1" si="18"/>
        <v>#DIV/0!</v>
      </c>
      <c r="I90" s="93" t="e">
        <f t="shared" ca="1" si="18"/>
        <v>#VALUE!</v>
      </c>
      <c r="J90" s="93" t="e">
        <f t="shared" ca="1" si="18"/>
        <v>#VALUE!</v>
      </c>
      <c r="K90" s="93" t="e">
        <f t="shared" ca="1" si="18"/>
        <v>#VALUE!</v>
      </c>
      <c r="L90" s="110" t="e">
        <f t="shared" ca="1" si="18"/>
        <v>#VALUE!</v>
      </c>
    </row>
    <row r="91" spans="1:12" ht="15.75" outlineLevel="1">
      <c r="A91" s="76" t="s">
        <v>133</v>
      </c>
      <c r="B91" s="78" t="e">
        <f ca="1">SUM(B88:B90)</f>
        <v>#DIV/0!</v>
      </c>
      <c r="D91" s="572"/>
      <c r="E91" s="94">
        <f>B5</f>
        <v>0</v>
      </c>
      <c r="F91" s="93" t="e">
        <f t="shared" ca="1" si="18"/>
        <v>#VALUE!</v>
      </c>
      <c r="G91" s="93" t="e">
        <f t="shared" ca="1" si="18"/>
        <v>#VALUE!</v>
      </c>
      <c r="H91" s="93" t="e">
        <f t="shared" ca="1" si="18"/>
        <v>#VALUE!</v>
      </c>
      <c r="I91" s="111" t="e">
        <f t="shared" ca="1" si="18"/>
        <v>#DIV/0!</v>
      </c>
      <c r="J91" s="93" t="e">
        <f t="shared" ca="1" si="18"/>
        <v>#VALUE!</v>
      </c>
      <c r="K91" s="93" t="e">
        <f t="shared" ca="1" si="18"/>
        <v>#VALUE!</v>
      </c>
      <c r="L91" s="110" t="e">
        <f t="shared" ca="1" si="18"/>
        <v>#VALUE!</v>
      </c>
    </row>
    <row r="92" spans="1:12" outlineLevel="1">
      <c r="A92" s="49" t="s">
        <v>365</v>
      </c>
      <c r="B92" s="113" t="str">
        <f>IF(ISERROR(目录!F7*1000000*目录!D6),"—",目录!F7*1000000*目录!D6)</f>
        <v>—</v>
      </c>
      <c r="D92" s="572"/>
      <c r="E92" s="92">
        <f>E91+$G$86</f>
        <v>5.0000000000000001E-3</v>
      </c>
      <c r="F92" s="93" t="e">
        <f t="shared" ca="1" si="18"/>
        <v>#VALUE!</v>
      </c>
      <c r="G92" s="93" t="e">
        <f t="shared" ca="1" si="18"/>
        <v>#VALUE!</v>
      </c>
      <c r="H92" s="93" t="e">
        <f t="shared" ca="1" si="18"/>
        <v>#VALUE!</v>
      </c>
      <c r="I92" s="93" t="e">
        <f t="shared" ca="1" si="18"/>
        <v>#VALUE!</v>
      </c>
      <c r="J92" s="93" t="e">
        <f t="shared" ca="1" si="18"/>
        <v>#DIV/0!</v>
      </c>
      <c r="K92" s="93" t="e">
        <f t="shared" ca="1" si="18"/>
        <v>#VALUE!</v>
      </c>
      <c r="L92" s="110" t="e">
        <f t="shared" ca="1" si="18"/>
        <v>#VALUE!</v>
      </c>
    </row>
    <row r="93" spans="1:12" ht="15.75" outlineLevel="1">
      <c r="A93" s="114" t="str">
        <f>"每股价值("&amp;目录!F8&amp;")"</f>
        <v>每股价值(XXXX)</v>
      </c>
      <c r="B93" s="115" t="str">
        <f ca="1">IF(ISERROR(B91/B92),"—",B91/B92)</f>
        <v>—</v>
      </c>
      <c r="D93" s="572"/>
      <c r="E93" s="92">
        <f>E92+$G$86</f>
        <v>0.01</v>
      </c>
      <c r="F93" s="93" t="e">
        <f t="shared" ca="1" si="18"/>
        <v>#VALUE!</v>
      </c>
      <c r="G93" s="93" t="e">
        <f t="shared" ca="1" si="18"/>
        <v>#VALUE!</v>
      </c>
      <c r="H93" s="93" t="e">
        <f t="shared" ca="1" si="18"/>
        <v>#VALUE!</v>
      </c>
      <c r="I93" s="93" t="e">
        <f t="shared" ca="1" si="18"/>
        <v>#VALUE!</v>
      </c>
      <c r="J93" s="93" t="e">
        <f t="shared" ca="1" si="18"/>
        <v>#VALUE!</v>
      </c>
      <c r="K93" s="93" t="e">
        <f t="shared" ca="1" si="18"/>
        <v>#DIV/0!</v>
      </c>
      <c r="L93" s="110" t="e">
        <f t="shared" ca="1" si="18"/>
        <v>#VALUE!</v>
      </c>
    </row>
    <row r="94" spans="1:12" outlineLevel="1">
      <c r="D94" s="573"/>
      <c r="E94" s="98">
        <f>E93+$G$86</f>
        <v>1.4999999999999999E-2</v>
      </c>
      <c r="F94" s="99" t="e">
        <f t="shared" ca="1" si="18"/>
        <v>#VALUE!</v>
      </c>
      <c r="G94" s="99" t="e">
        <f t="shared" ca="1" si="18"/>
        <v>#VALUE!</v>
      </c>
      <c r="H94" s="99" t="e">
        <f t="shared" ca="1" si="18"/>
        <v>#VALUE!</v>
      </c>
      <c r="I94" s="99" t="e">
        <f t="shared" ca="1" si="18"/>
        <v>#VALUE!</v>
      </c>
      <c r="J94" s="99" t="e">
        <f t="shared" ca="1" si="18"/>
        <v>#VALUE!</v>
      </c>
      <c r="K94" s="99" t="e">
        <f t="shared" ca="1" si="18"/>
        <v>#VALUE!</v>
      </c>
      <c r="L94" s="112" t="e">
        <f t="shared" ca="1" si="18"/>
        <v>#DIV/0!</v>
      </c>
    </row>
    <row r="95" spans="1:12" outlineLevel="1"/>
    <row r="96" spans="1:12" ht="14.25" customHeight="1" outlineLevel="1">
      <c r="B96" s="100"/>
      <c r="C96" s="101" t="str">
        <f>C80</f>
        <v>2022E</v>
      </c>
      <c r="D96" s="101">
        <f t="shared" ref="D96:L96" si="19">D80</f>
        <v>2023</v>
      </c>
      <c r="E96" s="101">
        <f t="shared" si="19"/>
        <v>2024</v>
      </c>
      <c r="F96" s="101">
        <f t="shared" si="19"/>
        <v>2025</v>
      </c>
      <c r="G96" s="101">
        <f t="shared" si="19"/>
        <v>2026</v>
      </c>
      <c r="H96" s="101">
        <f t="shared" si="19"/>
        <v>2027</v>
      </c>
      <c r="I96" s="101">
        <f t="shared" si="19"/>
        <v>2028</v>
      </c>
      <c r="J96" s="101">
        <f t="shared" si="19"/>
        <v>2029</v>
      </c>
      <c r="K96" s="101">
        <f t="shared" si="19"/>
        <v>2030</v>
      </c>
      <c r="L96" s="101">
        <f t="shared" si="19"/>
        <v>2031</v>
      </c>
    </row>
    <row r="97" spans="1:12" ht="14.25" customHeight="1" outlineLevel="1">
      <c r="B97" s="61" t="s">
        <v>47</v>
      </c>
      <c r="C97" s="102" t="str">
        <f ca="1">IF(ISERROR($B$91/利润表!AA29),"—",$B$91/利润表!AA29)</f>
        <v>—</v>
      </c>
      <c r="D97" s="102" t="str">
        <f ca="1">IF(ISERROR($B$91/利润表!AB29),"—",$B$91/利润表!AB29)</f>
        <v>—</v>
      </c>
      <c r="E97" s="102" t="str">
        <f ca="1">IF(ISERROR($B$91/利润表!AC29),"—",$B$91/利润表!AC29)</f>
        <v>—</v>
      </c>
      <c r="F97" s="102" t="str">
        <f ca="1">IF(ISERROR($B$91/利润表!AD29),"—",$B$91/利润表!AD29)</f>
        <v>—</v>
      </c>
      <c r="G97" s="102" t="str">
        <f ca="1">IF(ISERROR($B$91/利润表!AE29),"—",$B$91/利润表!AE29)</f>
        <v>—</v>
      </c>
      <c r="H97" s="102" t="str">
        <f ca="1">IF(ISERROR($B$91/利润表!AF29),"—",$B$91/利润表!AF29)</f>
        <v>—</v>
      </c>
      <c r="I97" s="102" t="str">
        <f ca="1">IF(ISERROR($B$91/利润表!AG29),"—",$B$91/利润表!AG29)</f>
        <v>—</v>
      </c>
      <c r="J97" s="102" t="str">
        <f ca="1">IF(ISERROR($B$91/利润表!AH29),"—",$B$91/利润表!AH29)</f>
        <v>—</v>
      </c>
      <c r="K97" s="102" t="str">
        <f ca="1">IF(ISERROR($B$91/利润表!AI29),"—",$B$91/利润表!AI29)</f>
        <v>—</v>
      </c>
      <c r="L97" s="102" t="str">
        <f ca="1">IF(ISERROR($B$91/利润表!AJ29),"—",$B$91/利润表!AJ29)</f>
        <v>—</v>
      </c>
    </row>
    <row r="98" spans="1:12" ht="14.25" customHeight="1" outlineLevel="1">
      <c r="B98" s="61" t="s">
        <v>48</v>
      </c>
      <c r="C98" s="102" t="str">
        <f ca="1">IF(ISERROR($B$91/资产负债表!AA45),"—",$B$91/资产负债表!AA45)</f>
        <v>—</v>
      </c>
      <c r="D98" s="102" t="str">
        <f ca="1">IF(ISERROR($B$91/资产负债表!AB45),"—",$B$91/资产负债表!AB45)</f>
        <v>—</v>
      </c>
      <c r="E98" s="102" t="str">
        <f ca="1">IF(ISERROR($B$91/资产负债表!AC45),"—",$B$91/资产负债表!AC45)</f>
        <v>—</v>
      </c>
      <c r="F98" s="102" t="str">
        <f ca="1">IF(ISERROR($B$91/资产负债表!AD45),"—",$B$91/资产负债表!AD45)</f>
        <v>—</v>
      </c>
      <c r="G98" s="102" t="str">
        <f ca="1">IF(ISERROR($B$91/资产负债表!AE45),"—",$B$91/资产负债表!AE45)</f>
        <v>—</v>
      </c>
      <c r="H98" s="102" t="str">
        <f ca="1">IF(ISERROR($B$91/资产负债表!AF45),"—",$B$91/资产负债表!AF45)</f>
        <v>—</v>
      </c>
      <c r="I98" s="102" t="str">
        <f ca="1">IF(ISERROR($B$91/资产负债表!AG45),"—",$B$91/资产负债表!AG45)</f>
        <v>—</v>
      </c>
      <c r="J98" s="102" t="str">
        <f ca="1">IF(ISERROR($B$91/资产负债表!AH45),"—",$B$91/资产负债表!AH45)</f>
        <v>—</v>
      </c>
      <c r="K98" s="102" t="str">
        <f ca="1">IF(ISERROR($B$91/资产负债表!AI45),"—",$B$91/资产负债表!AI45)</f>
        <v>—</v>
      </c>
      <c r="L98" s="102" t="str">
        <f ca="1">IF(ISERROR($B$91/资产负债表!AJ45),"—",$B$91/资产负债表!AJ45)</f>
        <v>—</v>
      </c>
    </row>
    <row r="99" spans="1:12" ht="14.25" customHeight="1" outlineLevel="1">
      <c r="B99" s="61" t="s">
        <v>50</v>
      </c>
      <c r="C99" s="102" t="str">
        <f ca="1">IF(ISERROR($B$91/利润表!AA6),"—",$B$91/利润表!AA6)</f>
        <v>—</v>
      </c>
      <c r="D99" s="102" t="str">
        <f ca="1">IF(ISERROR($B$91/利润表!AB6),"—",$B$91/利润表!AB6)</f>
        <v>—</v>
      </c>
      <c r="E99" s="102" t="str">
        <f ca="1">IF(ISERROR($B$91/利润表!AC6),"—",$B$91/利润表!AC6)</f>
        <v>—</v>
      </c>
      <c r="F99" s="102" t="str">
        <f ca="1">IF(ISERROR($B$91/利润表!AD6),"—",$B$91/利润表!AD6)</f>
        <v>—</v>
      </c>
      <c r="G99" s="102" t="str">
        <f ca="1">IF(ISERROR($B$91/利润表!AE6),"—",$B$91/利润表!AE6)</f>
        <v>—</v>
      </c>
      <c r="H99" s="102" t="str">
        <f ca="1">IF(ISERROR($B$91/利润表!AF6),"—",$B$91/利润表!AF6)</f>
        <v>—</v>
      </c>
      <c r="I99" s="102" t="str">
        <f ca="1">IF(ISERROR($B$91/利润表!AG6),"—",$B$91/利润表!AG6)</f>
        <v>—</v>
      </c>
      <c r="J99" s="102" t="str">
        <f ca="1">IF(ISERROR($B$91/利润表!AH6),"—",$B$91/利润表!AH6)</f>
        <v>—</v>
      </c>
      <c r="K99" s="102" t="str">
        <f ca="1">IF(ISERROR($B$91/利润表!AI6),"—",$B$91/利润表!AI6)</f>
        <v>—</v>
      </c>
      <c r="L99" s="102" t="str">
        <f ca="1">IF(ISERROR($B$91/利润表!AJ6),"—",$B$91/利润表!AJ6)</f>
        <v>—</v>
      </c>
    </row>
    <row r="101" spans="1:12" ht="27" customHeight="1">
      <c r="A101" s="67" t="s">
        <v>379</v>
      </c>
      <c r="B101" s="3" t="str">
        <f ca="1">B120</f>
        <v>—</v>
      </c>
      <c r="C101" s="118">
        <v>1</v>
      </c>
      <c r="D101" s="118">
        <v>2</v>
      </c>
      <c r="E101" s="118">
        <v>3</v>
      </c>
      <c r="F101" s="118">
        <v>4</v>
      </c>
      <c r="G101" s="118">
        <v>5</v>
      </c>
      <c r="H101" s="118">
        <v>6</v>
      </c>
      <c r="I101" s="118">
        <v>7</v>
      </c>
      <c r="J101" s="118">
        <v>8</v>
      </c>
      <c r="K101" s="118">
        <v>9</v>
      </c>
      <c r="L101" s="118">
        <v>10</v>
      </c>
    </row>
    <row r="102" spans="1:12" outlineLevel="1">
      <c r="B102" s="69">
        <f t="shared" ref="B102:L102" si="20">B20</f>
        <v>2021</v>
      </c>
      <c r="C102" s="69" t="str">
        <f t="shared" si="20"/>
        <v>2022E</v>
      </c>
      <c r="D102" s="70">
        <f t="shared" si="20"/>
        <v>2023</v>
      </c>
      <c r="E102" s="70">
        <f t="shared" si="20"/>
        <v>2024</v>
      </c>
      <c r="F102" s="70">
        <f t="shared" si="20"/>
        <v>2025</v>
      </c>
      <c r="G102" s="70">
        <f t="shared" si="20"/>
        <v>2026</v>
      </c>
      <c r="H102" s="70">
        <f t="shared" si="20"/>
        <v>2027</v>
      </c>
      <c r="I102" s="70">
        <f t="shared" si="20"/>
        <v>2028</v>
      </c>
      <c r="J102" s="70">
        <f t="shared" si="20"/>
        <v>2029</v>
      </c>
      <c r="K102" s="70">
        <f t="shared" si="20"/>
        <v>2030</v>
      </c>
      <c r="L102" s="70">
        <f t="shared" si="20"/>
        <v>2031</v>
      </c>
    </row>
    <row r="103" spans="1:12" outlineLevel="1">
      <c r="A103" s="49" t="s">
        <v>53</v>
      </c>
      <c r="B103" s="119">
        <f>IF(ISERROR(利润表!W35),"—",利润表!W35)</f>
        <v>0</v>
      </c>
      <c r="C103" s="120">
        <f>IF(ISERROR(利润表!AA35),"—",利润表!AA35)</f>
        <v>0</v>
      </c>
      <c r="D103" s="120">
        <f>IF(ISERROR(利润表!AB35),"—",利润表!AB35)</f>
        <v>0</v>
      </c>
      <c r="E103" s="120">
        <f>IF(ISERROR(利润表!AC35),"—",利润表!AC35)</f>
        <v>0</v>
      </c>
      <c r="F103" s="120">
        <f>IF(ISERROR(利润表!AD35),"—",利润表!AD35)</f>
        <v>0</v>
      </c>
      <c r="G103" s="120">
        <f>IF(ISERROR(利润表!AE35),"—",利润表!AE35)</f>
        <v>0</v>
      </c>
      <c r="H103" s="120">
        <f>IF(ISERROR(利润表!AF35),"—",利润表!AF35)</f>
        <v>0</v>
      </c>
      <c r="I103" s="120">
        <f>IF(ISERROR(利润表!AG35),"—",利润表!AG35)</f>
        <v>0</v>
      </c>
      <c r="J103" s="120">
        <f>IF(ISERROR(利润表!AH35),"—",利润表!AH35)</f>
        <v>0</v>
      </c>
      <c r="K103" s="120">
        <f>IF(ISERROR(利润表!AI35),"—",利润表!AI35)</f>
        <v>0</v>
      </c>
      <c r="L103" s="120">
        <f>IF(ISERROR(利润表!AJ35),"—",利润表!AJ35)</f>
        <v>0</v>
      </c>
    </row>
    <row r="104" spans="1:12" outlineLevel="1">
      <c r="A104" s="49" t="s">
        <v>166</v>
      </c>
      <c r="B104" s="121" t="str">
        <f>IF(ISERROR(利润表!W25/利润表!W24),"-",利润表!W25/利润表!W24)</f>
        <v>-</v>
      </c>
      <c r="C104" s="121" t="str">
        <f>IF(ISERROR(利润表!AA25/利润表!AA24),"-",利润表!AA25/利润表!AA24)</f>
        <v>-</v>
      </c>
      <c r="D104" s="121" t="str">
        <f>IF(ISERROR(利润表!AB25/利润表!AB24),"-",利润表!AB25/利润表!AB24)</f>
        <v>-</v>
      </c>
      <c r="E104" s="121" t="str">
        <f>IF(ISERROR(利润表!AC25/利润表!AC24),"-",利润表!AC25/利润表!AC24)</f>
        <v>-</v>
      </c>
      <c r="F104" s="121" t="str">
        <f>IF(ISERROR(利润表!AD25/利润表!AD24),"-",利润表!AD25/利润表!AD24)</f>
        <v>-</v>
      </c>
      <c r="G104" s="121" t="str">
        <f>IF(ISERROR(利润表!AE25/利润表!AE24),"-",利润表!AE25/利润表!AE24)</f>
        <v>-</v>
      </c>
      <c r="H104" s="121" t="str">
        <f>IF(ISERROR(利润表!AF25/利润表!AF24),"-",利润表!AF25/利润表!AF24)</f>
        <v>-</v>
      </c>
      <c r="I104" s="121" t="str">
        <f>IF(ISERROR(利润表!AG25/利润表!AG24),"-",利润表!AG25/利润表!AG24)</f>
        <v>-</v>
      </c>
      <c r="J104" s="121" t="str">
        <f>IF(ISERROR(利润表!AH25/利润表!AH24),"-",利润表!AH25/利润表!AH24)</f>
        <v>-</v>
      </c>
      <c r="K104" s="121" t="str">
        <f>IF(ISERROR(利润表!AI25/利润表!AI24),"-",利润表!AI25/利润表!AI24)</f>
        <v>-</v>
      </c>
      <c r="L104" s="121" t="str">
        <f>IF(ISERROR(利润表!AJ25/利润表!AJ24),"-",利润表!AJ25/利润表!AJ24)</f>
        <v>-</v>
      </c>
    </row>
    <row r="105" spans="1:12" outlineLevel="1">
      <c r="A105" s="49" t="s">
        <v>350</v>
      </c>
      <c r="B105" s="119" t="str">
        <f>IF(ISERROR(B103*(1-B104)),"-",B103*(1-B104))</f>
        <v>-</v>
      </c>
      <c r="C105" s="119" t="str">
        <f t="shared" ref="C105:L105" si="21">IF(ISERROR(C103*(1-C104)),"-",C103*(1-C104))</f>
        <v>-</v>
      </c>
      <c r="D105" s="119" t="str">
        <f t="shared" si="21"/>
        <v>-</v>
      </c>
      <c r="E105" s="119" t="str">
        <f t="shared" si="21"/>
        <v>-</v>
      </c>
      <c r="F105" s="119" t="str">
        <f t="shared" si="21"/>
        <v>-</v>
      </c>
      <c r="G105" s="119" t="str">
        <f t="shared" si="21"/>
        <v>-</v>
      </c>
      <c r="H105" s="119" t="str">
        <f t="shared" si="21"/>
        <v>-</v>
      </c>
      <c r="I105" s="119" t="str">
        <f t="shared" si="21"/>
        <v>-</v>
      </c>
      <c r="J105" s="119" t="str">
        <f t="shared" si="21"/>
        <v>-</v>
      </c>
      <c r="K105" s="119" t="str">
        <f t="shared" si="21"/>
        <v>-</v>
      </c>
      <c r="L105" s="119" t="str">
        <f t="shared" si="21"/>
        <v>-</v>
      </c>
    </row>
    <row r="106" spans="1:12" outlineLevel="1">
      <c r="A106" s="49" t="s">
        <v>285</v>
      </c>
      <c r="B106" s="119">
        <f>IF(ISERROR(资产负债表!W58),"—",资产负债表!W58)</f>
        <v>0</v>
      </c>
      <c r="C106" s="119">
        <f>IF(ISERROR(资产负债表!AA58),"—",资产负债表!AA58)</f>
        <v>0</v>
      </c>
      <c r="D106" s="119">
        <f>IF(ISERROR(资产负债表!AB58),"—",资产负债表!AB58)</f>
        <v>0</v>
      </c>
      <c r="E106" s="119">
        <f>IF(ISERROR(资产负债表!AC58),"—",资产负债表!AC58)</f>
        <v>0</v>
      </c>
      <c r="F106" s="119">
        <f>IF(ISERROR(资产负债表!AD58),"—",资产负债表!AD58)</f>
        <v>0</v>
      </c>
      <c r="G106" s="119">
        <f>IF(ISERROR(资产负债表!AE58),"—",资产负债表!AE58)</f>
        <v>0</v>
      </c>
      <c r="H106" s="119">
        <f>IF(ISERROR(资产负债表!AF58),"—",资产负债表!AF58)</f>
        <v>0</v>
      </c>
      <c r="I106" s="119">
        <f>IF(ISERROR(资产负债表!AG58),"—",资产负债表!AG58)</f>
        <v>0</v>
      </c>
      <c r="J106" s="119">
        <f>IF(ISERROR(资产负债表!AH58),"—",资产负债表!AH58)</f>
        <v>0</v>
      </c>
      <c r="K106" s="119">
        <f>IF(ISERROR(资产负债表!AI58),"—",资产负债表!AI58)</f>
        <v>0</v>
      </c>
      <c r="L106" s="119">
        <f>IF(ISERROR(资产负债表!AJ58),"—",资产负债表!AJ58)</f>
        <v>0</v>
      </c>
    </row>
    <row r="107" spans="1:12" ht="15.75" outlineLevel="1">
      <c r="A107" s="76" t="s">
        <v>379</v>
      </c>
      <c r="B107" s="122" t="str">
        <f>IF(ISERROR(B105-B106*$B$16),"0.00",B105-B106*$B$16)</f>
        <v>0.00</v>
      </c>
      <c r="C107" s="122" t="str">
        <f>IF(ISERROR(IF($B$2&gt;=C101,C105-C106*$B$16," ")),"0.00",IF($B$2&gt;=C101,C105-C106*$B$16," "))</f>
        <v>0.00</v>
      </c>
      <c r="D107" s="122" t="str">
        <f t="shared" ref="D107:L107" si="22">IF(ISERROR(IF($B$2&gt;=D101,D105-D106*$B$16," ")),"0.00",IF($B$2&gt;=D101,D105-D106*$B$16," "))</f>
        <v>0.00</v>
      </c>
      <c r="E107" s="122" t="str">
        <f t="shared" si="22"/>
        <v>0.00</v>
      </c>
      <c r="F107" s="122" t="str">
        <f t="shared" si="22"/>
        <v xml:space="preserve"> </v>
      </c>
      <c r="G107" s="122" t="str">
        <f t="shared" si="22"/>
        <v xml:space="preserve"> </v>
      </c>
      <c r="H107" s="122" t="str">
        <f t="shared" si="22"/>
        <v xml:space="preserve"> </v>
      </c>
      <c r="I107" s="122" t="str">
        <f t="shared" si="22"/>
        <v xml:space="preserve"> </v>
      </c>
      <c r="J107" s="122" t="str">
        <f t="shared" si="22"/>
        <v xml:space="preserve"> </v>
      </c>
      <c r="K107" s="122" t="str">
        <f t="shared" si="22"/>
        <v xml:space="preserve"> </v>
      </c>
      <c r="L107" s="122" t="str">
        <f t="shared" si="22"/>
        <v xml:space="preserve"> </v>
      </c>
    </row>
    <row r="108" spans="1:12" outlineLevel="1">
      <c r="B108" s="70">
        <f>INDEX(C102:L102,MATCH($B$2,C101:L101))+1</f>
        <v>2025</v>
      </c>
      <c r="C108" s="70">
        <f>B108+1</f>
        <v>2026</v>
      </c>
      <c r="D108" s="70">
        <f t="shared" ref="D108:L108" si="23">C108+1</f>
        <v>2027</v>
      </c>
      <c r="E108" s="70">
        <f t="shared" si="23"/>
        <v>2028</v>
      </c>
      <c r="F108" s="70">
        <f t="shared" si="23"/>
        <v>2029</v>
      </c>
      <c r="G108" s="70">
        <f t="shared" si="23"/>
        <v>2030</v>
      </c>
      <c r="H108" s="70">
        <f t="shared" si="23"/>
        <v>2031</v>
      </c>
      <c r="I108" s="70">
        <f t="shared" si="23"/>
        <v>2032</v>
      </c>
      <c r="J108" s="70">
        <f t="shared" si="23"/>
        <v>2033</v>
      </c>
      <c r="K108" s="70">
        <f t="shared" si="23"/>
        <v>2034</v>
      </c>
      <c r="L108" s="70">
        <f t="shared" si="23"/>
        <v>2035</v>
      </c>
    </row>
    <row r="109" spans="1:12" ht="15.75" outlineLevel="1">
      <c r="A109" s="76" t="s">
        <v>380</v>
      </c>
      <c r="B109" s="122">
        <f>IF($B3&gt;0,INDEX(C107:L107,MATCH(B2,C101:L101))*(1+B4),0)</f>
        <v>0</v>
      </c>
      <c r="C109" s="122" t="str">
        <f t="shared" ref="C109:L109" si="24">IF(($B3-C101)&gt;0,B109*(1+$B4),"")</f>
        <v/>
      </c>
      <c r="D109" s="122" t="str">
        <f t="shared" si="24"/>
        <v/>
      </c>
      <c r="E109" s="122" t="str">
        <f t="shared" si="24"/>
        <v/>
      </c>
      <c r="F109" s="122" t="str">
        <f t="shared" si="24"/>
        <v/>
      </c>
      <c r="G109" s="122" t="str">
        <f t="shared" si="24"/>
        <v/>
      </c>
      <c r="H109" s="122" t="str">
        <f t="shared" si="24"/>
        <v/>
      </c>
      <c r="I109" s="122" t="str">
        <f t="shared" si="24"/>
        <v/>
      </c>
      <c r="J109" s="122" t="str">
        <f t="shared" si="24"/>
        <v/>
      </c>
      <c r="K109" s="122" t="str">
        <f t="shared" si="24"/>
        <v/>
      </c>
      <c r="L109" s="122" t="str">
        <f t="shared" si="24"/>
        <v/>
      </c>
    </row>
    <row r="110" spans="1:12" outlineLevel="1"/>
    <row r="111" spans="1:12" ht="14.25" customHeight="1" outlineLevel="1">
      <c r="A111" s="49" t="s">
        <v>381</v>
      </c>
      <c r="B111" s="123">
        <f ca="1">(NPV(B16,D107:L107)+C107*B10/12)/(1+B16)^(B10/12)</f>
        <v>0</v>
      </c>
      <c r="D111" s="571" t="s">
        <v>357</v>
      </c>
      <c r="E111" s="81" t="s">
        <v>358</v>
      </c>
      <c r="F111" s="82"/>
      <c r="G111" s="83">
        <v>5.0000000000000001E-3</v>
      </c>
      <c r="H111" s="84"/>
      <c r="I111" s="84"/>
      <c r="J111" s="84"/>
      <c r="K111" s="84"/>
      <c r="L111" s="106"/>
    </row>
    <row r="112" spans="1:12" outlineLevel="1">
      <c r="A112" s="49" t="s">
        <v>382</v>
      </c>
      <c r="B112" s="123">
        <f>IF(B3=0,0,NPV(B16,B109:L109)/(1+B16)^(B2-1+B10/12))</f>
        <v>0</v>
      </c>
      <c r="D112" s="572"/>
      <c r="E112" s="86" t="s">
        <v>360</v>
      </c>
      <c r="F112" s="87"/>
      <c r="G112" s="88">
        <v>5.0000000000000001E-3</v>
      </c>
      <c r="H112" s="85"/>
      <c r="I112" s="85"/>
      <c r="J112" s="85"/>
      <c r="K112" s="85"/>
      <c r="L112" s="107"/>
    </row>
    <row r="113" spans="1:12" outlineLevel="1">
      <c r="A113" s="49" t="s">
        <v>383</v>
      </c>
      <c r="B113" s="93" t="e">
        <f ca="1">INDEX(C107:L107,MATCH(B2,C101:L101))*(1+B4)^B3*(1+B5)/(B16-B5)/(POWER((1+B16),B2+B3-1+B10/12))</f>
        <v>#DIV/0!</v>
      </c>
      <c r="D113" s="572"/>
      <c r="E113" s="89" t="str">
        <f ca="1">B120</f>
        <v>—</v>
      </c>
      <c r="F113" s="90">
        <f>G113-$G$111</f>
        <v>-1.4999999999999999E-2</v>
      </c>
      <c r="G113" s="90">
        <f>H113-$G$111</f>
        <v>-0.01</v>
      </c>
      <c r="H113" s="90">
        <f>I113-$G$111</f>
        <v>-5.0000000000000001E-3</v>
      </c>
      <c r="I113" s="108">
        <f>B13*B14*(1-$B9)+B15*(1-B14)</f>
        <v>0</v>
      </c>
      <c r="J113" s="90">
        <f>I113+$G$111</f>
        <v>5.0000000000000001E-3</v>
      </c>
      <c r="K113" s="90">
        <f>J113+$G$111</f>
        <v>0.01</v>
      </c>
      <c r="L113" s="109">
        <f>K113+$G$111</f>
        <v>1.4999999999999999E-2</v>
      </c>
    </row>
    <row r="114" spans="1:12" ht="15.75" outlineLevel="1">
      <c r="A114" s="76" t="s">
        <v>132</v>
      </c>
      <c r="B114" s="124" t="e">
        <f ca="1">SUM(B111:B113)</f>
        <v>#DIV/0!</v>
      </c>
      <c r="D114" s="572"/>
      <c r="E114" s="92">
        <f>E115-$G$112</f>
        <v>1.4999999999999996E-2</v>
      </c>
      <c r="F114" s="93" t="str">
        <f t="dataTable" ref="F114:L120" dt2D="1" dtr="1" r1="B16" r2="B5" ca="1"/>
        <v>—</v>
      </c>
      <c r="G114" s="93" t="str">
        <v>—</v>
      </c>
      <c r="H114" s="93" t="str">
        <v>—</v>
      </c>
      <c r="I114" s="93" t="str">
        <v>—</v>
      </c>
      <c r="J114" s="93" t="str">
        <v>—</v>
      </c>
      <c r="K114" s="93" t="str">
        <v>—</v>
      </c>
      <c r="L114" s="110" t="str">
        <v>—</v>
      </c>
    </row>
    <row r="115" spans="1:12" outlineLevel="1">
      <c r="A115" s="49" t="s">
        <v>384</v>
      </c>
      <c r="B115" s="93">
        <f>IF(财务基础数据!$W$2=0,资产负债表!W58,IF(财务基础数据!$W$2=1,资产负债表!X58,IF(财务基础数据!$W$2=2,资产负债表!Y58,资产负债表!Z58)))</f>
        <v>0</v>
      </c>
      <c r="D115" s="572"/>
      <c r="E115" s="92">
        <f>E116-$G$112</f>
        <v>1.9999999999999997E-2</v>
      </c>
      <c r="F115" s="93" t="str">
        <v>—</v>
      </c>
      <c r="G115" s="93" t="str">
        <v>—</v>
      </c>
      <c r="H115" s="93" t="str">
        <v>—</v>
      </c>
      <c r="I115" s="93" t="str">
        <v>—</v>
      </c>
      <c r="J115" s="93" t="str">
        <v>—</v>
      </c>
      <c r="K115" s="93" t="str">
        <v>—</v>
      </c>
      <c r="L115" s="110" t="str">
        <v>—</v>
      </c>
    </row>
    <row r="116" spans="1:12" outlineLevel="1">
      <c r="A116" s="49" t="s">
        <v>363</v>
      </c>
      <c r="B116" s="93">
        <f>IF(财务基础数据!$W$2=0,资产负债表!W55,IF(财务基础数据!$W$2=1,资产负债表!X55,IF(财务基础数据!$W$2=2,资产负债表!Y55,资产负债表!Z55)))</f>
        <v>0</v>
      </c>
      <c r="D116" s="572"/>
      <c r="E116" s="92">
        <f>E117-$G$112</f>
        <v>2.4999999999999998E-2</v>
      </c>
      <c r="F116" s="93" t="str">
        <v>—</v>
      </c>
      <c r="G116" s="93" t="str">
        <v>—</v>
      </c>
      <c r="H116" s="93" t="str">
        <v>—</v>
      </c>
      <c r="I116" s="93" t="str">
        <v>—</v>
      </c>
      <c r="J116" s="93" t="str">
        <v>—</v>
      </c>
      <c r="K116" s="93" t="str">
        <v>—</v>
      </c>
      <c r="L116" s="110" t="str">
        <v>—</v>
      </c>
    </row>
    <row r="117" spans="1:12" outlineLevel="1">
      <c r="A117" s="49" t="s">
        <v>364</v>
      </c>
      <c r="B117" s="93">
        <f>IF(财务基础数据!$W$2=0,资产负债表!W46,IF(财务基础数据!$W$2=1,资产负债表!X46,IF(财务基础数据!$W$2=2,资产负债表!Y46,资产负债表!Z46)))</f>
        <v>0</v>
      </c>
      <c r="D117" s="572"/>
      <c r="E117" s="94">
        <v>0.03</v>
      </c>
      <c r="F117" s="93" t="str">
        <v>—</v>
      </c>
      <c r="G117" s="93" t="str">
        <v>—</v>
      </c>
      <c r="H117" s="93" t="str">
        <v>—</v>
      </c>
      <c r="I117" s="111" t="str">
        <v>—</v>
      </c>
      <c r="J117" s="93" t="str">
        <v>—</v>
      </c>
      <c r="K117" s="93" t="str">
        <v>—</v>
      </c>
      <c r="L117" s="110" t="str">
        <v>—</v>
      </c>
    </row>
    <row r="118" spans="1:12" ht="15.75" outlineLevel="1">
      <c r="A118" s="76" t="s">
        <v>133</v>
      </c>
      <c r="B118" s="560" t="e">
        <f ca="1">B114+B115-B116-B117</f>
        <v>#DIV/0!</v>
      </c>
      <c r="D118" s="572"/>
      <c r="E118" s="92">
        <f>E117+$G$112</f>
        <v>3.4999999999999996E-2</v>
      </c>
      <c r="F118" s="93" t="str">
        <v>—</v>
      </c>
      <c r="G118" s="93" t="str">
        <v>—</v>
      </c>
      <c r="H118" s="93" t="str">
        <v>—</v>
      </c>
      <c r="I118" s="93" t="str">
        <v>—</v>
      </c>
      <c r="J118" s="93" t="str">
        <v>—</v>
      </c>
      <c r="K118" s="93" t="str">
        <v>—</v>
      </c>
      <c r="L118" s="110" t="str">
        <v>—</v>
      </c>
    </row>
    <row r="119" spans="1:12" outlineLevel="1">
      <c r="A119" s="49" t="s">
        <v>365</v>
      </c>
      <c r="B119" s="125" t="str">
        <f>IF(ISERROR(目录!F7*1000000*目录!D6),"—",目录!F7*1000000*目录!D6)</f>
        <v>—</v>
      </c>
      <c r="D119" s="572"/>
      <c r="E119" s="92">
        <f>E118+$G$112</f>
        <v>3.9999999999999994E-2</v>
      </c>
      <c r="F119" s="93" t="str">
        <v>—</v>
      </c>
      <c r="G119" s="93" t="str">
        <v>—</v>
      </c>
      <c r="H119" s="93" t="str">
        <v>—</v>
      </c>
      <c r="I119" s="93" t="str">
        <v>—</v>
      </c>
      <c r="J119" s="93" t="str">
        <v>—</v>
      </c>
      <c r="K119" s="93" t="str">
        <v>—</v>
      </c>
      <c r="L119" s="110" t="str">
        <v>—</v>
      </c>
    </row>
    <row r="120" spans="1:12" ht="15.75" outlineLevel="1">
      <c r="A120" s="114" t="str">
        <f>"每股价值("&amp;目录!F8&amp;")"</f>
        <v>每股价值(XXXX)</v>
      </c>
      <c r="B120" s="126" t="str">
        <f ca="1">IF(ISERROR(B118/B119),"—",B118/B119)</f>
        <v>—</v>
      </c>
      <c r="D120" s="573"/>
      <c r="E120" s="98">
        <f>E119+$G$112</f>
        <v>4.4999999999999991E-2</v>
      </c>
      <c r="F120" s="99" t="str">
        <v>—</v>
      </c>
      <c r="G120" s="99" t="str">
        <v>—</v>
      </c>
      <c r="H120" s="99" t="str">
        <v>—</v>
      </c>
      <c r="I120" s="99" t="str">
        <v>—</v>
      </c>
      <c r="J120" s="99" t="str">
        <v>—</v>
      </c>
      <c r="K120" s="99" t="str">
        <v>—</v>
      </c>
      <c r="L120" s="112" t="str">
        <v>—</v>
      </c>
    </row>
    <row r="121" spans="1:12" outlineLevel="1">
      <c r="B121" s="127"/>
    </row>
    <row r="122" spans="1:12" outlineLevel="1">
      <c r="B122" s="100"/>
      <c r="C122" s="101" t="str">
        <f>C102</f>
        <v>2022E</v>
      </c>
      <c r="D122" s="101">
        <f t="shared" ref="D122:L122" si="25">D102</f>
        <v>2023</v>
      </c>
      <c r="E122" s="101">
        <f t="shared" si="25"/>
        <v>2024</v>
      </c>
      <c r="F122" s="101">
        <f t="shared" si="25"/>
        <v>2025</v>
      </c>
      <c r="G122" s="101">
        <f t="shared" si="25"/>
        <v>2026</v>
      </c>
      <c r="H122" s="101">
        <f t="shared" si="25"/>
        <v>2027</v>
      </c>
      <c r="I122" s="101">
        <f t="shared" si="25"/>
        <v>2028</v>
      </c>
      <c r="J122" s="101">
        <f t="shared" si="25"/>
        <v>2029</v>
      </c>
      <c r="K122" s="101">
        <f t="shared" si="25"/>
        <v>2030</v>
      </c>
      <c r="L122" s="101">
        <f t="shared" si="25"/>
        <v>2031</v>
      </c>
    </row>
    <row r="123" spans="1:12" outlineLevel="1">
      <c r="B123" s="61" t="s">
        <v>47</v>
      </c>
      <c r="C123" s="102" t="str">
        <f ca="1">IF(ISERROR($B$118/利润表!AA29),"—",$B$118/利润表!AA29)</f>
        <v>—</v>
      </c>
      <c r="D123" s="102" t="str">
        <f ca="1">IF(ISERROR($B$118/利润表!AB29),"—",$B$118/利润表!AB29)</f>
        <v>—</v>
      </c>
      <c r="E123" s="102" t="str">
        <f ca="1">IF(ISERROR($B$118/利润表!AC29),"—",$B$118/利润表!AC29)</f>
        <v>—</v>
      </c>
      <c r="F123" s="102" t="str">
        <f ca="1">IF(ISERROR($B$118/利润表!AD29),"—",$B$118/利润表!AD29)</f>
        <v>—</v>
      </c>
      <c r="G123" s="102" t="str">
        <f ca="1">IF(ISERROR($B$118/利润表!AE29),"—",$B$118/利润表!AE29)</f>
        <v>—</v>
      </c>
      <c r="H123" s="102" t="str">
        <f ca="1">IF(ISERROR($B$118/利润表!AF29),"—",$B$118/利润表!AF29)</f>
        <v>—</v>
      </c>
      <c r="I123" s="102" t="str">
        <f ca="1">IF(ISERROR($B$118/利润表!AG29),"—",$B$118/利润表!AG29)</f>
        <v>—</v>
      </c>
      <c r="J123" s="102" t="str">
        <f ca="1">IF(ISERROR($B$118/利润表!AH29),"—",$B$118/利润表!AH29)</f>
        <v>—</v>
      </c>
      <c r="K123" s="102" t="str">
        <f ca="1">IF(ISERROR($B$118/利润表!AI29),"—",$B$118/利润表!AI29)</f>
        <v>—</v>
      </c>
      <c r="L123" s="102" t="str">
        <f ca="1">IF(ISERROR($B$118/利润表!AJ29),"—",$B$118/利润表!AJ29)</f>
        <v>—</v>
      </c>
    </row>
    <row r="124" spans="1:12" outlineLevel="1">
      <c r="B124" s="61" t="s">
        <v>48</v>
      </c>
      <c r="C124" s="102" t="str">
        <f ca="1">IF(ISERROR($B$118/资产负债表!AA45),"—",$B$118/资产负债表!AA45)</f>
        <v>—</v>
      </c>
      <c r="D124" s="102" t="str">
        <f ca="1">IF(ISERROR($B$118/资产负债表!AB45),"—",$B$118/资产负债表!AB45)</f>
        <v>—</v>
      </c>
      <c r="E124" s="102" t="str">
        <f ca="1">IF(ISERROR($B$118/资产负债表!AC45),"—",$B$118/资产负债表!AC45)</f>
        <v>—</v>
      </c>
      <c r="F124" s="102" t="str">
        <f ca="1">IF(ISERROR($B$118/资产负债表!AD45),"—",$B$118/资产负债表!AD45)</f>
        <v>—</v>
      </c>
      <c r="G124" s="102" t="str">
        <f ca="1">IF(ISERROR($B$118/资产负债表!AE45),"—",$B$118/资产负债表!AE45)</f>
        <v>—</v>
      </c>
      <c r="H124" s="102" t="str">
        <f ca="1">IF(ISERROR($B$118/资产负债表!AF45),"—",$B$118/资产负债表!AF45)</f>
        <v>—</v>
      </c>
      <c r="I124" s="102" t="str">
        <f ca="1">IF(ISERROR($B$118/资产负债表!AG45),"—",$B$118/资产负债表!AG45)</f>
        <v>—</v>
      </c>
      <c r="J124" s="102" t="str">
        <f ca="1">IF(ISERROR($B$118/资产负债表!AH45),"—",$B$118/资产负债表!AH45)</f>
        <v>—</v>
      </c>
      <c r="K124" s="102" t="str">
        <f ca="1">IF(ISERROR($B$118/资产负债表!AI45),"—",$B$118/资产负债表!AI45)</f>
        <v>—</v>
      </c>
      <c r="L124" s="102" t="str">
        <f ca="1">IF(ISERROR($B$118/资产负债表!AJ45),"—",$B$118/资产负债表!AJ45)</f>
        <v>—</v>
      </c>
    </row>
    <row r="125" spans="1:12" outlineLevel="1">
      <c r="B125" s="61" t="s">
        <v>50</v>
      </c>
      <c r="C125" s="102" t="str">
        <f ca="1">IF(ISERROR($B$118/利润表!AA6),"—",$B$118/利润表!AA6)</f>
        <v>—</v>
      </c>
      <c r="D125" s="102" t="str">
        <f ca="1">IF(ISERROR($B$118/利润表!AB6),"—",$B$118/利润表!AB6)</f>
        <v>—</v>
      </c>
      <c r="E125" s="102" t="str">
        <f ca="1">IF(ISERROR($B$118/利润表!AC6),"—",$B$118/利润表!AC6)</f>
        <v>—</v>
      </c>
      <c r="F125" s="102" t="str">
        <f ca="1">IF(ISERROR($B$118/利润表!AD6),"—",$B$118/利润表!AD6)</f>
        <v>—</v>
      </c>
      <c r="G125" s="102" t="str">
        <f ca="1">IF(ISERROR($B$118/利润表!AE6),"—",$B$118/利润表!AE6)</f>
        <v>—</v>
      </c>
      <c r="H125" s="102" t="str">
        <f ca="1">IF(ISERROR($B$118/利润表!AF6),"—",$B$118/利润表!AF6)</f>
        <v>—</v>
      </c>
      <c r="I125" s="102" t="str">
        <f ca="1">IF(ISERROR($B$118/利润表!AG6),"—",$B$118/利润表!AG6)</f>
        <v>—</v>
      </c>
      <c r="J125" s="102" t="str">
        <f ca="1">IF(ISERROR($B$118/利润表!AH6),"—",$B$118/利润表!AH6)</f>
        <v>—</v>
      </c>
      <c r="K125" s="102" t="str">
        <f ca="1">IF(ISERROR($B$118/利润表!AI6),"—",$B$118/利润表!AI6)</f>
        <v>—</v>
      </c>
      <c r="L125" s="102" t="str">
        <f ca="1">IF(ISERROR($B$118/利润表!AJ6),"—",$B$118/利润表!AJ6)</f>
        <v>—</v>
      </c>
    </row>
  </sheetData>
  <mergeCells count="8">
    <mergeCell ref="D85:D94"/>
    <mergeCell ref="D111:D120"/>
    <mergeCell ref="F11:F12"/>
    <mergeCell ref="C11:E11"/>
    <mergeCell ref="A11:A12"/>
    <mergeCell ref="B11:B12"/>
    <mergeCell ref="D33:D42"/>
    <mergeCell ref="D62:D71"/>
  </mergeCells>
  <phoneticPr fontId="93" type="noConversion"/>
  <pageMargins left="0.7" right="0.7" top="0.75" bottom="0.75" header="0.3" footer="0.3"/>
  <pageSetup paperSize="9" orientation="portrait"/>
  <ignoredErrors>
    <ignoredError sqref="C109" evalError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0"/>
  <dimension ref="A1:AE133"/>
  <sheetViews>
    <sheetView showGridLines="0" zoomScaleNormal="100" workbookViewId="0">
      <pane xSplit="3" ySplit="5" topLeftCell="S6" activePane="bottomRight" state="frozen"/>
      <selection pane="topRight"/>
      <selection pane="bottomLeft"/>
      <selection pane="bottomRight" activeCell="X2" sqref="X2"/>
    </sheetView>
  </sheetViews>
  <sheetFormatPr defaultColWidth="9" defaultRowHeight="17.25"/>
  <cols>
    <col min="1" max="1" width="14.25" style="544" customWidth="1"/>
    <col min="2" max="2" width="16.625" style="337" hidden="1" customWidth="1"/>
    <col min="3" max="3" width="18.375" style="337" customWidth="1"/>
    <col min="4" max="4" width="19.875" style="545" customWidth="1"/>
    <col min="5" max="10" width="19.875" style="2" customWidth="1"/>
    <col min="11" max="20" width="19.875" style="3" customWidth="1"/>
    <col min="21" max="27" width="19.875" style="534" customWidth="1"/>
    <col min="28" max="31" width="18.5" style="535" hidden="1" customWidth="1"/>
    <col min="32" max="16384" width="9" style="535"/>
  </cols>
  <sheetData>
    <row r="1" spans="1:27" ht="24.75" customHeight="1">
      <c r="A1" s="533" t="s">
        <v>40</v>
      </c>
      <c r="B1" s="333"/>
      <c r="C1" s="333"/>
      <c r="D1" s="534"/>
      <c r="E1" s="4"/>
      <c r="F1" s="4"/>
      <c r="G1" s="4"/>
      <c r="H1" s="4"/>
      <c r="I1" s="4"/>
      <c r="J1" s="4"/>
      <c r="K1" s="30"/>
      <c r="L1" s="30"/>
      <c r="M1" s="30"/>
      <c r="N1" s="30"/>
      <c r="O1" s="30"/>
      <c r="P1" s="30"/>
      <c r="Q1" s="30"/>
      <c r="R1" s="30"/>
      <c r="S1" s="30"/>
      <c r="T1" s="30"/>
      <c r="W1" s="37"/>
      <c r="Y1" s="40"/>
      <c r="Z1" s="40"/>
      <c r="AA1" s="40"/>
    </row>
    <row r="2" spans="1:27" s="1" customFormat="1" ht="19.5" customHeight="1">
      <c r="A2" s="5" t="str">
        <f>IF(目录!F8="CNY","单位：人民币",IF(目录!F8="USD","单位：美元","单位：港币"))</f>
        <v>单位：港币</v>
      </c>
      <c r="B2" s="5"/>
      <c r="C2" s="338" t="s">
        <v>37</v>
      </c>
      <c r="D2" s="6"/>
      <c r="E2" s="7"/>
      <c r="F2" s="7"/>
      <c r="G2" s="7"/>
      <c r="H2" s="7"/>
      <c r="I2" s="7"/>
      <c r="J2" s="7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553">
        <v>0</v>
      </c>
      <c r="X2" s="31"/>
      <c r="Y2" s="31"/>
      <c r="Z2" s="31"/>
      <c r="AA2" s="31"/>
    </row>
    <row r="3" spans="1:27" s="536" customFormat="1" ht="15.75">
      <c r="A3" s="8" t="s">
        <v>2</v>
      </c>
      <c r="B3" s="339"/>
      <c r="C3" s="339" t="s">
        <v>2</v>
      </c>
      <c r="D3" s="9"/>
      <c r="E3" s="10"/>
      <c r="F3" s="10"/>
      <c r="G3" s="10"/>
      <c r="H3" s="10"/>
      <c r="I3" s="10"/>
      <c r="J3" s="10"/>
      <c r="K3" s="32"/>
      <c r="L3" s="32"/>
      <c r="M3" s="32"/>
      <c r="N3" s="32"/>
      <c r="O3" s="32"/>
      <c r="P3" s="32"/>
      <c r="Q3" s="32"/>
      <c r="R3" s="32"/>
      <c r="S3" s="38"/>
      <c r="T3" s="39"/>
    </row>
    <row r="4" spans="1:27" s="536" customFormat="1">
      <c r="A4" s="11"/>
      <c r="B4" s="340"/>
      <c r="C4" s="341" t="s">
        <v>385</v>
      </c>
      <c r="D4" s="12">
        <v>20170330</v>
      </c>
      <c r="E4" s="12">
        <v>20170630</v>
      </c>
      <c r="F4" s="12">
        <v>20170930</v>
      </c>
      <c r="G4" s="12">
        <v>20171231</v>
      </c>
      <c r="H4" s="12">
        <v>20180330</v>
      </c>
      <c r="I4" s="12">
        <v>20180630</v>
      </c>
      <c r="J4" s="12">
        <v>20180930</v>
      </c>
      <c r="K4" s="12">
        <v>20181231</v>
      </c>
      <c r="L4" s="12">
        <v>20190330</v>
      </c>
      <c r="M4" s="12">
        <v>20190630</v>
      </c>
      <c r="N4" s="12">
        <v>20190930</v>
      </c>
      <c r="O4" s="12">
        <v>20191231</v>
      </c>
      <c r="P4" s="12">
        <v>20200330</v>
      </c>
      <c r="Q4" s="12">
        <v>20200630</v>
      </c>
      <c r="R4" s="12">
        <v>20200930</v>
      </c>
      <c r="S4" s="12">
        <v>20201231</v>
      </c>
      <c r="T4" s="12">
        <v>20210330</v>
      </c>
      <c r="U4" s="12">
        <v>20210630</v>
      </c>
      <c r="V4" s="12">
        <v>20210930</v>
      </c>
      <c r="W4" s="12">
        <v>20211231</v>
      </c>
      <c r="X4" s="12">
        <v>20220330</v>
      </c>
      <c r="Y4" s="12">
        <v>20220630</v>
      </c>
      <c r="Z4" s="12">
        <v>20220930</v>
      </c>
      <c r="AA4" s="12">
        <v>20221231</v>
      </c>
    </row>
    <row r="5" spans="1:27" s="534" customFormat="1">
      <c r="A5" s="13" t="s">
        <v>386</v>
      </c>
      <c r="B5" s="342"/>
      <c r="C5" s="342" t="s">
        <v>129</v>
      </c>
      <c r="D5" s="14" t="s">
        <v>387</v>
      </c>
      <c r="E5" s="14" t="s">
        <v>388</v>
      </c>
      <c r="F5" s="14" t="s">
        <v>389</v>
      </c>
      <c r="G5" s="14">
        <v>2017</v>
      </c>
      <c r="H5" s="14" t="s">
        <v>390</v>
      </c>
      <c r="I5" s="14" t="s">
        <v>391</v>
      </c>
      <c r="J5" s="14" t="s">
        <v>392</v>
      </c>
      <c r="K5" s="14">
        <v>2018</v>
      </c>
      <c r="L5" s="14" t="s">
        <v>393</v>
      </c>
      <c r="M5" s="14" t="s">
        <v>394</v>
      </c>
      <c r="N5" s="14" t="s">
        <v>395</v>
      </c>
      <c r="O5" s="14">
        <v>2019</v>
      </c>
      <c r="P5" s="14" t="s">
        <v>396</v>
      </c>
      <c r="Q5" s="14" t="s">
        <v>397</v>
      </c>
      <c r="R5" s="14" t="s">
        <v>398</v>
      </c>
      <c r="S5" s="14">
        <v>2020</v>
      </c>
      <c r="T5" s="14" t="s">
        <v>399</v>
      </c>
      <c r="U5" s="14" t="s">
        <v>400</v>
      </c>
      <c r="V5" s="14" t="s">
        <v>401</v>
      </c>
      <c r="W5" s="14">
        <v>2021</v>
      </c>
      <c r="X5" s="14" t="s">
        <v>402</v>
      </c>
      <c r="Y5" s="14" t="s">
        <v>403</v>
      </c>
      <c r="Z5" s="14" t="s">
        <v>404</v>
      </c>
      <c r="AA5" s="14">
        <v>2022</v>
      </c>
    </row>
    <row r="6" spans="1:27" s="536" customFormat="1">
      <c r="A6" s="15">
        <v>1</v>
      </c>
      <c r="B6" s="60" t="s">
        <v>405</v>
      </c>
      <c r="C6" s="537" t="s">
        <v>406</v>
      </c>
      <c r="D6" s="538"/>
      <c r="E6" s="18"/>
      <c r="F6" s="18"/>
      <c r="G6" s="18"/>
      <c r="H6" s="18"/>
      <c r="I6" s="18"/>
      <c r="J6" s="18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47"/>
    </row>
    <row r="7" spans="1:27" s="536" customFormat="1">
      <c r="A7" s="15">
        <v>2</v>
      </c>
      <c r="B7" s="60" t="s">
        <v>407</v>
      </c>
      <c r="C7" s="60" t="s">
        <v>408</v>
      </c>
      <c r="D7" s="195"/>
      <c r="E7" s="18"/>
      <c r="F7" s="18"/>
      <c r="G7" s="18"/>
      <c r="H7" s="18"/>
      <c r="I7" s="18"/>
      <c r="J7" s="18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47"/>
    </row>
    <row r="8" spans="1:27" s="536" customFormat="1">
      <c r="A8" s="15">
        <v>3</v>
      </c>
      <c r="B8" s="60" t="s">
        <v>409</v>
      </c>
      <c r="C8" s="60" t="s">
        <v>138</v>
      </c>
      <c r="D8" s="195"/>
      <c r="E8" s="18"/>
      <c r="F8" s="18"/>
      <c r="G8" s="18"/>
      <c r="H8" s="18"/>
      <c r="I8" s="18"/>
      <c r="J8" s="18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47"/>
    </row>
    <row r="9" spans="1:27" s="536" customFormat="1">
      <c r="A9" s="15">
        <v>4</v>
      </c>
      <c r="B9" s="60" t="s">
        <v>410</v>
      </c>
      <c r="C9" s="60" t="s">
        <v>411</v>
      </c>
      <c r="D9" s="195"/>
      <c r="E9" s="18"/>
      <c r="F9" s="18"/>
      <c r="G9" s="18"/>
      <c r="H9" s="18"/>
      <c r="I9" s="18"/>
      <c r="J9" s="18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47"/>
    </row>
    <row r="10" spans="1:27" s="536" customFormat="1">
      <c r="A10" s="15">
        <v>5</v>
      </c>
      <c r="B10" s="60" t="s">
        <v>412</v>
      </c>
      <c r="C10" s="60" t="s">
        <v>44</v>
      </c>
      <c r="D10" s="195"/>
      <c r="E10" s="18"/>
      <c r="F10" s="18"/>
      <c r="G10" s="18"/>
      <c r="H10" s="18"/>
      <c r="I10" s="18"/>
      <c r="J10" s="18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47"/>
    </row>
    <row r="11" spans="1:27" s="536" customFormat="1">
      <c r="A11" s="15">
        <v>6</v>
      </c>
      <c r="B11" s="60" t="s">
        <v>413</v>
      </c>
      <c r="C11" s="60" t="s">
        <v>414</v>
      </c>
      <c r="D11" s="195"/>
      <c r="E11" s="18"/>
      <c r="F11" s="18"/>
      <c r="G11" s="18"/>
      <c r="H11" s="18"/>
      <c r="I11" s="18"/>
      <c r="J11" s="18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47"/>
    </row>
    <row r="12" spans="1:27" s="536" customFormat="1">
      <c r="A12" s="15">
        <v>7</v>
      </c>
      <c r="B12" s="60" t="s">
        <v>415</v>
      </c>
      <c r="C12" s="60" t="s">
        <v>416</v>
      </c>
      <c r="D12" s="195"/>
      <c r="E12" s="18"/>
      <c r="F12" s="18"/>
      <c r="G12" s="18"/>
      <c r="H12" s="18"/>
      <c r="I12" s="18"/>
      <c r="J12" s="18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47"/>
    </row>
    <row r="13" spans="1:27" s="536" customFormat="1">
      <c r="A13" s="15">
        <v>8</v>
      </c>
      <c r="B13" s="60" t="s">
        <v>417</v>
      </c>
      <c r="C13" s="60" t="s">
        <v>161</v>
      </c>
      <c r="D13" s="195"/>
      <c r="E13" s="18"/>
      <c r="F13" s="18"/>
      <c r="G13" s="18"/>
      <c r="H13" s="18"/>
      <c r="I13" s="18"/>
      <c r="J13" s="18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47"/>
    </row>
    <row r="14" spans="1:27" s="536" customFormat="1">
      <c r="A14" s="15">
        <v>9</v>
      </c>
      <c r="B14" s="60" t="s">
        <v>418</v>
      </c>
      <c r="C14" s="60" t="s">
        <v>419</v>
      </c>
      <c r="D14" s="195"/>
      <c r="E14" s="18"/>
      <c r="F14" s="18"/>
      <c r="G14" s="18"/>
      <c r="H14" s="18"/>
      <c r="I14" s="18"/>
      <c r="J14" s="18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47"/>
    </row>
    <row r="15" spans="1:27" s="536" customFormat="1">
      <c r="A15" s="15">
        <v>10</v>
      </c>
      <c r="B15" s="60" t="s">
        <v>420</v>
      </c>
      <c r="C15" s="334" t="s">
        <v>52</v>
      </c>
      <c r="D15" s="348"/>
      <c r="E15" s="18"/>
      <c r="F15" s="18"/>
      <c r="G15" s="18"/>
      <c r="H15" s="18"/>
      <c r="I15" s="18"/>
      <c r="J15" s="18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47"/>
    </row>
    <row r="16" spans="1:27" s="536" customFormat="1">
      <c r="A16" s="15">
        <v>11</v>
      </c>
      <c r="B16" s="60" t="s">
        <v>421</v>
      </c>
      <c r="C16" s="60" t="s">
        <v>422</v>
      </c>
      <c r="D16" s="195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33"/>
      <c r="X16" s="33"/>
      <c r="Y16" s="33"/>
      <c r="Z16" s="33"/>
      <c r="AA16" s="347"/>
    </row>
    <row r="17" spans="1:27" s="536" customFormat="1">
      <c r="A17" s="15">
        <v>12</v>
      </c>
      <c r="B17" s="60" t="s">
        <v>423</v>
      </c>
      <c r="C17" s="60" t="s">
        <v>58</v>
      </c>
      <c r="D17" s="195"/>
      <c r="E17" s="18"/>
      <c r="F17" s="18"/>
      <c r="G17" s="18"/>
      <c r="H17" s="18"/>
      <c r="I17" s="18"/>
      <c r="J17" s="18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47"/>
    </row>
    <row r="18" spans="1:27" s="536" customFormat="1">
      <c r="A18" s="15">
        <v>13</v>
      </c>
      <c r="B18" s="60" t="s">
        <v>424</v>
      </c>
      <c r="C18" s="60" t="s">
        <v>113</v>
      </c>
      <c r="D18" s="195"/>
      <c r="E18" s="18"/>
      <c r="F18" s="18"/>
      <c r="G18" s="18"/>
      <c r="H18" s="18"/>
      <c r="I18" s="18"/>
      <c r="J18" s="18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47"/>
    </row>
    <row r="19" spans="1:27" s="536" customFormat="1">
      <c r="A19" s="15">
        <v>14</v>
      </c>
      <c r="B19" s="60" t="s">
        <v>425</v>
      </c>
      <c r="C19" s="60" t="s">
        <v>99</v>
      </c>
      <c r="D19" s="195"/>
      <c r="E19" s="18"/>
      <c r="F19" s="18"/>
      <c r="G19" s="18"/>
      <c r="H19" s="18"/>
      <c r="I19" s="18"/>
      <c r="J19" s="18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47"/>
    </row>
    <row r="20" spans="1:27" s="536" customFormat="1">
      <c r="A20" s="15">
        <v>15</v>
      </c>
      <c r="B20" s="60" t="s">
        <v>426</v>
      </c>
      <c r="C20" s="334" t="s">
        <v>100</v>
      </c>
      <c r="D20" s="348"/>
      <c r="E20" s="18"/>
      <c r="F20" s="18"/>
      <c r="G20" s="18"/>
      <c r="H20" s="18"/>
      <c r="I20" s="18"/>
      <c r="J20" s="18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47"/>
    </row>
    <row r="21" spans="1:27" s="536" customFormat="1">
      <c r="A21" s="15">
        <v>16</v>
      </c>
      <c r="B21" s="60" t="s">
        <v>427</v>
      </c>
      <c r="C21" s="60" t="s">
        <v>163</v>
      </c>
      <c r="D21" s="195"/>
      <c r="E21" s="18"/>
      <c r="F21" s="18"/>
      <c r="G21" s="18"/>
      <c r="H21" s="18"/>
      <c r="I21" s="18"/>
      <c r="J21" s="18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7"/>
    </row>
    <row r="22" spans="1:27" s="536" customFormat="1">
      <c r="A22" s="15">
        <v>17</v>
      </c>
      <c r="B22" s="60" t="s">
        <v>428</v>
      </c>
      <c r="C22" s="60" t="s">
        <v>290</v>
      </c>
      <c r="D22" s="195"/>
      <c r="E22" s="18"/>
      <c r="F22" s="18"/>
      <c r="G22" s="18"/>
      <c r="H22" s="18"/>
      <c r="I22" s="18"/>
      <c r="J22" s="18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7"/>
    </row>
    <row r="23" spans="1:27" s="536" customFormat="1">
      <c r="A23" s="15">
        <v>18</v>
      </c>
      <c r="B23" s="60" t="s">
        <v>429</v>
      </c>
      <c r="C23" s="60" t="s">
        <v>293</v>
      </c>
      <c r="D23" s="195"/>
      <c r="E23" s="18"/>
      <c r="F23" s="18"/>
      <c r="G23" s="18"/>
      <c r="H23" s="18"/>
      <c r="I23" s="18"/>
      <c r="J23" s="18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7"/>
    </row>
    <row r="24" spans="1:27" s="536" customFormat="1">
      <c r="A24" s="15">
        <v>19</v>
      </c>
      <c r="B24" s="60" t="s">
        <v>430</v>
      </c>
      <c r="C24" s="60" t="s">
        <v>63</v>
      </c>
      <c r="D24" s="195"/>
      <c r="E24" s="18"/>
      <c r="F24" s="18"/>
      <c r="G24" s="18"/>
      <c r="H24" s="18"/>
      <c r="I24" s="18"/>
      <c r="J24" s="18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7"/>
    </row>
    <row r="25" spans="1:27" s="536" customFormat="1">
      <c r="A25" s="15">
        <v>20</v>
      </c>
      <c r="B25" s="60" t="s">
        <v>431</v>
      </c>
      <c r="C25" s="60" t="s">
        <v>65</v>
      </c>
      <c r="D25" s="195"/>
      <c r="E25" s="18"/>
      <c r="F25" s="18"/>
      <c r="G25" s="18"/>
      <c r="H25" s="18"/>
      <c r="I25" s="18"/>
      <c r="J25" s="18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7"/>
    </row>
    <row r="26" spans="1:27" s="536" customFormat="1">
      <c r="A26" s="15">
        <v>21</v>
      </c>
      <c r="B26" s="60" t="s">
        <v>432</v>
      </c>
      <c r="C26" s="60" t="s">
        <v>73</v>
      </c>
      <c r="D26" s="195"/>
      <c r="E26" s="18"/>
      <c r="F26" s="18"/>
      <c r="G26" s="18"/>
      <c r="H26" s="18"/>
      <c r="I26" s="18"/>
      <c r="J26" s="18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7"/>
    </row>
    <row r="27" spans="1:27" s="536" customFormat="1">
      <c r="A27" s="15">
        <v>22</v>
      </c>
      <c r="B27" s="60" t="s">
        <v>433</v>
      </c>
      <c r="C27" s="60" t="s">
        <v>295</v>
      </c>
      <c r="D27" s="195"/>
      <c r="E27" s="18"/>
      <c r="F27" s="18"/>
      <c r="G27" s="18"/>
      <c r="H27" s="18"/>
      <c r="I27" s="18"/>
      <c r="J27" s="18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7"/>
    </row>
    <row r="28" spans="1:27" s="536" customFormat="1">
      <c r="A28" s="15">
        <v>23</v>
      </c>
      <c r="B28" s="60" t="s">
        <v>434</v>
      </c>
      <c r="C28" s="60" t="s">
        <v>435</v>
      </c>
      <c r="D28" s="195"/>
      <c r="E28" s="18"/>
      <c r="F28" s="18"/>
      <c r="G28" s="18"/>
      <c r="H28" s="18"/>
      <c r="I28" s="18"/>
      <c r="J28" s="18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7"/>
    </row>
    <row r="29" spans="1:27" s="536" customFormat="1">
      <c r="A29" s="15">
        <v>24</v>
      </c>
      <c r="B29" s="60" t="s">
        <v>436</v>
      </c>
      <c r="C29" s="60" t="s">
        <v>61</v>
      </c>
      <c r="D29" s="195"/>
      <c r="E29" s="18"/>
      <c r="F29" s="18"/>
      <c r="G29" s="18"/>
      <c r="H29" s="18"/>
      <c r="I29" s="18"/>
      <c r="J29" s="18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47"/>
      <c r="Z29" s="347"/>
      <c r="AA29" s="347"/>
    </row>
    <row r="30" spans="1:27" s="536" customFormat="1">
      <c r="A30" s="15">
        <v>25</v>
      </c>
      <c r="B30" s="60" t="s">
        <v>437</v>
      </c>
      <c r="C30" s="60" t="s">
        <v>438</v>
      </c>
      <c r="D30" s="195"/>
      <c r="E30" s="18"/>
      <c r="F30" s="18"/>
      <c r="G30" s="18"/>
      <c r="H30" s="18"/>
      <c r="I30" s="18"/>
      <c r="J30" s="18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47"/>
      <c r="Z30" s="347"/>
      <c r="AA30" s="347"/>
    </row>
    <row r="31" spans="1:27" s="536" customFormat="1">
      <c r="A31" s="15">
        <v>26</v>
      </c>
      <c r="B31" s="60" t="s">
        <v>439</v>
      </c>
      <c r="C31" s="60" t="s">
        <v>440</v>
      </c>
      <c r="D31" s="195"/>
      <c r="E31" s="18"/>
      <c r="F31" s="18"/>
      <c r="G31" s="18"/>
      <c r="H31" s="18"/>
      <c r="I31" s="18"/>
      <c r="J31" s="18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47"/>
      <c r="Z31" s="347"/>
      <c r="AA31" s="347"/>
    </row>
    <row r="32" spans="1:27" s="536" customFormat="1">
      <c r="A32" s="15">
        <v>27</v>
      </c>
      <c r="B32" s="60" t="s">
        <v>441</v>
      </c>
      <c r="C32" s="60" t="s">
        <v>442</v>
      </c>
      <c r="D32" s="195"/>
      <c r="E32" s="18"/>
      <c r="F32" s="18"/>
      <c r="G32" s="18"/>
      <c r="H32" s="18"/>
      <c r="I32" s="18"/>
      <c r="J32" s="18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47"/>
      <c r="Z32" s="347"/>
      <c r="AA32" s="347"/>
    </row>
    <row r="33" spans="1:27" s="536" customFormat="1">
      <c r="A33" s="15">
        <v>28</v>
      </c>
      <c r="B33" s="60" t="s">
        <v>443</v>
      </c>
      <c r="C33" s="60" t="s">
        <v>291</v>
      </c>
      <c r="D33" s="195"/>
      <c r="E33" s="18"/>
      <c r="F33" s="18"/>
      <c r="G33" s="18"/>
      <c r="H33" s="18"/>
      <c r="I33" s="18"/>
      <c r="J33" s="18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47"/>
      <c r="V33" s="347"/>
      <c r="W33" s="347"/>
      <c r="X33" s="347"/>
      <c r="Y33" s="347"/>
      <c r="Z33" s="347"/>
      <c r="AA33" s="347"/>
    </row>
    <row r="34" spans="1:27" s="536" customFormat="1">
      <c r="A34" s="15">
        <v>29</v>
      </c>
      <c r="B34" s="60" t="s">
        <v>444</v>
      </c>
      <c r="C34" s="60" t="s">
        <v>292</v>
      </c>
      <c r="D34" s="195"/>
      <c r="E34" s="18"/>
      <c r="F34" s="18"/>
      <c r="G34" s="18"/>
      <c r="H34" s="18"/>
      <c r="I34" s="18"/>
      <c r="J34" s="18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47"/>
      <c r="V34" s="347"/>
      <c r="W34" s="347"/>
      <c r="X34" s="347"/>
      <c r="Y34" s="347"/>
      <c r="Z34" s="347"/>
      <c r="AA34" s="347"/>
    </row>
    <row r="35" spans="1:27" s="536" customFormat="1">
      <c r="A35" s="15">
        <v>30</v>
      </c>
      <c r="B35" s="60" t="s">
        <v>445</v>
      </c>
      <c r="C35" s="60" t="s">
        <v>294</v>
      </c>
      <c r="D35" s="195"/>
      <c r="E35" s="21"/>
      <c r="F35" s="21"/>
      <c r="G35" s="21"/>
      <c r="H35" s="21"/>
      <c r="I35" s="21"/>
      <c r="J35" s="21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7"/>
      <c r="V35" s="347"/>
      <c r="W35" s="347"/>
      <c r="X35" s="347"/>
      <c r="Y35" s="347"/>
      <c r="Z35" s="347"/>
      <c r="AA35" s="347"/>
    </row>
    <row r="36" spans="1:27" s="536" customFormat="1">
      <c r="A36" s="15">
        <v>31</v>
      </c>
      <c r="B36" s="60" t="s">
        <v>446</v>
      </c>
      <c r="C36" s="60" t="s">
        <v>447</v>
      </c>
      <c r="D36" s="195"/>
      <c r="E36" s="21"/>
      <c r="F36" s="21"/>
      <c r="G36" s="21"/>
      <c r="H36" s="21"/>
      <c r="I36" s="21"/>
      <c r="J36" s="21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7"/>
      <c r="V36" s="347"/>
      <c r="W36" s="347"/>
      <c r="X36" s="347"/>
      <c r="Y36" s="347"/>
      <c r="Z36" s="347"/>
      <c r="AA36" s="347"/>
    </row>
    <row r="37" spans="1:27" s="536" customFormat="1">
      <c r="A37" s="22">
        <v>32</v>
      </c>
      <c r="B37" s="335" t="s">
        <v>540</v>
      </c>
      <c r="C37" s="335" t="s">
        <v>541</v>
      </c>
      <c r="D37" s="349"/>
      <c r="E37" s="23"/>
      <c r="F37" s="23"/>
      <c r="G37" s="23"/>
      <c r="H37" s="23"/>
      <c r="I37" s="23"/>
      <c r="J37" s="23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0"/>
      <c r="V37" s="350"/>
      <c r="W37" s="350"/>
      <c r="X37" s="350"/>
      <c r="Y37" s="350"/>
      <c r="Z37" s="350"/>
      <c r="AA37" s="350"/>
    </row>
    <row r="38" spans="1:27" s="536" customFormat="1">
      <c r="A38" s="539"/>
      <c r="B38" s="333"/>
      <c r="C38" s="336"/>
      <c r="D38" s="347"/>
      <c r="E38" s="21"/>
      <c r="F38" s="21"/>
      <c r="G38" s="21"/>
      <c r="H38" s="21"/>
      <c r="I38" s="21"/>
      <c r="J38" s="21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 s="536" customFormat="1">
      <c r="A39" s="539"/>
      <c r="B39" s="333"/>
      <c r="C39" s="336"/>
      <c r="D39" s="347"/>
      <c r="E39" s="21"/>
      <c r="F39" s="21"/>
      <c r="G39" s="21"/>
      <c r="H39" s="21"/>
      <c r="I39" s="21"/>
      <c r="J39" s="21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 s="536" customFormat="1">
      <c r="A40" s="539"/>
      <c r="B40" s="333"/>
      <c r="C40" s="336"/>
      <c r="D40" s="347"/>
      <c r="E40" s="21"/>
      <c r="F40" s="21"/>
      <c r="G40" s="21"/>
      <c r="H40" s="21"/>
      <c r="I40" s="21"/>
      <c r="J40" s="21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 s="1" customFormat="1" ht="19.5" customHeight="1">
      <c r="A41" s="5"/>
      <c r="B41" s="5"/>
      <c r="C41" s="338" t="s">
        <v>36</v>
      </c>
      <c r="D41" s="6"/>
      <c r="E41" s="7"/>
      <c r="F41" s="7"/>
      <c r="G41" s="7"/>
      <c r="H41" s="7"/>
      <c r="I41" s="7"/>
      <c r="J41" s="7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pans="1:27" s="540" customFormat="1" ht="15.75">
      <c r="A42" s="8" t="str">
        <f>A3</f>
        <v>XXXX</v>
      </c>
      <c r="B42" s="339"/>
      <c r="C42" s="343" t="str">
        <f>C3</f>
        <v>XXXX</v>
      </c>
      <c r="D42" s="24"/>
      <c r="E42" s="10"/>
      <c r="F42" s="10"/>
      <c r="G42" s="10"/>
      <c r="H42" s="10"/>
      <c r="I42" s="10"/>
      <c r="J42" s="10"/>
      <c r="K42" s="32"/>
      <c r="L42" s="32"/>
      <c r="M42" s="32"/>
      <c r="N42" s="32"/>
      <c r="O42" s="32"/>
      <c r="P42" s="32"/>
      <c r="Q42" s="32"/>
      <c r="R42" s="32"/>
      <c r="S42" s="32"/>
      <c r="T42" s="32"/>
    </row>
    <row r="43" spans="1:27" s="541" customFormat="1">
      <c r="A43" s="25" t="s">
        <v>386</v>
      </c>
      <c r="B43" s="344"/>
      <c r="C43" s="344" t="s">
        <v>129</v>
      </c>
      <c r="D43" s="26" t="str">
        <f t="shared" ref="D43:AA43" si="0">D5</f>
        <v>1Q17</v>
      </c>
      <c r="E43" s="26" t="str">
        <f t="shared" si="0"/>
        <v>1H17</v>
      </c>
      <c r="F43" s="26" t="str">
        <f t="shared" si="0"/>
        <v>3Q17</v>
      </c>
      <c r="G43" s="26">
        <f t="shared" si="0"/>
        <v>2017</v>
      </c>
      <c r="H43" s="26" t="str">
        <f t="shared" si="0"/>
        <v>1Q18</v>
      </c>
      <c r="I43" s="26" t="str">
        <f t="shared" si="0"/>
        <v>1H18</v>
      </c>
      <c r="J43" s="26" t="str">
        <f t="shared" si="0"/>
        <v>3Q18</v>
      </c>
      <c r="K43" s="26">
        <f t="shared" si="0"/>
        <v>2018</v>
      </c>
      <c r="L43" s="26" t="str">
        <f t="shared" si="0"/>
        <v>1Q19</v>
      </c>
      <c r="M43" s="26" t="str">
        <f t="shared" si="0"/>
        <v>1H19</v>
      </c>
      <c r="N43" s="26" t="str">
        <f t="shared" si="0"/>
        <v>3Q19</v>
      </c>
      <c r="O43" s="26">
        <f t="shared" si="0"/>
        <v>2019</v>
      </c>
      <c r="P43" s="26" t="str">
        <f t="shared" si="0"/>
        <v>1Q20</v>
      </c>
      <c r="Q43" s="26" t="str">
        <f t="shared" si="0"/>
        <v>1H20</v>
      </c>
      <c r="R43" s="26" t="str">
        <f t="shared" si="0"/>
        <v>3Q20</v>
      </c>
      <c r="S43" s="26">
        <f t="shared" si="0"/>
        <v>2020</v>
      </c>
      <c r="T43" s="26" t="str">
        <f t="shared" si="0"/>
        <v>1Q21</v>
      </c>
      <c r="U43" s="26" t="str">
        <f t="shared" si="0"/>
        <v>1H21</v>
      </c>
      <c r="V43" s="26" t="str">
        <f t="shared" si="0"/>
        <v>3Q21</v>
      </c>
      <c r="W43" s="26">
        <f t="shared" si="0"/>
        <v>2021</v>
      </c>
      <c r="X43" s="26" t="str">
        <f t="shared" si="0"/>
        <v>1Q22</v>
      </c>
      <c r="Y43" s="26" t="str">
        <f t="shared" si="0"/>
        <v>1H22</v>
      </c>
      <c r="Z43" s="26" t="str">
        <f t="shared" si="0"/>
        <v>3Q22</v>
      </c>
      <c r="AA43" s="26">
        <f t="shared" si="0"/>
        <v>2022</v>
      </c>
    </row>
    <row r="44" spans="1:27" s="542" customFormat="1">
      <c r="A44" s="27">
        <v>1</v>
      </c>
      <c r="B44" s="334" t="s">
        <v>448</v>
      </c>
      <c r="C44" s="537" t="s">
        <v>94</v>
      </c>
      <c r="D44" s="538"/>
      <c r="E44" s="29"/>
      <c r="F44" s="29"/>
      <c r="G44" s="29"/>
      <c r="H44" s="29"/>
      <c r="I44" s="29"/>
      <c r="J44" s="29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51"/>
      <c r="Z44" s="351"/>
      <c r="AA44" s="351"/>
    </row>
    <row r="45" spans="1:27" s="542" customFormat="1">
      <c r="A45" s="27">
        <v>2</v>
      </c>
      <c r="B45" s="334" t="s">
        <v>449</v>
      </c>
      <c r="C45" s="537" t="s">
        <v>146</v>
      </c>
      <c r="D45" s="538"/>
      <c r="E45" s="29"/>
      <c r="F45" s="29"/>
      <c r="G45" s="29"/>
      <c r="H45" s="29"/>
      <c r="I45" s="29"/>
      <c r="J45" s="29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51"/>
      <c r="Z45" s="351"/>
      <c r="AA45" s="351"/>
    </row>
    <row r="46" spans="1:27" s="542" customFormat="1">
      <c r="A46" s="27">
        <v>3</v>
      </c>
      <c r="B46" s="334" t="s">
        <v>450</v>
      </c>
      <c r="C46" s="537" t="s">
        <v>185</v>
      </c>
      <c r="D46" s="538"/>
      <c r="E46" s="29"/>
      <c r="F46" s="29"/>
      <c r="G46" s="29"/>
      <c r="H46" s="29"/>
      <c r="I46" s="29"/>
      <c r="J46" s="29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51"/>
      <c r="Z46" s="351"/>
      <c r="AA46" s="351"/>
    </row>
    <row r="47" spans="1:27" s="542" customFormat="1">
      <c r="A47" s="27">
        <v>4</v>
      </c>
      <c r="B47" s="334" t="s">
        <v>451</v>
      </c>
      <c r="C47" s="537" t="s">
        <v>452</v>
      </c>
      <c r="D47" s="538"/>
      <c r="E47" s="29"/>
      <c r="F47" s="29"/>
      <c r="G47" s="29"/>
      <c r="H47" s="29"/>
      <c r="I47" s="29"/>
      <c r="J47" s="29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51"/>
      <c r="Z47" s="351"/>
      <c r="AA47" s="351"/>
    </row>
    <row r="48" spans="1:27" s="542" customFormat="1">
      <c r="A48" s="27">
        <v>5</v>
      </c>
      <c r="B48" s="334" t="s">
        <v>453</v>
      </c>
      <c r="C48" s="537" t="s">
        <v>95</v>
      </c>
      <c r="D48" s="538"/>
      <c r="E48" s="29"/>
      <c r="F48" s="29"/>
      <c r="G48" s="29"/>
      <c r="H48" s="29"/>
      <c r="I48" s="29"/>
      <c r="J48" s="29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51"/>
      <c r="Z48" s="351"/>
      <c r="AA48" s="351"/>
    </row>
    <row r="49" spans="1:27" s="542" customFormat="1">
      <c r="A49" s="27">
        <v>6</v>
      </c>
      <c r="B49" s="334" t="s">
        <v>454</v>
      </c>
      <c r="C49" s="537" t="s">
        <v>176</v>
      </c>
      <c r="D49" s="538"/>
      <c r="E49" s="29"/>
      <c r="F49" s="29"/>
      <c r="G49" s="29"/>
      <c r="H49" s="29"/>
      <c r="I49" s="29"/>
      <c r="J49" s="29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51"/>
      <c r="Z49" s="351"/>
      <c r="AA49" s="351"/>
    </row>
    <row r="50" spans="1:27" s="542" customFormat="1">
      <c r="A50" s="27">
        <v>7</v>
      </c>
      <c r="B50" s="334" t="s">
        <v>455</v>
      </c>
      <c r="C50" s="537" t="s">
        <v>70</v>
      </c>
      <c r="D50" s="538"/>
      <c r="E50" s="29"/>
      <c r="F50" s="29"/>
      <c r="G50" s="29"/>
      <c r="H50" s="29"/>
      <c r="I50" s="29"/>
      <c r="J50" s="29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51"/>
      <c r="Z50" s="351"/>
      <c r="AA50" s="351"/>
    </row>
    <row r="51" spans="1:27" s="542" customFormat="1">
      <c r="A51" s="27">
        <v>8</v>
      </c>
      <c r="B51" s="334" t="s">
        <v>456</v>
      </c>
      <c r="C51" s="537" t="s">
        <v>96</v>
      </c>
      <c r="D51" s="538"/>
      <c r="E51" s="29"/>
      <c r="F51" s="29"/>
      <c r="G51" s="29"/>
      <c r="H51" s="29"/>
      <c r="I51" s="29"/>
      <c r="J51" s="29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51"/>
      <c r="Z51" s="351"/>
      <c r="AA51" s="351"/>
    </row>
    <row r="52" spans="1:27" s="542" customFormat="1">
      <c r="A52" s="27">
        <v>9</v>
      </c>
      <c r="B52" s="334" t="s">
        <v>457</v>
      </c>
      <c r="C52" s="537" t="s">
        <v>71</v>
      </c>
      <c r="D52" s="538"/>
      <c r="E52" s="29"/>
      <c r="F52" s="29"/>
      <c r="G52" s="29"/>
      <c r="H52" s="29"/>
      <c r="I52" s="29"/>
      <c r="J52" s="29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51"/>
      <c r="Z52" s="351"/>
      <c r="AA52" s="351"/>
    </row>
    <row r="53" spans="1:27" s="542" customFormat="1">
      <c r="A53" s="27">
        <v>10</v>
      </c>
      <c r="B53" s="334" t="s">
        <v>458</v>
      </c>
      <c r="C53" s="537" t="s">
        <v>269</v>
      </c>
      <c r="D53" s="538"/>
      <c r="E53" s="29"/>
      <c r="F53" s="29"/>
      <c r="G53" s="29"/>
      <c r="H53" s="29"/>
      <c r="I53" s="29"/>
      <c r="J53" s="29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51"/>
      <c r="Z53" s="351"/>
      <c r="AA53" s="351"/>
    </row>
    <row r="54" spans="1:27" s="542" customFormat="1">
      <c r="A54" s="27">
        <v>11</v>
      </c>
      <c r="B54" s="334" t="s">
        <v>459</v>
      </c>
      <c r="C54" s="537" t="s">
        <v>188</v>
      </c>
      <c r="D54" s="538"/>
      <c r="E54" s="29"/>
      <c r="F54" s="29"/>
      <c r="G54" s="29"/>
      <c r="H54" s="29"/>
      <c r="I54" s="29"/>
      <c r="J54" s="29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51"/>
      <c r="Z54" s="351"/>
      <c r="AA54" s="351"/>
    </row>
    <row r="55" spans="1:27" s="542" customFormat="1">
      <c r="A55" s="27">
        <v>12</v>
      </c>
      <c r="B55" s="334" t="s">
        <v>460</v>
      </c>
      <c r="C55" s="537" t="s">
        <v>310</v>
      </c>
      <c r="D55" s="538"/>
      <c r="E55" s="29"/>
      <c r="F55" s="29"/>
      <c r="G55" s="29"/>
      <c r="H55" s="29"/>
      <c r="I55" s="29"/>
      <c r="J55" s="29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51"/>
      <c r="Z55" s="351"/>
      <c r="AA55" s="351"/>
    </row>
    <row r="56" spans="1:27" s="542" customFormat="1">
      <c r="A56" s="27">
        <v>13</v>
      </c>
      <c r="B56" s="334" t="s">
        <v>461</v>
      </c>
      <c r="C56" s="537" t="s">
        <v>190</v>
      </c>
      <c r="D56" s="538"/>
      <c r="E56" s="29"/>
      <c r="F56" s="29"/>
      <c r="G56" s="29"/>
      <c r="H56" s="29"/>
      <c r="I56" s="29"/>
      <c r="J56" s="29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51"/>
      <c r="Z56" s="351"/>
      <c r="AA56" s="351"/>
    </row>
    <row r="57" spans="1:27" s="542" customFormat="1">
      <c r="A57" s="27">
        <v>14</v>
      </c>
      <c r="B57" s="334" t="s">
        <v>462</v>
      </c>
      <c r="C57" s="537" t="s">
        <v>101</v>
      </c>
      <c r="D57" s="538"/>
      <c r="E57" s="29"/>
      <c r="F57" s="29"/>
      <c r="G57" s="29"/>
      <c r="H57" s="29"/>
      <c r="I57" s="29"/>
      <c r="J57" s="29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51"/>
      <c r="Z57" s="351"/>
      <c r="AA57" s="351"/>
    </row>
    <row r="58" spans="1:27" s="542" customFormat="1">
      <c r="A58" s="27">
        <v>15</v>
      </c>
      <c r="B58" s="334" t="s">
        <v>463</v>
      </c>
      <c r="C58" s="537" t="s">
        <v>98</v>
      </c>
      <c r="D58" s="538"/>
      <c r="E58" s="29"/>
      <c r="F58" s="29"/>
      <c r="G58" s="29"/>
      <c r="H58" s="29"/>
      <c r="I58" s="29"/>
      <c r="J58" s="29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51"/>
      <c r="Z58" s="351"/>
      <c r="AA58" s="351"/>
    </row>
    <row r="59" spans="1:27" s="542" customFormat="1">
      <c r="A59" s="27">
        <v>16</v>
      </c>
      <c r="B59" s="334" t="s">
        <v>464</v>
      </c>
      <c r="C59" s="537" t="s">
        <v>465</v>
      </c>
      <c r="D59" s="538"/>
      <c r="E59" s="29"/>
      <c r="F59" s="29"/>
      <c r="G59" s="29"/>
      <c r="H59" s="29"/>
      <c r="I59" s="29"/>
      <c r="J59" s="29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51"/>
      <c r="Z59" s="351"/>
      <c r="AA59" s="351"/>
    </row>
    <row r="60" spans="1:27" s="542" customFormat="1">
      <c r="A60" s="27">
        <v>17</v>
      </c>
      <c r="B60" s="334" t="s">
        <v>466</v>
      </c>
      <c r="C60" s="537" t="s">
        <v>467</v>
      </c>
      <c r="D60" s="538"/>
      <c r="E60" s="29"/>
      <c r="F60" s="29"/>
      <c r="G60" s="29"/>
      <c r="H60" s="29"/>
      <c r="I60" s="29"/>
      <c r="J60" s="29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51"/>
      <c r="Z60" s="351"/>
      <c r="AA60" s="351"/>
    </row>
    <row r="61" spans="1:27" s="542" customFormat="1">
      <c r="A61" s="27">
        <v>18</v>
      </c>
      <c r="B61" s="334" t="s">
        <v>468</v>
      </c>
      <c r="C61" s="537" t="s">
        <v>102</v>
      </c>
      <c r="D61" s="538"/>
      <c r="E61" s="29"/>
      <c r="F61" s="29"/>
      <c r="G61" s="29"/>
      <c r="H61" s="29"/>
      <c r="I61" s="29"/>
      <c r="J61" s="29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51"/>
      <c r="Z61" s="351"/>
      <c r="AA61" s="351"/>
    </row>
    <row r="62" spans="1:27" s="542" customFormat="1">
      <c r="A62" s="27">
        <v>19</v>
      </c>
      <c r="B62" s="334" t="s">
        <v>469</v>
      </c>
      <c r="C62" s="537" t="s">
        <v>75</v>
      </c>
      <c r="D62" s="538"/>
      <c r="E62" s="29"/>
      <c r="F62" s="29"/>
      <c r="G62" s="29"/>
      <c r="H62" s="29"/>
      <c r="I62" s="29"/>
      <c r="J62" s="29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51"/>
      <c r="Z62" s="351"/>
      <c r="AA62" s="351"/>
    </row>
    <row r="63" spans="1:27" s="542" customFormat="1">
      <c r="A63" s="27">
        <v>20</v>
      </c>
      <c r="B63" s="334" t="s">
        <v>470</v>
      </c>
      <c r="C63" s="537" t="s">
        <v>270</v>
      </c>
      <c r="D63" s="538"/>
      <c r="E63" s="29"/>
      <c r="F63" s="29"/>
      <c r="G63" s="29"/>
      <c r="H63" s="29"/>
      <c r="I63" s="29"/>
      <c r="J63" s="29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51"/>
      <c r="Z63" s="351"/>
      <c r="AA63" s="351"/>
    </row>
    <row r="64" spans="1:27" s="542" customFormat="1">
      <c r="A64" s="27">
        <v>21</v>
      </c>
      <c r="B64" s="334" t="s">
        <v>471</v>
      </c>
      <c r="C64" s="537" t="s">
        <v>103</v>
      </c>
      <c r="D64" s="538"/>
      <c r="E64" s="29"/>
      <c r="F64" s="29"/>
      <c r="G64" s="29"/>
      <c r="H64" s="29"/>
      <c r="I64" s="29"/>
      <c r="J64" s="29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51"/>
      <c r="Z64" s="351"/>
      <c r="AA64" s="351"/>
    </row>
    <row r="65" spans="1:27" s="542" customFormat="1">
      <c r="A65" s="27">
        <v>22</v>
      </c>
      <c r="B65" s="334" t="s">
        <v>472</v>
      </c>
      <c r="C65" s="537" t="s">
        <v>180</v>
      </c>
      <c r="D65" s="538"/>
      <c r="E65" s="29"/>
      <c r="F65" s="29"/>
      <c r="G65" s="29"/>
      <c r="H65" s="29"/>
      <c r="I65" s="29"/>
      <c r="J65" s="29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51"/>
      <c r="Z65" s="351"/>
      <c r="AA65" s="351"/>
    </row>
    <row r="66" spans="1:27" s="542" customFormat="1">
      <c r="A66" s="27">
        <v>23</v>
      </c>
      <c r="B66" s="334" t="s">
        <v>473</v>
      </c>
      <c r="C66" s="537" t="s">
        <v>186</v>
      </c>
      <c r="D66" s="538"/>
      <c r="E66" s="29"/>
      <c r="F66" s="29"/>
      <c r="G66" s="29"/>
      <c r="H66" s="29"/>
      <c r="I66" s="29"/>
      <c r="J66" s="29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51"/>
      <c r="Z66" s="351"/>
      <c r="AA66" s="351"/>
    </row>
    <row r="67" spans="1:27" s="542" customFormat="1">
      <c r="A67" s="27">
        <v>24</v>
      </c>
      <c r="B67" s="334" t="s">
        <v>474</v>
      </c>
      <c r="C67" s="537" t="s">
        <v>475</v>
      </c>
      <c r="D67" s="538"/>
      <c r="E67" s="29"/>
      <c r="F67" s="29"/>
      <c r="G67" s="29"/>
      <c r="H67" s="29"/>
      <c r="I67" s="29"/>
      <c r="J67" s="29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51"/>
      <c r="Z67" s="351"/>
      <c r="AA67" s="351"/>
    </row>
    <row r="68" spans="1:27" s="542" customFormat="1">
      <c r="A68" s="27">
        <v>25</v>
      </c>
      <c r="B68" s="334" t="s">
        <v>476</v>
      </c>
      <c r="C68" s="537" t="s">
        <v>109</v>
      </c>
      <c r="D68" s="538"/>
      <c r="E68" s="29"/>
      <c r="F68" s="29"/>
      <c r="G68" s="29"/>
      <c r="H68" s="29"/>
      <c r="I68" s="29"/>
      <c r="J68" s="29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51"/>
      <c r="Z68" s="351"/>
      <c r="AA68" s="351"/>
    </row>
    <row r="69" spans="1:27" s="542" customFormat="1">
      <c r="A69" s="27">
        <v>26</v>
      </c>
      <c r="B69" s="334" t="s">
        <v>477</v>
      </c>
      <c r="C69" s="537" t="s">
        <v>80</v>
      </c>
      <c r="D69" s="538"/>
      <c r="E69" s="29"/>
      <c r="F69" s="29"/>
      <c r="G69" s="29"/>
      <c r="H69" s="29"/>
      <c r="I69" s="29"/>
      <c r="J69" s="29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51"/>
      <c r="Z69" s="351"/>
      <c r="AA69" s="351"/>
    </row>
    <row r="70" spans="1:27" s="542" customFormat="1">
      <c r="A70" s="27">
        <v>27</v>
      </c>
      <c r="B70" s="334" t="s">
        <v>478</v>
      </c>
      <c r="C70" s="537" t="s">
        <v>479</v>
      </c>
      <c r="D70" s="538"/>
      <c r="E70" s="29"/>
      <c r="F70" s="29"/>
      <c r="G70" s="29"/>
      <c r="H70" s="29"/>
      <c r="I70" s="29"/>
      <c r="J70" s="29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51"/>
      <c r="Z70" s="351"/>
      <c r="AA70" s="351"/>
    </row>
    <row r="71" spans="1:27" s="542" customFormat="1">
      <c r="A71" s="27">
        <v>28</v>
      </c>
      <c r="B71" s="334" t="s">
        <v>480</v>
      </c>
      <c r="C71" s="537" t="s">
        <v>481</v>
      </c>
      <c r="D71" s="538"/>
      <c r="E71" s="29"/>
      <c r="F71" s="29"/>
      <c r="G71" s="29"/>
      <c r="H71" s="29"/>
      <c r="I71" s="29"/>
      <c r="J71" s="29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51"/>
      <c r="Z71" s="351"/>
      <c r="AA71" s="351"/>
    </row>
    <row r="72" spans="1:27" s="542" customFormat="1">
      <c r="A72" s="27">
        <v>29</v>
      </c>
      <c r="B72" s="334" t="s">
        <v>482</v>
      </c>
      <c r="C72" s="537" t="s">
        <v>83</v>
      </c>
      <c r="D72" s="538"/>
      <c r="E72" s="29"/>
      <c r="F72" s="29"/>
      <c r="G72" s="29"/>
      <c r="H72" s="29"/>
      <c r="I72" s="29"/>
      <c r="J72" s="29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51"/>
      <c r="Z72" s="351"/>
      <c r="AA72" s="351"/>
    </row>
    <row r="73" spans="1:27" s="542" customFormat="1">
      <c r="A73" s="27">
        <v>30</v>
      </c>
      <c r="B73" s="334" t="s">
        <v>483</v>
      </c>
      <c r="C73" s="537" t="s">
        <v>275</v>
      </c>
      <c r="D73" s="538"/>
      <c r="E73" s="29"/>
      <c r="F73" s="29"/>
      <c r="G73" s="29"/>
      <c r="H73" s="29"/>
      <c r="I73" s="29"/>
      <c r="J73" s="29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51"/>
      <c r="Z73" s="351"/>
      <c r="AA73" s="351"/>
    </row>
    <row r="74" spans="1:27" s="542" customFormat="1">
      <c r="A74" s="27">
        <v>31</v>
      </c>
      <c r="B74" s="334" t="s">
        <v>484</v>
      </c>
      <c r="C74" s="537" t="s">
        <v>149</v>
      </c>
      <c r="D74" s="538"/>
      <c r="E74" s="29"/>
      <c r="F74" s="29"/>
      <c r="G74" s="29"/>
      <c r="H74" s="29"/>
      <c r="I74" s="29"/>
      <c r="J74" s="29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51"/>
      <c r="Z74" s="351"/>
      <c r="AA74" s="351"/>
    </row>
    <row r="75" spans="1:27" s="542" customFormat="1">
      <c r="A75" s="27">
        <v>32</v>
      </c>
      <c r="B75" s="334" t="s">
        <v>485</v>
      </c>
      <c r="C75" s="537" t="s">
        <v>486</v>
      </c>
      <c r="D75" s="538"/>
      <c r="E75" s="29"/>
      <c r="F75" s="29"/>
      <c r="G75" s="29"/>
      <c r="H75" s="29"/>
      <c r="I75" s="29"/>
      <c r="J75" s="29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51"/>
      <c r="Z75" s="351"/>
      <c r="AA75" s="351"/>
    </row>
    <row r="76" spans="1:27" s="542" customFormat="1" ht="15" customHeight="1">
      <c r="A76" s="27">
        <v>33</v>
      </c>
      <c r="B76" s="334" t="s">
        <v>487</v>
      </c>
      <c r="C76" s="537" t="s">
        <v>141</v>
      </c>
      <c r="D76" s="538"/>
      <c r="E76" s="29"/>
      <c r="F76" s="29"/>
      <c r="G76" s="29"/>
      <c r="H76" s="29"/>
      <c r="I76" s="29"/>
      <c r="J76" s="29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51"/>
      <c r="Z76" s="351"/>
      <c r="AA76" s="351"/>
    </row>
    <row r="77" spans="1:27" s="542" customFormat="1" ht="15" customHeight="1">
      <c r="A77" s="27">
        <v>34</v>
      </c>
      <c r="B77" s="334" t="s">
        <v>488</v>
      </c>
      <c r="C77" s="537" t="s">
        <v>489</v>
      </c>
      <c r="D77" s="538"/>
      <c r="E77" s="29"/>
      <c r="F77" s="29"/>
      <c r="G77" s="29"/>
      <c r="H77" s="29"/>
      <c r="I77" s="29"/>
      <c r="J77" s="29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51"/>
      <c r="Z77" s="351"/>
      <c r="AA77" s="351"/>
    </row>
    <row r="78" spans="1:27" s="542" customFormat="1" ht="15" customHeight="1">
      <c r="A78" s="27">
        <v>35</v>
      </c>
      <c r="B78" s="334" t="s">
        <v>490</v>
      </c>
      <c r="C78" s="537" t="s">
        <v>151</v>
      </c>
      <c r="D78" s="538"/>
      <c r="E78" s="29"/>
      <c r="F78" s="29"/>
      <c r="G78" s="29"/>
      <c r="H78" s="29"/>
      <c r="I78" s="29"/>
      <c r="J78" s="29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51"/>
      <c r="Z78" s="351"/>
      <c r="AA78" s="351"/>
    </row>
    <row r="79" spans="1:27" s="542" customFormat="1" ht="15" customHeight="1">
      <c r="A79" s="27">
        <v>36</v>
      </c>
      <c r="B79" s="334" t="s">
        <v>491</v>
      </c>
      <c r="C79" s="537" t="s">
        <v>492</v>
      </c>
      <c r="D79" s="538"/>
      <c r="E79" s="29"/>
      <c r="F79" s="29"/>
      <c r="G79" s="29"/>
      <c r="H79" s="29"/>
      <c r="I79" s="29"/>
      <c r="J79" s="29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51"/>
      <c r="Z79" s="351"/>
      <c r="AA79" s="351"/>
    </row>
    <row r="80" spans="1:27" s="542" customFormat="1" ht="15" customHeight="1">
      <c r="A80" s="27">
        <v>37</v>
      </c>
      <c r="B80" s="334" t="s">
        <v>493</v>
      </c>
      <c r="C80" s="537" t="s">
        <v>215</v>
      </c>
      <c r="D80" s="538"/>
      <c r="E80" s="29"/>
      <c r="F80" s="29"/>
      <c r="G80" s="29"/>
      <c r="H80" s="29"/>
      <c r="I80" s="29"/>
      <c r="J80" s="29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51"/>
      <c r="Z80" s="351"/>
      <c r="AA80" s="351"/>
    </row>
    <row r="81" spans="1:27" s="542" customFormat="1">
      <c r="A81" s="27">
        <v>38</v>
      </c>
      <c r="B81" s="334" t="s">
        <v>494</v>
      </c>
      <c r="C81" s="537" t="s">
        <v>495</v>
      </c>
      <c r="D81" s="538"/>
      <c r="E81" s="29"/>
      <c r="F81" s="29"/>
      <c r="G81" s="29"/>
      <c r="H81" s="29"/>
      <c r="I81" s="29"/>
      <c r="J81" s="29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51"/>
      <c r="Z81" s="351"/>
      <c r="AA81" s="351"/>
    </row>
    <row r="82" spans="1:27" s="542" customFormat="1">
      <c r="A82" s="15">
        <v>39</v>
      </c>
      <c r="B82" s="334" t="s">
        <v>496</v>
      </c>
      <c r="C82" s="537" t="s">
        <v>497</v>
      </c>
      <c r="D82" s="538"/>
      <c r="E82" s="29"/>
      <c r="F82" s="29"/>
      <c r="G82" s="29"/>
      <c r="H82" s="29"/>
      <c r="I82" s="29"/>
      <c r="J82" s="29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51"/>
      <c r="Z82" s="351"/>
      <c r="AA82" s="351"/>
    </row>
    <row r="83" spans="1:27" s="542" customFormat="1">
      <c r="A83" s="15">
        <v>40</v>
      </c>
      <c r="B83" s="334" t="s">
        <v>498</v>
      </c>
      <c r="C83" s="537" t="s">
        <v>111</v>
      </c>
      <c r="D83" s="538"/>
      <c r="E83" s="29"/>
      <c r="F83" s="29"/>
      <c r="G83" s="29"/>
      <c r="H83" s="29"/>
      <c r="I83" s="29"/>
      <c r="J83" s="29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51"/>
      <c r="Z83" s="351"/>
      <c r="AA83" s="351"/>
    </row>
    <row r="84" spans="1:27" s="542" customFormat="1">
      <c r="A84" s="15">
        <v>41</v>
      </c>
      <c r="B84" s="334" t="s">
        <v>499</v>
      </c>
      <c r="C84" s="537" t="s">
        <v>86</v>
      </c>
      <c r="D84" s="538"/>
      <c r="E84" s="29"/>
      <c r="F84" s="29"/>
      <c r="G84" s="29"/>
      <c r="H84" s="29"/>
      <c r="I84" s="29"/>
      <c r="J84" s="29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51"/>
      <c r="Z84" s="351"/>
      <c r="AA84" s="351"/>
    </row>
    <row r="85" spans="1:27" s="542" customFormat="1">
      <c r="A85" s="15">
        <v>42</v>
      </c>
      <c r="B85" s="334" t="s">
        <v>500</v>
      </c>
      <c r="C85" s="537" t="s">
        <v>136</v>
      </c>
      <c r="D85" s="538"/>
      <c r="E85" s="29"/>
      <c r="F85" s="29"/>
      <c r="G85" s="29"/>
      <c r="H85" s="29"/>
      <c r="I85" s="29"/>
      <c r="J85" s="29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51"/>
      <c r="Z85" s="351"/>
      <c r="AA85" s="351"/>
    </row>
    <row r="86" spans="1:27" s="542" customFormat="1">
      <c r="A86" s="15">
        <v>43</v>
      </c>
      <c r="B86" s="334" t="s">
        <v>501</v>
      </c>
      <c r="C86" s="537" t="s">
        <v>502</v>
      </c>
      <c r="D86" s="538"/>
      <c r="E86" s="29"/>
      <c r="F86" s="29"/>
      <c r="G86" s="29"/>
      <c r="H86" s="29"/>
      <c r="I86" s="29"/>
      <c r="J86" s="29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51"/>
      <c r="Z86" s="351"/>
      <c r="AA86" s="351"/>
    </row>
    <row r="87" spans="1:27" s="542" customFormat="1">
      <c r="A87" s="15"/>
      <c r="B87" s="334"/>
      <c r="C87" s="537"/>
      <c r="D87" s="538"/>
      <c r="E87" s="29"/>
      <c r="F87" s="29"/>
      <c r="G87" s="29"/>
      <c r="H87" s="29"/>
      <c r="I87" s="29"/>
      <c r="J87" s="29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51"/>
      <c r="V87" s="351"/>
      <c r="W87" s="351"/>
      <c r="X87" s="351"/>
      <c r="Y87" s="351"/>
      <c r="Z87" s="351"/>
      <c r="AA87" s="351"/>
    </row>
    <row r="88" spans="1:27" s="542" customFormat="1">
      <c r="A88" s="15"/>
      <c r="B88" s="334"/>
      <c r="C88" s="537"/>
      <c r="D88" s="538"/>
      <c r="E88" s="29"/>
      <c r="F88" s="29"/>
      <c r="G88" s="29"/>
      <c r="H88" s="29"/>
      <c r="I88" s="29"/>
      <c r="J88" s="29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51"/>
      <c r="V88" s="351"/>
      <c r="W88" s="351"/>
      <c r="X88" s="351"/>
      <c r="Y88" s="351"/>
      <c r="Z88" s="351"/>
      <c r="AA88" s="351"/>
    </row>
    <row r="89" spans="1:27" s="542" customFormat="1">
      <c r="A89" s="28"/>
      <c r="B89" s="334"/>
      <c r="C89" s="537"/>
      <c r="D89" s="538"/>
      <c r="E89" s="29"/>
      <c r="F89" s="29"/>
      <c r="G89" s="29"/>
      <c r="H89" s="29"/>
      <c r="I89" s="29"/>
      <c r="J89" s="29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51"/>
      <c r="V89" s="351"/>
      <c r="W89" s="351"/>
      <c r="X89" s="351"/>
      <c r="Y89" s="351"/>
      <c r="Z89" s="351"/>
      <c r="AA89" s="351"/>
    </row>
    <row r="90" spans="1:27" s="542" customFormat="1">
      <c r="A90" s="28"/>
      <c r="B90" s="334"/>
      <c r="C90" s="537"/>
      <c r="D90" s="538"/>
      <c r="E90" s="29"/>
      <c r="F90" s="29"/>
      <c r="G90" s="29"/>
      <c r="H90" s="29"/>
      <c r="I90" s="29"/>
      <c r="J90" s="29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51"/>
      <c r="V90" s="351"/>
      <c r="W90" s="351"/>
      <c r="X90" s="351"/>
      <c r="Y90" s="351"/>
      <c r="Z90" s="351"/>
      <c r="AA90" s="351"/>
    </row>
    <row r="91" spans="1:27" s="542" customFormat="1">
      <c r="A91" s="22"/>
      <c r="B91" s="345"/>
      <c r="C91" s="345"/>
      <c r="D91" s="352"/>
      <c r="E91" s="41"/>
      <c r="F91" s="41"/>
      <c r="G91" s="41"/>
      <c r="H91" s="41"/>
      <c r="I91" s="41"/>
      <c r="J91" s="41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353"/>
      <c r="V91" s="353"/>
      <c r="W91" s="353"/>
      <c r="X91" s="353"/>
      <c r="Y91" s="353"/>
      <c r="Z91" s="353"/>
      <c r="AA91" s="353"/>
    </row>
    <row r="92" spans="1:27">
      <c r="A92" s="539"/>
      <c r="B92" s="333"/>
      <c r="C92" s="333"/>
      <c r="D92" s="4"/>
      <c r="E92" s="4"/>
      <c r="F92" s="4"/>
      <c r="G92" s="4"/>
      <c r="H92" s="4"/>
      <c r="I92" s="4"/>
      <c r="J92" s="4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4"/>
      <c r="V92" s="4"/>
      <c r="W92" s="4"/>
      <c r="X92" s="4"/>
      <c r="Y92" s="4"/>
      <c r="Z92" s="4"/>
      <c r="AA92" s="4"/>
    </row>
    <row r="93" spans="1:27">
      <c r="A93" s="539"/>
      <c r="B93" s="333"/>
      <c r="C93" s="333"/>
      <c r="D93" s="4"/>
      <c r="E93" s="4"/>
      <c r="F93" s="4"/>
      <c r="G93" s="4"/>
      <c r="H93" s="4"/>
      <c r="I93" s="4"/>
      <c r="J93" s="4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4"/>
      <c r="V93" s="4"/>
      <c r="W93" s="4"/>
      <c r="X93" s="4"/>
      <c r="Y93" s="4"/>
      <c r="Z93" s="4"/>
      <c r="AA93" s="4"/>
    </row>
    <row r="94" spans="1:27">
      <c r="A94" s="539"/>
      <c r="B94" s="333"/>
      <c r="C94" s="333"/>
      <c r="D94" s="534"/>
      <c r="E94" s="4"/>
      <c r="F94" s="4"/>
      <c r="G94" s="4"/>
      <c r="H94" s="4"/>
      <c r="I94" s="4"/>
      <c r="J94" s="4"/>
      <c r="K94" s="30"/>
      <c r="L94" s="30"/>
      <c r="M94" s="30"/>
      <c r="N94" s="30"/>
      <c r="O94" s="30"/>
      <c r="P94" s="30"/>
      <c r="Q94" s="30"/>
      <c r="R94" s="30"/>
      <c r="S94" s="30"/>
      <c r="T94" s="30"/>
    </row>
    <row r="95" spans="1:27" s="1" customFormat="1" ht="19.5" customHeight="1">
      <c r="A95" s="5"/>
      <c r="B95" s="5"/>
      <c r="C95" s="338" t="s">
        <v>38</v>
      </c>
      <c r="D95" s="6"/>
      <c r="E95" s="7"/>
      <c r="F95" s="7"/>
      <c r="G95" s="7"/>
      <c r="H95" s="7"/>
      <c r="I95" s="7"/>
      <c r="J95" s="7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spans="1:27" s="540" customFormat="1" ht="15.75">
      <c r="A96" s="8" t="str">
        <f>A3</f>
        <v>XXXX</v>
      </c>
      <c r="B96" s="339"/>
      <c r="C96" s="343" t="str">
        <f>C3</f>
        <v>XXXX</v>
      </c>
      <c r="D96" s="24"/>
      <c r="E96" s="10"/>
      <c r="F96" s="10"/>
      <c r="G96" s="10"/>
      <c r="H96" s="10"/>
      <c r="I96" s="10"/>
      <c r="J96" s="10"/>
      <c r="K96" s="32"/>
      <c r="L96" s="32"/>
      <c r="M96" s="32"/>
      <c r="N96" s="32"/>
      <c r="O96" s="32"/>
      <c r="P96" s="32"/>
      <c r="Q96" s="32"/>
      <c r="R96" s="32"/>
      <c r="S96" s="32"/>
      <c r="T96" s="32"/>
    </row>
    <row r="97" spans="1:27" s="541" customFormat="1">
      <c r="A97" s="25" t="s">
        <v>386</v>
      </c>
      <c r="B97" s="344"/>
      <c r="C97" s="344" t="s">
        <v>129</v>
      </c>
      <c r="D97" s="26" t="str">
        <f>D5</f>
        <v>1Q17</v>
      </c>
      <c r="E97" s="26" t="str">
        <f t="shared" ref="E97:AA97" si="1">E5</f>
        <v>1H17</v>
      </c>
      <c r="F97" s="26" t="str">
        <f t="shared" si="1"/>
        <v>3Q17</v>
      </c>
      <c r="G97" s="26">
        <f t="shared" si="1"/>
        <v>2017</v>
      </c>
      <c r="H97" s="26" t="str">
        <f t="shared" si="1"/>
        <v>1Q18</v>
      </c>
      <c r="I97" s="26" t="str">
        <f t="shared" si="1"/>
        <v>1H18</v>
      </c>
      <c r="J97" s="26" t="str">
        <f t="shared" si="1"/>
        <v>3Q18</v>
      </c>
      <c r="K97" s="26">
        <f t="shared" si="1"/>
        <v>2018</v>
      </c>
      <c r="L97" s="26" t="str">
        <f t="shared" si="1"/>
        <v>1Q19</v>
      </c>
      <c r="M97" s="26" t="str">
        <f t="shared" si="1"/>
        <v>1H19</v>
      </c>
      <c r="N97" s="26" t="str">
        <f t="shared" si="1"/>
        <v>3Q19</v>
      </c>
      <c r="O97" s="26">
        <f t="shared" si="1"/>
        <v>2019</v>
      </c>
      <c r="P97" s="26" t="str">
        <f t="shared" si="1"/>
        <v>1Q20</v>
      </c>
      <c r="Q97" s="26" t="str">
        <f t="shared" si="1"/>
        <v>1H20</v>
      </c>
      <c r="R97" s="26" t="str">
        <f t="shared" si="1"/>
        <v>3Q20</v>
      </c>
      <c r="S97" s="26">
        <f t="shared" si="1"/>
        <v>2020</v>
      </c>
      <c r="T97" s="26" t="str">
        <f t="shared" si="1"/>
        <v>1Q21</v>
      </c>
      <c r="U97" s="26" t="str">
        <f t="shared" si="1"/>
        <v>1H21</v>
      </c>
      <c r="V97" s="26" t="str">
        <f t="shared" si="1"/>
        <v>3Q21</v>
      </c>
      <c r="W97" s="26">
        <f t="shared" si="1"/>
        <v>2021</v>
      </c>
      <c r="X97" s="26" t="str">
        <f t="shared" si="1"/>
        <v>1Q22</v>
      </c>
      <c r="Y97" s="26" t="str">
        <f t="shared" si="1"/>
        <v>1H22</v>
      </c>
      <c r="Z97" s="26" t="str">
        <f t="shared" si="1"/>
        <v>3Q22</v>
      </c>
      <c r="AA97" s="26">
        <f t="shared" si="1"/>
        <v>2022</v>
      </c>
    </row>
    <row r="98" spans="1:27" s="542" customFormat="1">
      <c r="A98" s="27">
        <v>1</v>
      </c>
      <c r="B98" s="60" t="s">
        <v>503</v>
      </c>
      <c r="C98" s="60" t="s">
        <v>73</v>
      </c>
      <c r="D98" s="19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51"/>
      <c r="Z98" s="351"/>
      <c r="AA98" s="351"/>
    </row>
    <row r="99" spans="1:27" s="542" customFormat="1">
      <c r="A99" s="27">
        <v>2</v>
      </c>
      <c r="B99" s="60" t="s">
        <v>504</v>
      </c>
      <c r="C99" s="60" t="s">
        <v>296</v>
      </c>
      <c r="D99" s="195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51"/>
      <c r="Z99" s="351"/>
      <c r="AA99" s="351"/>
    </row>
    <row r="100" spans="1:27" s="542" customFormat="1">
      <c r="A100" s="27">
        <v>3</v>
      </c>
      <c r="B100" s="60" t="s">
        <v>505</v>
      </c>
      <c r="C100" s="60" t="s">
        <v>105</v>
      </c>
      <c r="D100" s="195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51"/>
      <c r="Z100" s="351"/>
      <c r="AA100" s="351"/>
    </row>
    <row r="101" spans="1:27" s="542" customFormat="1">
      <c r="A101" s="27">
        <v>4</v>
      </c>
      <c r="B101" s="60" t="s">
        <v>506</v>
      </c>
      <c r="C101" s="60" t="s">
        <v>507</v>
      </c>
      <c r="D101" s="268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51"/>
      <c r="Z101" s="351"/>
      <c r="AA101" s="351"/>
    </row>
    <row r="102" spans="1:27" s="542" customFormat="1">
      <c r="A102" s="27">
        <v>5</v>
      </c>
      <c r="B102" s="60" t="s">
        <v>508</v>
      </c>
      <c r="C102" s="60" t="s">
        <v>306</v>
      </c>
      <c r="D102" s="268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51"/>
      <c r="Z102" s="351"/>
      <c r="AA102" s="351"/>
    </row>
    <row r="103" spans="1:27" s="542" customFormat="1">
      <c r="A103" s="27">
        <v>6</v>
      </c>
      <c r="B103" s="60" t="s">
        <v>509</v>
      </c>
      <c r="C103" s="60" t="s">
        <v>510</v>
      </c>
      <c r="D103" s="268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51"/>
      <c r="Z103" s="351"/>
      <c r="AA103" s="351"/>
    </row>
    <row r="104" spans="1:27" s="542" customFormat="1">
      <c r="A104" s="27">
        <v>7</v>
      </c>
      <c r="B104" s="60" t="s">
        <v>511</v>
      </c>
      <c r="C104" s="60" t="s">
        <v>142</v>
      </c>
      <c r="D104" s="268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51"/>
      <c r="Z104" s="351"/>
      <c r="AA104" s="351"/>
    </row>
    <row r="105" spans="1:27" s="542" customFormat="1">
      <c r="A105" s="27">
        <v>8</v>
      </c>
      <c r="B105" s="60" t="s">
        <v>512</v>
      </c>
      <c r="C105" s="60" t="s">
        <v>513</v>
      </c>
      <c r="D105" s="268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51"/>
      <c r="Z105" s="351"/>
      <c r="AA105" s="351"/>
    </row>
    <row r="106" spans="1:27" s="542" customFormat="1">
      <c r="A106" s="27">
        <v>9</v>
      </c>
      <c r="B106" s="60" t="s">
        <v>514</v>
      </c>
      <c r="C106" s="60" t="s">
        <v>515</v>
      </c>
      <c r="D106" s="268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51"/>
      <c r="Z106" s="351"/>
      <c r="AA106" s="351"/>
    </row>
    <row r="107" spans="1:27" s="542" customFormat="1">
      <c r="A107" s="27">
        <v>10</v>
      </c>
      <c r="B107" s="60" t="s">
        <v>516</v>
      </c>
      <c r="C107" s="60" t="s">
        <v>517</v>
      </c>
      <c r="D107" s="268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51"/>
      <c r="Z107" s="351"/>
      <c r="AA107" s="351"/>
    </row>
    <row r="108" spans="1:27" s="542" customFormat="1">
      <c r="A108" s="27">
        <v>11</v>
      </c>
      <c r="B108" s="60" t="s">
        <v>518</v>
      </c>
      <c r="C108" s="60" t="s">
        <v>312</v>
      </c>
      <c r="D108" s="195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51"/>
      <c r="Z108" s="351"/>
      <c r="AA108" s="351"/>
    </row>
    <row r="109" spans="1:27" s="542" customFormat="1">
      <c r="A109" s="27">
        <v>12</v>
      </c>
      <c r="B109" s="60" t="s">
        <v>519</v>
      </c>
      <c r="C109" s="334" t="s">
        <v>520</v>
      </c>
      <c r="D109" s="348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51"/>
      <c r="Z109" s="351"/>
      <c r="AA109" s="351"/>
    </row>
    <row r="110" spans="1:27" s="542" customFormat="1">
      <c r="A110" s="27">
        <v>13</v>
      </c>
      <c r="B110" s="60" t="s">
        <v>521</v>
      </c>
      <c r="C110" s="60" t="s">
        <v>522</v>
      </c>
      <c r="D110" s="195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51"/>
      <c r="Z110" s="351"/>
      <c r="AA110" s="351"/>
    </row>
    <row r="111" spans="1:27" s="542" customFormat="1">
      <c r="A111" s="27">
        <v>14</v>
      </c>
      <c r="B111" s="60" t="s">
        <v>523</v>
      </c>
      <c r="C111" s="60" t="s">
        <v>524</v>
      </c>
      <c r="D111" s="19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51"/>
      <c r="Z111" s="351"/>
      <c r="AA111" s="351"/>
    </row>
    <row r="112" spans="1:27" s="542" customFormat="1">
      <c r="A112" s="27">
        <v>15</v>
      </c>
      <c r="B112" s="60" t="s">
        <v>525</v>
      </c>
      <c r="C112" s="60" t="s">
        <v>526</v>
      </c>
      <c r="D112" s="195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51"/>
      <c r="Z112" s="351"/>
      <c r="AA112" s="351"/>
    </row>
    <row r="113" spans="1:31" s="542" customFormat="1">
      <c r="A113" s="27">
        <v>16</v>
      </c>
      <c r="B113" s="60" t="s">
        <v>527</v>
      </c>
      <c r="C113" s="60" t="s">
        <v>528</v>
      </c>
      <c r="D113" s="195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51"/>
      <c r="Z113" s="351"/>
      <c r="AA113" s="351"/>
    </row>
    <row r="114" spans="1:31" s="542" customFormat="1">
      <c r="A114" s="27">
        <v>17</v>
      </c>
      <c r="B114" s="60" t="s">
        <v>529</v>
      </c>
      <c r="C114" s="60" t="s">
        <v>530</v>
      </c>
      <c r="D114" s="195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51"/>
      <c r="Z114" s="351"/>
      <c r="AA114" s="351"/>
    </row>
    <row r="115" spans="1:31" s="542" customFormat="1">
      <c r="A115" s="27">
        <v>18</v>
      </c>
      <c r="B115" s="60" t="s">
        <v>531</v>
      </c>
      <c r="C115" s="60" t="s">
        <v>532</v>
      </c>
      <c r="D115" s="195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51"/>
      <c r="Z115" s="351"/>
      <c r="AA115" s="351"/>
    </row>
    <row r="116" spans="1:31" s="542" customFormat="1">
      <c r="A116" s="27">
        <v>19</v>
      </c>
      <c r="B116" s="60" t="s">
        <v>533</v>
      </c>
      <c r="C116" s="60" t="s">
        <v>237</v>
      </c>
      <c r="D116" s="19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51"/>
      <c r="Z116" s="351"/>
      <c r="AA116" s="351"/>
    </row>
    <row r="117" spans="1:31" s="542" customFormat="1">
      <c r="A117" s="27">
        <v>20</v>
      </c>
      <c r="B117" s="60" t="s">
        <v>534</v>
      </c>
      <c r="C117" s="60" t="s">
        <v>535</v>
      </c>
      <c r="D117" s="195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51"/>
      <c r="Z117" s="351"/>
      <c r="AA117" s="351"/>
    </row>
    <row r="118" spans="1:31" s="542" customFormat="1">
      <c r="A118" s="27">
        <v>21</v>
      </c>
      <c r="B118" s="60" t="s">
        <v>536</v>
      </c>
      <c r="C118" s="60" t="s">
        <v>314</v>
      </c>
      <c r="D118" s="19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51"/>
      <c r="Z118" s="351"/>
      <c r="AA118" s="351"/>
    </row>
    <row r="119" spans="1:31" s="542" customFormat="1">
      <c r="A119" s="27">
        <v>22</v>
      </c>
      <c r="B119" s="60" t="s">
        <v>537</v>
      </c>
      <c r="C119" s="60" t="s">
        <v>232</v>
      </c>
      <c r="D119" s="195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51"/>
      <c r="Z119" s="351"/>
      <c r="AA119" s="351"/>
    </row>
    <row r="120" spans="1:31" s="542" customFormat="1">
      <c r="A120" s="27">
        <v>23</v>
      </c>
      <c r="B120" s="60" t="s">
        <v>538</v>
      </c>
      <c r="C120" s="60" t="s">
        <v>315</v>
      </c>
      <c r="D120" s="19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51"/>
      <c r="Z120" s="351"/>
      <c r="AA120" s="351"/>
    </row>
    <row r="121" spans="1:31" s="542" customFormat="1">
      <c r="A121" s="27"/>
      <c r="B121" s="60"/>
      <c r="C121" s="60"/>
      <c r="D121" s="19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51"/>
      <c r="V121" s="351"/>
      <c r="W121" s="351"/>
      <c r="X121" s="351"/>
      <c r="Y121" s="351"/>
      <c r="Z121" s="351"/>
      <c r="AA121" s="351"/>
    </row>
    <row r="122" spans="1:31" s="542" customFormat="1">
      <c r="A122" s="27"/>
      <c r="B122" s="60"/>
      <c r="C122" s="60"/>
      <c r="D122" s="19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51"/>
      <c r="V122" s="351"/>
      <c r="W122" s="351"/>
      <c r="X122" s="351"/>
      <c r="Y122" s="351"/>
      <c r="Z122" s="351"/>
      <c r="AA122" s="351"/>
    </row>
    <row r="123" spans="1:31" s="542" customFormat="1">
      <c r="A123" s="16"/>
      <c r="B123" s="60"/>
      <c r="C123" s="60"/>
      <c r="D123" s="19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51"/>
      <c r="V123" s="351"/>
      <c r="W123" s="351"/>
      <c r="X123" s="351"/>
      <c r="Y123" s="351"/>
      <c r="Z123" s="351"/>
      <c r="AA123" s="351"/>
    </row>
    <row r="124" spans="1:31" s="542" customFormat="1">
      <c r="A124" s="16"/>
      <c r="B124" s="60"/>
      <c r="C124" s="60"/>
      <c r="D124" s="19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51"/>
      <c r="V124" s="351"/>
      <c r="W124" s="351"/>
      <c r="X124" s="351"/>
      <c r="Y124" s="351"/>
      <c r="Z124" s="351"/>
      <c r="AA124" s="351"/>
    </row>
    <row r="125" spans="1:31" s="1" customFormat="1" ht="19.5" customHeight="1">
      <c r="A125" s="5"/>
      <c r="B125" s="5"/>
      <c r="C125" s="338"/>
      <c r="D125" s="6"/>
      <c r="E125" s="7"/>
      <c r="F125" s="7"/>
      <c r="G125" s="7"/>
      <c r="H125" s="7"/>
      <c r="I125" s="7"/>
      <c r="J125" s="7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</row>
    <row r="126" spans="1:31" s="540" customFormat="1" ht="15.75">
      <c r="A126" s="8" t="str">
        <f>A3</f>
        <v>XXXX</v>
      </c>
      <c r="B126" s="339"/>
      <c r="C126" s="346" t="str">
        <f>C3</f>
        <v>XXXX</v>
      </c>
      <c r="D126" s="24"/>
      <c r="E126" s="10"/>
      <c r="F126" s="10"/>
      <c r="G126" s="10"/>
      <c r="H126" s="10"/>
      <c r="I126" s="10"/>
      <c r="J126" s="10"/>
      <c r="K126" s="32"/>
      <c r="L126" s="32"/>
      <c r="M126" s="32"/>
      <c r="N126" s="32"/>
      <c r="O126" s="32"/>
      <c r="P126" s="32"/>
      <c r="Q126" s="32"/>
      <c r="R126" s="32"/>
      <c r="S126" s="32"/>
      <c r="T126" s="32"/>
    </row>
    <row r="127" spans="1:31" s="541" customFormat="1" ht="18" thickBot="1">
      <c r="A127" s="25" t="s">
        <v>386</v>
      </c>
      <c r="B127" s="344"/>
      <c r="C127" s="344" t="s">
        <v>129</v>
      </c>
      <c r="D127" s="26" t="str">
        <f>D5</f>
        <v>1Q17</v>
      </c>
      <c r="E127" s="26" t="str">
        <f t="shared" ref="E127:AA127" si="2">E5</f>
        <v>1H17</v>
      </c>
      <c r="F127" s="26" t="str">
        <f t="shared" si="2"/>
        <v>3Q17</v>
      </c>
      <c r="G127" s="26">
        <f t="shared" si="2"/>
        <v>2017</v>
      </c>
      <c r="H127" s="26" t="str">
        <f t="shared" si="2"/>
        <v>1Q18</v>
      </c>
      <c r="I127" s="26" t="str">
        <f t="shared" si="2"/>
        <v>1H18</v>
      </c>
      <c r="J127" s="26" t="str">
        <f t="shared" si="2"/>
        <v>3Q18</v>
      </c>
      <c r="K127" s="26">
        <f t="shared" si="2"/>
        <v>2018</v>
      </c>
      <c r="L127" s="26" t="str">
        <f t="shared" si="2"/>
        <v>1Q19</v>
      </c>
      <c r="M127" s="26" t="str">
        <f t="shared" si="2"/>
        <v>1H19</v>
      </c>
      <c r="N127" s="26" t="str">
        <f t="shared" si="2"/>
        <v>3Q19</v>
      </c>
      <c r="O127" s="26">
        <f t="shared" si="2"/>
        <v>2019</v>
      </c>
      <c r="P127" s="26" t="str">
        <f t="shared" si="2"/>
        <v>1Q20</v>
      </c>
      <c r="Q127" s="26" t="str">
        <f t="shared" si="2"/>
        <v>1H20</v>
      </c>
      <c r="R127" s="26" t="str">
        <f t="shared" si="2"/>
        <v>3Q20</v>
      </c>
      <c r="S127" s="26">
        <f t="shared" si="2"/>
        <v>2020</v>
      </c>
      <c r="T127" s="26" t="str">
        <f t="shared" si="2"/>
        <v>1Q21</v>
      </c>
      <c r="U127" s="26" t="str">
        <f t="shared" si="2"/>
        <v>1H21</v>
      </c>
      <c r="V127" s="26" t="str">
        <f t="shared" si="2"/>
        <v>3Q21</v>
      </c>
      <c r="W127" s="26">
        <f t="shared" si="2"/>
        <v>2021</v>
      </c>
      <c r="X127" s="26" t="str">
        <f t="shared" si="2"/>
        <v>1Q22</v>
      </c>
      <c r="Y127" s="26" t="str">
        <f t="shared" si="2"/>
        <v>1H22</v>
      </c>
      <c r="Z127" s="26" t="str">
        <f t="shared" si="2"/>
        <v>3Q22</v>
      </c>
      <c r="AA127" s="26">
        <f t="shared" si="2"/>
        <v>2022</v>
      </c>
      <c r="AB127" s="26" t="str">
        <f>"1Q"&amp;RIGHT(AA127+1,2)</f>
        <v>1Q23</v>
      </c>
      <c r="AC127" s="26" t="str">
        <f>"1H"&amp;RIGHT(AA127+1,2)</f>
        <v>1H23</v>
      </c>
      <c r="AD127" s="26" t="str">
        <f>"3Q"&amp;RIGHT(AA127+1,2)</f>
        <v>3Q23</v>
      </c>
      <c r="AE127" s="26">
        <f>AA127+1</f>
        <v>2023</v>
      </c>
    </row>
    <row r="128" spans="1:31">
      <c r="A128" s="264">
        <v>1</v>
      </c>
      <c r="B128" s="60" t="s">
        <v>543</v>
      </c>
      <c r="C128" s="60" t="s">
        <v>365</v>
      </c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5"/>
      <c r="Y128" s="543"/>
      <c r="Z128" s="543"/>
      <c r="AA128" s="543"/>
      <c r="AB128" s="543"/>
      <c r="AC128" s="543"/>
      <c r="AD128" s="543"/>
      <c r="AE128" s="543"/>
    </row>
    <row r="129" spans="1:31">
      <c r="A129" s="264">
        <v>2</v>
      </c>
      <c r="B129" s="60" t="s">
        <v>544</v>
      </c>
      <c r="C129" s="60" t="s">
        <v>131</v>
      </c>
      <c r="D129" s="20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543"/>
      <c r="Z129" s="543"/>
      <c r="AA129" s="543"/>
      <c r="AB129" s="543"/>
      <c r="AC129" s="543"/>
      <c r="AD129" s="543"/>
      <c r="AE129" s="543"/>
    </row>
    <row r="130" spans="1:31">
      <c r="A130" s="264">
        <v>3</v>
      </c>
      <c r="B130" s="60" t="s">
        <v>545</v>
      </c>
      <c r="C130" s="60" t="s">
        <v>46</v>
      </c>
      <c r="D130" s="20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543"/>
      <c r="V130" s="543"/>
      <c r="W130" s="543"/>
      <c r="X130" s="543"/>
      <c r="Y130" s="543"/>
      <c r="Z130" s="543"/>
      <c r="AA130" s="543"/>
      <c r="AB130" s="543"/>
      <c r="AC130" s="543"/>
      <c r="AD130" s="543"/>
      <c r="AE130" s="543"/>
    </row>
    <row r="131" spans="1:31">
      <c r="A131" s="264">
        <v>4</v>
      </c>
      <c r="B131" s="60" t="s">
        <v>546</v>
      </c>
      <c r="C131" s="60" t="s">
        <v>143</v>
      </c>
      <c r="D131" s="20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543"/>
      <c r="V131" s="543"/>
      <c r="W131" s="543"/>
      <c r="X131" s="543"/>
      <c r="Y131" s="543"/>
      <c r="Z131" s="543"/>
      <c r="AA131" s="543"/>
      <c r="AB131" s="543"/>
      <c r="AC131" s="543"/>
      <c r="AD131" s="543"/>
      <c r="AE131" s="543"/>
    </row>
    <row r="132" spans="1:31">
      <c r="A132" s="15"/>
      <c r="B132" s="333"/>
      <c r="C132" s="333"/>
      <c r="D132" s="46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</row>
    <row r="133" spans="1:31">
      <c r="A133" s="22"/>
      <c r="B133" s="345"/>
      <c r="C133" s="345"/>
      <c r="D133" s="48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</row>
  </sheetData>
  <phoneticPr fontId="93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D041-4EC5-4126-95B8-8289BCE6BF27}">
  <dimension ref="A1"/>
  <sheetViews>
    <sheetView workbookViewId="0"/>
  </sheetViews>
  <sheetFormatPr defaultRowHeight="14.25"/>
  <sheetData>
    <row r="1" spans="1:1">
      <c r="A1" t="b">
        <v>0</v>
      </c>
    </row>
  </sheetData>
  <phoneticPr fontId="9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3" master=""/>
  <rangeList sheetStid="84" master=""/>
  <rangeList sheetStid="85" master=""/>
  <rangeList sheetStid="86" master=""/>
  <rangeList sheetStid="87" master=""/>
  <rangeList sheetStid="88" master=""/>
  <rangeList sheetStid="89" master=""/>
  <rangeList sheetStid="90" master=""/>
  <rangeList sheetStid="91" master=""/>
  <rangeList sheetStid="92" master=""/>
  <rangeList sheetStid="93" master=""/>
  <rangeList sheetStid="94" master=""/>
  <rangeList sheetStid="95" master=""/>
  <rangeList sheetStid="96" master=""/>
  <rangeList sheetStid="55" master=""/>
  <rangeList sheetStid="56" master="">
    <arrUserId title="区域66_1_1" rangeCreator="" othersAccessPermission="edit"/>
    <arrUserId title="区域65_1_1" rangeCreator="" othersAccessPermission="edit"/>
    <arrUserId title="区域60_1_1" rangeCreator="" othersAccessPermission="edit"/>
    <arrUserId title="区域59_1_1" rangeCreator="" othersAccessPermission="edit"/>
    <arrUserId title="区域58_1_1" rangeCreator="" othersAccessPermission="edit"/>
    <arrUserId title="区域56_1_1" rangeCreator="" othersAccessPermission="edit"/>
    <arrUserId title="区域35_1_1" rangeCreator="" othersAccessPermission="edit"/>
    <arrUserId title="区域34_1_1" rangeCreator="" othersAccessPermission="edit"/>
    <arrUserId title="区域29_1_1" rangeCreator="" othersAccessPermission="edit"/>
    <arrUserId title="区域28_1_1" rangeCreator="" othersAccessPermission="edit"/>
    <arrUserId title="区域27_1_1" rangeCreator="" othersAccessPermission="edit"/>
    <arrUserId title="区域25_1_2" rangeCreator="" othersAccessPermission="edit"/>
    <arrUserId title="区域22_1_1" rangeCreator="" othersAccessPermission="edit"/>
    <arrUserId title="区域16_1_2" rangeCreator="" othersAccessPermission="edit"/>
    <arrUserId title="区域13_1_1" rangeCreator="" othersAccessPermission="edit"/>
    <arrUserId title="区域1_1" rangeCreator="" othersAccessPermission="edit"/>
    <arrUserId title="区域3_1_1" rangeCreator="" othersAccessPermission="edit"/>
  </rangeList>
  <rangeList sheetStid="59" master=""/>
  <rangeList sheetStid="69" master=""/>
  <rangeList sheetStid="53" master=""/>
  <rangeList sheetStid="57" master=""/>
  <rangeList sheetStid="54" master=""/>
  <rangeList sheetStid="70" master=""/>
  <rangeList sheetStid="52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目录</vt:lpstr>
      <vt:lpstr>销售预测</vt:lpstr>
      <vt:lpstr>资产预测</vt:lpstr>
      <vt:lpstr>主要财务摘要</vt:lpstr>
      <vt:lpstr>报表摘要</vt:lpstr>
      <vt:lpstr>资产负债表</vt:lpstr>
      <vt:lpstr>利润表</vt:lpstr>
      <vt:lpstr>现金流量表</vt:lpstr>
      <vt:lpstr>估值</vt:lpstr>
      <vt:lpstr>财务基础数据</vt:lpstr>
      <vt:lpstr>excel_is_refresh_sheet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赵亮</dc:creator>
  <cp:lastModifiedBy>Sinitek</cp:lastModifiedBy>
  <cp:revision>1</cp:revision>
  <dcterms:created xsi:type="dcterms:W3CDTF">2007-10-16T01:41:00Z</dcterms:created>
  <dcterms:modified xsi:type="dcterms:W3CDTF">2025-03-27T06:13:38Z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Type">
    <vt:lpwstr>1</vt:lpwstr>
  </property>
  <property fmtid="{D5CDD505-2E9C-101B-9397-08002B2CF9AE}" pid="3" name="ModelVersion">
    <vt:lpwstr>1.1.0.4</vt:lpwstr>
  </property>
  <property fmtid="{D5CDD505-2E9C-101B-9397-08002B2CF9AE}" pid="4" name="ShowHidden">
    <vt:lpwstr>1</vt:lpwstr>
  </property>
</Properties>
</file>