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updateLinks="never"/>
  <mc:AlternateContent xmlns:mc="http://schemas.openxmlformats.org/markup-compatibility/2006">
    <mc:Choice Requires="x15">
      <x15ac:absPath xmlns:x15ac="http://schemas.microsoft.com/office/spreadsheetml/2010/11/ac" url="E:\桌面\新建文件夹\"/>
    </mc:Choice>
  </mc:AlternateContent>
  <xr:revisionPtr revIDLastSave="0" documentId="13_ncr:1_{76DB6D41-3903-453E-B73C-7BA3CEFEAD89}" xr6:coauthVersionLast="47" xr6:coauthVersionMax="47" xr10:uidLastSave="{00000000-0000-0000-0000-000000000000}"/>
  <bookViews>
    <workbookView xWindow="-120" yWindow="-120" windowWidth="29040" windowHeight="15840" tabRatio="859" xr2:uid="{00000000-000D-0000-FFFF-FFFF00000000}"/>
  </bookViews>
  <sheets>
    <sheet name="目录" sheetId="33" r:id="rId1"/>
    <sheet name="公司经营数据" sheetId="104" r:id="rId2"/>
    <sheet name="销售预测" sheetId="1" r:id="rId3"/>
    <sheet name="资产预测" sheetId="2" r:id="rId4"/>
    <sheet name="投资与减值" sheetId="92" r:id="rId5"/>
    <sheet name="主要财务摘要" sheetId="7" r:id="rId6"/>
    <sheet name="报表摘要" sheetId="8" r:id="rId7"/>
    <sheet name="资产负债表" sheetId="10" r:id="rId8"/>
    <sheet name="利润表" sheetId="11" r:id="rId9"/>
    <sheet name="现金流量表" sheetId="12" r:id="rId10"/>
    <sheet name="财务分析" sheetId="53" r:id="rId11"/>
    <sheet name="参数计算" sheetId="107" r:id="rId12"/>
    <sheet name="估值" sheetId="95" r:id="rId13"/>
    <sheet name="同业分析" sheetId="102" r:id="rId14"/>
    <sheet name="盈利敏感性分析" sheetId="101" r:id="rId15"/>
    <sheet name="单季度利润表" sheetId="103" r:id="rId16"/>
    <sheet name="财务基础数据" sheetId="9" r:id="rId17"/>
    <sheet name="财务附注数据" sheetId="55" r:id="rId18"/>
  </sheets>
  <definedNames>
    <definedName name="_xlnm._FilterDatabase" localSheetId="13" hidden="1">同业分析!$A$1:$AD$2</definedName>
    <definedName name="solver_adj" localSheetId="3" hidden="1">资产预测!#REF!</definedName>
    <definedName name="solver_cvg" localSheetId="3" hidden="1">0.0001</definedName>
    <definedName name="solver_drv" localSheetId="3" hidden="1">1</definedName>
    <definedName name="solver_est" localSheetId="3" hidden="1">1</definedName>
    <definedName name="solver_itr" localSheetId="3" hidden="1">100</definedName>
    <definedName name="solver_lin" localSheetId="3" hidden="1">2</definedName>
    <definedName name="solver_neg" localSheetId="3" hidden="1">2</definedName>
    <definedName name="solver_num" localSheetId="3" hidden="1">0</definedName>
    <definedName name="solver_nwt" localSheetId="3" hidden="1">1</definedName>
    <definedName name="solver_opt" localSheetId="3" hidden="1">资产预测!#REF!</definedName>
    <definedName name="solver_pre" localSheetId="3" hidden="1">0.000001</definedName>
    <definedName name="solver_scl" localSheetId="3" hidden="1">2</definedName>
    <definedName name="solver_sho" localSheetId="3" hidden="1">2</definedName>
    <definedName name="solver_tim" localSheetId="3" hidden="1">100</definedName>
    <definedName name="solver_tol" localSheetId="3" hidden="1">0.05</definedName>
    <definedName name="solver_typ" localSheetId="3" hidden="1">2</definedName>
    <definedName name="solver_val" localSheetId="3" hidden="1">0</definedName>
  </definedNames>
  <calcPr calcId="181029" iterate="1" concurrentCalc="0"/>
</workbook>
</file>

<file path=xl/calcChain.xml><?xml version="1.0" encoding="utf-8"?>
<calcChain xmlns="http://schemas.openxmlformats.org/spreadsheetml/2006/main">
  <c r="AG25" i="10" l="1"/>
  <c r="H102" i="2"/>
  <c r="L102" i="2"/>
  <c r="M102" i="2"/>
  <c r="N102" i="2"/>
  <c r="O102" i="2"/>
  <c r="P102" i="2"/>
  <c r="Q102" i="2"/>
  <c r="R102" i="2"/>
  <c r="S102" i="2"/>
  <c r="T102" i="2"/>
  <c r="U102" i="2"/>
  <c r="AT25" i="10"/>
  <c r="AS25" i="10"/>
  <c r="AR25" i="10"/>
  <c r="AQ25" i="10"/>
  <c r="AP25" i="10"/>
  <c r="AO25" i="10"/>
  <c r="AN25" i="10"/>
  <c r="AM25" i="10"/>
  <c r="AL25" i="10"/>
  <c r="AK25" i="10"/>
  <c r="A2" i="104"/>
  <c r="J110" i="92"/>
  <c r="H110" i="92"/>
  <c r="G110" i="92"/>
  <c r="F110" i="92"/>
  <c r="K112" i="2"/>
  <c r="J112" i="2"/>
  <c r="I112" i="2"/>
  <c r="AL40" i="12"/>
  <c r="AM40" i="12"/>
  <c r="AN40" i="12"/>
  <c r="AO40" i="12"/>
  <c r="AP40" i="12"/>
  <c r="AQ40" i="12"/>
  <c r="AR40" i="12"/>
  <c r="AS40" i="12"/>
  <c r="AT40" i="12"/>
  <c r="AK40" i="12"/>
  <c r="W21" i="103"/>
  <c r="W16" i="103"/>
  <c r="AP324" i="9"/>
  <c r="AO324" i="9"/>
  <c r="AN324" i="9"/>
  <c r="AM324" i="9"/>
  <c r="AL324" i="9"/>
  <c r="AK324" i="9"/>
  <c r="AJ324" i="9"/>
  <c r="AI324" i="9"/>
  <c r="AH324" i="9"/>
  <c r="AG324" i="9"/>
  <c r="AF324" i="9"/>
  <c r="AE324" i="9"/>
  <c r="AD324" i="9"/>
  <c r="AC324" i="9"/>
  <c r="AB324" i="9"/>
  <c r="AA324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N324" i="9"/>
  <c r="M324" i="9"/>
  <c r="L324" i="9"/>
  <c r="K324" i="9"/>
  <c r="J324" i="9"/>
  <c r="I324" i="9"/>
  <c r="H324" i="9"/>
  <c r="G324" i="9"/>
  <c r="AP289" i="9"/>
  <c r="AO289" i="9"/>
  <c r="AN289" i="9"/>
  <c r="AM289" i="9"/>
  <c r="AL289" i="9"/>
  <c r="AK289" i="9"/>
  <c r="AJ289" i="9"/>
  <c r="AI289" i="9"/>
  <c r="AH289" i="9"/>
  <c r="AG289" i="9"/>
  <c r="AF289" i="9"/>
  <c r="AE289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O289" i="9"/>
  <c r="N289" i="9"/>
  <c r="M289" i="9"/>
  <c r="L289" i="9"/>
  <c r="K289" i="9"/>
  <c r="J289" i="9"/>
  <c r="I289" i="9"/>
  <c r="H289" i="9"/>
  <c r="G289" i="9"/>
  <c r="AP178" i="9"/>
  <c r="AO178" i="9"/>
  <c r="AN178" i="9"/>
  <c r="AM178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C177" i="9"/>
  <c r="A177" i="9"/>
  <c r="A129" i="9"/>
  <c r="A130" i="9"/>
  <c r="A131" i="9"/>
  <c r="A132" i="9"/>
  <c r="A133" i="9"/>
  <c r="A126" i="9"/>
  <c r="A127" i="9"/>
  <c r="A124" i="9"/>
  <c r="A120" i="9"/>
  <c r="A117" i="9"/>
  <c r="A118" i="9"/>
  <c r="A107" i="9"/>
  <c r="A108" i="9"/>
  <c r="A109" i="9"/>
  <c r="A110" i="9"/>
  <c r="A111" i="9"/>
  <c r="A112" i="9"/>
  <c r="A113" i="9"/>
  <c r="A114" i="9"/>
  <c r="A115" i="9"/>
  <c r="A103" i="9"/>
  <c r="A94" i="9"/>
  <c r="A95" i="9"/>
  <c r="A96" i="9"/>
  <c r="A97" i="9"/>
  <c r="A98" i="9"/>
  <c r="A99" i="9"/>
  <c r="A100" i="9"/>
  <c r="A101" i="9"/>
  <c r="A91" i="9"/>
  <c r="A88" i="9"/>
  <c r="A89" i="9"/>
  <c r="A84" i="9"/>
  <c r="A80" i="9"/>
  <c r="A77" i="9"/>
  <c r="A72" i="9"/>
  <c r="A73" i="9"/>
  <c r="A74" i="9"/>
  <c r="A68" i="9"/>
  <c r="A66" i="9"/>
  <c r="A64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C61" i="9"/>
  <c r="A61" i="9"/>
  <c r="AD28" i="103"/>
  <c r="AC28" i="103"/>
  <c r="AB28" i="103"/>
  <c r="AA28" i="103"/>
  <c r="Z28" i="103"/>
  <c r="Y28" i="103"/>
  <c r="X28" i="103"/>
  <c r="W28" i="103"/>
  <c r="V28" i="103"/>
  <c r="AD27" i="103"/>
  <c r="AC27" i="103"/>
  <c r="AB27" i="103"/>
  <c r="AA27" i="103"/>
  <c r="Z27" i="103"/>
  <c r="Y27" i="103"/>
  <c r="X27" i="103"/>
  <c r="W27" i="103"/>
  <c r="V27" i="103"/>
  <c r="AD24" i="103"/>
  <c r="AC24" i="103"/>
  <c r="AB24" i="103"/>
  <c r="AA24" i="103"/>
  <c r="Z24" i="103"/>
  <c r="Y24" i="103"/>
  <c r="X24" i="103"/>
  <c r="W24" i="103"/>
  <c r="V24" i="103"/>
  <c r="AD23" i="103"/>
  <c r="AD25" i="103"/>
  <c r="AC23" i="103"/>
  <c r="AC25" i="103"/>
  <c r="AB23" i="103"/>
  <c r="AB25" i="103"/>
  <c r="AA23" i="103"/>
  <c r="AA25" i="103"/>
  <c r="Z23" i="103"/>
  <c r="Z25" i="103"/>
  <c r="Y23" i="103"/>
  <c r="Y25" i="103"/>
  <c r="X23" i="103"/>
  <c r="X25" i="103"/>
  <c r="W23" i="103"/>
  <c r="W25" i="103"/>
  <c r="V23" i="103"/>
  <c r="V25" i="103"/>
  <c r="AD21" i="103"/>
  <c r="AC21" i="103"/>
  <c r="AB21" i="103"/>
  <c r="AA21" i="103"/>
  <c r="Z21" i="103"/>
  <c r="Y21" i="103"/>
  <c r="X21" i="103"/>
  <c r="AD16" i="103"/>
  <c r="AC16" i="103"/>
  <c r="AB16" i="103"/>
  <c r="AA16" i="103"/>
  <c r="Z16" i="103"/>
  <c r="Y16" i="103"/>
  <c r="X16" i="103"/>
  <c r="AD8" i="103"/>
  <c r="AC8" i="103"/>
  <c r="AB8" i="103"/>
  <c r="AA8" i="103"/>
  <c r="Z8" i="103"/>
  <c r="Y8" i="103"/>
  <c r="X8" i="103"/>
  <c r="W8" i="103"/>
  <c r="V8" i="103"/>
  <c r="AD7" i="103"/>
  <c r="AC7" i="103"/>
  <c r="AB7" i="103"/>
  <c r="AA7" i="103"/>
  <c r="Z7" i="103"/>
  <c r="Y7" i="103"/>
  <c r="X7" i="103"/>
  <c r="W7" i="103"/>
  <c r="V7" i="103"/>
  <c r="AD5" i="103"/>
  <c r="AC5" i="103"/>
  <c r="AB5" i="103"/>
  <c r="AA5" i="103"/>
  <c r="Z5" i="103"/>
  <c r="Y5" i="103"/>
  <c r="X5" i="103"/>
  <c r="W5" i="103"/>
  <c r="V5" i="103"/>
  <c r="AD4" i="103"/>
  <c r="AC4" i="103"/>
  <c r="AB4" i="103"/>
  <c r="AA4" i="103"/>
  <c r="Z4" i="103"/>
  <c r="Y4" i="103"/>
  <c r="X4" i="103"/>
  <c r="W4" i="103"/>
  <c r="V4" i="103"/>
  <c r="Q78" i="101"/>
  <c r="R78" i="101"/>
  <c r="S78" i="101"/>
  <c r="O78" i="101"/>
  <c r="N78" i="101"/>
  <c r="M78" i="101"/>
  <c r="G78" i="101"/>
  <c r="H78" i="101"/>
  <c r="I78" i="101"/>
  <c r="E78" i="101"/>
  <c r="D78" i="101"/>
  <c r="C78" i="101"/>
  <c r="I54" i="101"/>
  <c r="H54" i="101"/>
  <c r="F54" i="101"/>
  <c r="E54" i="101"/>
  <c r="I42" i="101"/>
  <c r="H42" i="101"/>
  <c r="F42" i="101"/>
  <c r="E42" i="101"/>
  <c r="C42" i="101"/>
  <c r="B42" i="101"/>
  <c r="I41" i="101"/>
  <c r="H41" i="101"/>
  <c r="F41" i="101"/>
  <c r="E41" i="101"/>
  <c r="I36" i="101"/>
  <c r="H36" i="101"/>
  <c r="F36" i="101"/>
  <c r="E36" i="101"/>
  <c r="G229" i="95"/>
  <c r="F229" i="95"/>
  <c r="E229" i="95"/>
  <c r="D229" i="95"/>
  <c r="C229" i="95"/>
  <c r="G218" i="95"/>
  <c r="F218" i="95"/>
  <c r="E218" i="95"/>
  <c r="D218" i="95"/>
  <c r="C218" i="95"/>
  <c r="G207" i="95"/>
  <c r="F207" i="95"/>
  <c r="E207" i="95"/>
  <c r="D207" i="95"/>
  <c r="C207" i="95"/>
  <c r="G196" i="95"/>
  <c r="F196" i="95"/>
  <c r="E196" i="95"/>
  <c r="D196" i="95"/>
  <c r="C196" i="95"/>
  <c r="G193" i="95"/>
  <c r="G190" i="95"/>
  <c r="F190" i="95"/>
  <c r="E190" i="95"/>
  <c r="D190" i="95"/>
  <c r="C190" i="95"/>
  <c r="B190" i="95"/>
  <c r="G189" i="95"/>
  <c r="F189" i="95"/>
  <c r="E189" i="95"/>
  <c r="D189" i="95"/>
  <c r="C189" i="95"/>
  <c r="B189" i="95"/>
  <c r="A189" i="95"/>
  <c r="B174" i="95"/>
  <c r="B168" i="95"/>
  <c r="L165" i="95"/>
  <c r="K165" i="95"/>
  <c r="J165" i="95"/>
  <c r="I165" i="95"/>
  <c r="H165" i="95"/>
  <c r="G165" i="95"/>
  <c r="F165" i="95"/>
  <c r="E165" i="95"/>
  <c r="D165" i="95"/>
  <c r="C165" i="95"/>
  <c r="B165" i="95"/>
  <c r="B137" i="95"/>
  <c r="B138" i="95"/>
  <c r="B128" i="95"/>
  <c r="B125" i="95"/>
  <c r="L119" i="95"/>
  <c r="K119" i="95"/>
  <c r="J119" i="95"/>
  <c r="I119" i="95"/>
  <c r="H119" i="95"/>
  <c r="G119" i="95"/>
  <c r="F119" i="95"/>
  <c r="E119" i="95"/>
  <c r="D119" i="95"/>
  <c r="C119" i="95"/>
  <c r="B119" i="95"/>
  <c r="B95" i="95"/>
  <c r="B94" i="95"/>
  <c r="B86" i="95"/>
  <c r="B83" i="95"/>
  <c r="L80" i="95"/>
  <c r="K80" i="95"/>
  <c r="J80" i="95"/>
  <c r="I80" i="95"/>
  <c r="H80" i="95"/>
  <c r="G80" i="95"/>
  <c r="F80" i="95"/>
  <c r="E80" i="95"/>
  <c r="D80" i="95"/>
  <c r="C80" i="95"/>
  <c r="B80" i="95"/>
  <c r="L75" i="95"/>
  <c r="K75" i="95"/>
  <c r="J75" i="95"/>
  <c r="I75" i="95"/>
  <c r="H75" i="95"/>
  <c r="G75" i="95"/>
  <c r="F75" i="95"/>
  <c r="E75" i="95"/>
  <c r="D75" i="95"/>
  <c r="C75" i="95"/>
  <c r="B50" i="95"/>
  <c r="B49" i="95"/>
  <c r="B57" i="95"/>
  <c r="B41" i="95"/>
  <c r="B34" i="95"/>
  <c r="L31" i="95"/>
  <c r="K31" i="95"/>
  <c r="J31" i="95"/>
  <c r="I31" i="95"/>
  <c r="H31" i="95"/>
  <c r="G31" i="95"/>
  <c r="F31" i="95"/>
  <c r="E31" i="95"/>
  <c r="D31" i="95"/>
  <c r="C31" i="95"/>
  <c r="B31" i="95"/>
  <c r="B2" i="95"/>
  <c r="L28" i="95"/>
  <c r="H28" i="95"/>
  <c r="D20" i="95"/>
  <c r="D70" i="95"/>
  <c r="C109" i="95"/>
  <c r="C20" i="95"/>
  <c r="C70" i="95"/>
  <c r="B109" i="95"/>
  <c r="B20" i="95"/>
  <c r="B116" i="95"/>
  <c r="B10" i="95"/>
  <c r="B7" i="95"/>
  <c r="B6" i="95"/>
  <c r="B15" i="95"/>
  <c r="F133" i="95"/>
  <c r="I180" i="95"/>
  <c r="B1" i="107"/>
  <c r="A1" i="107"/>
  <c r="AJ80" i="12"/>
  <c r="AI80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AJ76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AJ74" i="12"/>
  <c r="AI74" i="12"/>
  <c r="AH74" i="12"/>
  <c r="AG74" i="12"/>
  <c r="AK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AT69" i="12"/>
  <c r="AS69" i="12"/>
  <c r="AR69" i="12"/>
  <c r="AQ69" i="12"/>
  <c r="AP69" i="12"/>
  <c r="AO69" i="12"/>
  <c r="AN69" i="12"/>
  <c r="AM69" i="12"/>
  <c r="AL69" i="12"/>
  <c r="AK69" i="12"/>
  <c r="AT63" i="12"/>
  <c r="AS63" i="12"/>
  <c r="AR63" i="12"/>
  <c r="AQ63" i="12"/>
  <c r="AP63" i="12"/>
  <c r="AO63" i="12"/>
  <c r="AN63" i="12"/>
  <c r="AM63" i="12"/>
  <c r="AL63" i="12"/>
  <c r="AK63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AT54" i="12"/>
  <c r="AS54" i="12"/>
  <c r="AR54" i="12"/>
  <c r="AQ54" i="12"/>
  <c r="AP54" i="12"/>
  <c r="AO54" i="12"/>
  <c r="AN54" i="12"/>
  <c r="AM54" i="12"/>
  <c r="AL54" i="12"/>
  <c r="AK54" i="12"/>
  <c r="AT53" i="12"/>
  <c r="AS53" i="12"/>
  <c r="AR53" i="12"/>
  <c r="AQ53" i="12"/>
  <c r="AP53" i="12"/>
  <c r="AO53" i="12"/>
  <c r="AN53" i="12"/>
  <c r="AM53" i="12"/>
  <c r="AL53" i="12"/>
  <c r="AK53" i="12"/>
  <c r="AT51" i="12"/>
  <c r="AS51" i="12"/>
  <c r="AR51" i="12"/>
  <c r="AQ51" i="12"/>
  <c r="AP51" i="12"/>
  <c r="AO51" i="12"/>
  <c r="AN51" i="12"/>
  <c r="AM51" i="12"/>
  <c r="AL51" i="12"/>
  <c r="AK51" i="12"/>
  <c r="AT50" i="12"/>
  <c r="AS50" i="12"/>
  <c r="AR50" i="12"/>
  <c r="AQ50" i="12"/>
  <c r="AP50" i="12"/>
  <c r="AO50" i="12"/>
  <c r="AN50" i="12"/>
  <c r="AM50" i="12"/>
  <c r="AL50" i="12"/>
  <c r="AK50" i="12"/>
  <c r="AT49" i="12"/>
  <c r="AS49" i="12"/>
  <c r="AR49" i="12"/>
  <c r="AQ49" i="12"/>
  <c r="AP49" i="12"/>
  <c r="AO49" i="12"/>
  <c r="AN49" i="12"/>
  <c r="AM49" i="12"/>
  <c r="AL49" i="12"/>
  <c r="AK49" i="12"/>
  <c r="AT48" i="12"/>
  <c r="AS48" i="12"/>
  <c r="AR48" i="12"/>
  <c r="AQ48" i="12"/>
  <c r="AP48" i="12"/>
  <c r="AO48" i="12"/>
  <c r="AN48" i="12"/>
  <c r="AM48" i="12"/>
  <c r="AL48" i="12"/>
  <c r="AK48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AT46" i="12"/>
  <c r="AS46" i="12"/>
  <c r="AR46" i="12"/>
  <c r="AQ46" i="12"/>
  <c r="AP46" i="12"/>
  <c r="AO46" i="12"/>
  <c r="AN46" i="12"/>
  <c r="AM46" i="12"/>
  <c r="AL46" i="12"/>
  <c r="AK46" i="12"/>
  <c r="AT44" i="12"/>
  <c r="AS44" i="12"/>
  <c r="AR44" i="12"/>
  <c r="AQ44" i="12"/>
  <c r="AP44" i="12"/>
  <c r="AO44" i="12"/>
  <c r="AN44" i="12"/>
  <c r="AM44" i="12"/>
  <c r="AL44" i="12"/>
  <c r="AK44" i="12"/>
  <c r="AT43" i="12"/>
  <c r="AS43" i="12"/>
  <c r="AR43" i="12"/>
  <c r="AQ43" i="12"/>
  <c r="AP43" i="12"/>
  <c r="AO43" i="12"/>
  <c r="AN43" i="12"/>
  <c r="AM43" i="12"/>
  <c r="AL43" i="12"/>
  <c r="AK43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AJ11" i="12"/>
  <c r="AI11" i="12"/>
  <c r="AH11" i="12"/>
  <c r="AG11" i="12"/>
  <c r="B72" i="95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AJ10" i="12"/>
  <c r="AI10" i="12"/>
  <c r="AH10" i="12"/>
  <c r="AG10" i="12"/>
  <c r="B76" i="95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AJ9" i="12"/>
  <c r="AI9" i="12"/>
  <c r="AH9" i="12"/>
  <c r="AG9" i="12"/>
  <c r="B25" i="95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B5" i="12"/>
  <c r="B3" i="12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AJ94" i="11"/>
  <c r="AJ98" i="11"/>
  <c r="AI94" i="11"/>
  <c r="AI98" i="11"/>
  <c r="AH94" i="11"/>
  <c r="AH98" i="11"/>
  <c r="AG94" i="11"/>
  <c r="AF94" i="11"/>
  <c r="AE94" i="11"/>
  <c r="AD94" i="11"/>
  <c r="P29" i="103"/>
  <c r="O29" i="103"/>
  <c r="AC94" i="11"/>
  <c r="AB94" i="11"/>
  <c r="AA94" i="11"/>
  <c r="Z94" i="11"/>
  <c r="L29" i="103"/>
  <c r="K29" i="103"/>
  <c r="Y94" i="11"/>
  <c r="X94" i="11"/>
  <c r="W94" i="11"/>
  <c r="V94" i="11"/>
  <c r="H29" i="103"/>
  <c r="G29" i="103"/>
  <c r="U94" i="11"/>
  <c r="T94" i="11"/>
  <c r="S94" i="11"/>
  <c r="R94" i="11"/>
  <c r="D29" i="103"/>
  <c r="C29" i="103"/>
  <c r="Q94" i="11"/>
  <c r="P94" i="11"/>
  <c r="P98" i="11"/>
  <c r="O94" i="11"/>
  <c r="O98" i="11"/>
  <c r="N94" i="11"/>
  <c r="N98" i="11"/>
  <c r="M94" i="11"/>
  <c r="M98" i="11"/>
  <c r="L94" i="11"/>
  <c r="L98" i="11"/>
  <c r="K94" i="11"/>
  <c r="K98" i="11"/>
  <c r="J94" i="11"/>
  <c r="J98" i="11"/>
  <c r="I94" i="11"/>
  <c r="I98" i="11"/>
  <c r="H94" i="11"/>
  <c r="H98" i="11"/>
  <c r="G94" i="11"/>
  <c r="G98" i="11"/>
  <c r="F94" i="11"/>
  <c r="F98" i="11"/>
  <c r="E94" i="11"/>
  <c r="E98" i="11"/>
  <c r="AJ91" i="11"/>
  <c r="AI91" i="11"/>
  <c r="AH91" i="11"/>
  <c r="AG91" i="11"/>
  <c r="AF91" i="11"/>
  <c r="AE91" i="11"/>
  <c r="Q28" i="103"/>
  <c r="AD91" i="11"/>
  <c r="P28" i="103"/>
  <c r="O28" i="103"/>
  <c r="AC91" i="11"/>
  <c r="AB91" i="11"/>
  <c r="AA91" i="11"/>
  <c r="M28" i="103"/>
  <c r="Z91" i="11"/>
  <c r="L28" i="103"/>
  <c r="K28" i="103"/>
  <c r="Y91" i="11"/>
  <c r="X91" i="11"/>
  <c r="W91" i="11"/>
  <c r="I28" i="103"/>
  <c r="V91" i="11"/>
  <c r="H28" i="103"/>
  <c r="G28" i="103"/>
  <c r="U91" i="11"/>
  <c r="T91" i="11"/>
  <c r="S91" i="11"/>
  <c r="E28" i="103"/>
  <c r="R91" i="11"/>
  <c r="D28" i="103"/>
  <c r="C28" i="103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AJ86" i="11"/>
  <c r="AI86" i="11"/>
  <c r="AH86" i="11"/>
  <c r="AG86" i="11"/>
  <c r="AF86" i="11"/>
  <c r="AE86" i="11"/>
  <c r="Q27" i="103"/>
  <c r="Q41" i="103"/>
  <c r="AD86" i="11"/>
  <c r="P27" i="103"/>
  <c r="P41" i="103"/>
  <c r="O27" i="103"/>
  <c r="O41" i="103"/>
  <c r="AC86" i="11"/>
  <c r="AB86" i="11"/>
  <c r="AA86" i="11"/>
  <c r="M27" i="103"/>
  <c r="M41" i="103"/>
  <c r="Z86" i="11"/>
  <c r="L27" i="103"/>
  <c r="L41" i="103"/>
  <c r="K27" i="103"/>
  <c r="K41" i="103"/>
  <c r="Y86" i="11"/>
  <c r="X86" i="11"/>
  <c r="W86" i="11"/>
  <c r="I27" i="103"/>
  <c r="I41" i="103"/>
  <c r="V86" i="11"/>
  <c r="H27" i="103"/>
  <c r="H41" i="103"/>
  <c r="G27" i="103"/>
  <c r="G41" i="103"/>
  <c r="U86" i="11"/>
  <c r="T86" i="11"/>
  <c r="S86" i="11"/>
  <c r="E27" i="103"/>
  <c r="E41" i="103"/>
  <c r="R86" i="11"/>
  <c r="D27" i="103"/>
  <c r="D41" i="103"/>
  <c r="C27" i="103"/>
  <c r="C41" i="103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AJ81" i="11"/>
  <c r="AI81" i="11"/>
  <c r="AH81" i="11"/>
  <c r="AG81" i="11"/>
  <c r="AF81" i="11"/>
  <c r="AE81" i="11"/>
  <c r="Q25" i="103"/>
  <c r="AD81" i="11"/>
  <c r="P25" i="103"/>
  <c r="O25" i="103"/>
  <c r="AC81" i="11"/>
  <c r="AB81" i="11"/>
  <c r="AA81" i="11"/>
  <c r="M25" i="103"/>
  <c r="Z81" i="11"/>
  <c r="L25" i="103"/>
  <c r="K25" i="103"/>
  <c r="Y81" i="11"/>
  <c r="X81" i="11"/>
  <c r="W81" i="11"/>
  <c r="I25" i="103"/>
  <c r="V81" i="11"/>
  <c r="H25" i="103"/>
  <c r="G25" i="103"/>
  <c r="U81" i="11"/>
  <c r="T81" i="11"/>
  <c r="S81" i="11"/>
  <c r="R81" i="11"/>
  <c r="D25" i="103"/>
  <c r="C25" i="103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AT79" i="11"/>
  <c r="AS79" i="11"/>
  <c r="AR79" i="11"/>
  <c r="AQ79" i="11"/>
  <c r="AP79" i="11"/>
  <c r="AO79" i="11"/>
  <c r="AN79" i="11"/>
  <c r="AM79" i="11"/>
  <c r="H46" i="101"/>
  <c r="AL79" i="11"/>
  <c r="F46" i="10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T77" i="11"/>
  <c r="AT81" i="11"/>
  <c r="AS77" i="11"/>
  <c r="AS81" i="11"/>
  <c r="AR77" i="11"/>
  <c r="AR81" i="11"/>
  <c r="AQ77" i="11"/>
  <c r="AQ81" i="11"/>
  <c r="AP77" i="11"/>
  <c r="AP81" i="11"/>
  <c r="AO77" i="11"/>
  <c r="AO81" i="11"/>
  <c r="AN77" i="11"/>
  <c r="AN81" i="11"/>
  <c r="AM77" i="11"/>
  <c r="AM81" i="11"/>
  <c r="I47" i="101"/>
  <c r="AL77" i="11"/>
  <c r="AL81" i="11"/>
  <c r="E47" i="101"/>
  <c r="AJ77" i="11"/>
  <c r="AI77" i="11"/>
  <c r="AH77" i="11"/>
  <c r="AG77" i="11"/>
  <c r="AF77" i="11"/>
  <c r="R23" i="103"/>
  <c r="AE77" i="11"/>
  <c r="AD77" i="11"/>
  <c r="AC77" i="11"/>
  <c r="AB77" i="11"/>
  <c r="N23" i="103"/>
  <c r="AA77" i="11"/>
  <c r="Z77" i="11"/>
  <c r="Y77" i="11"/>
  <c r="X77" i="11"/>
  <c r="J23" i="103"/>
  <c r="W77" i="11"/>
  <c r="V77" i="11"/>
  <c r="U77" i="11"/>
  <c r="T77" i="11"/>
  <c r="F23" i="103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AJ73" i="11"/>
  <c r="AF73" i="11"/>
  <c r="AJ75" i="11"/>
  <c r="AI73" i="11"/>
  <c r="AI84" i="11"/>
  <c r="AH73" i="11"/>
  <c r="AH84" i="11"/>
  <c r="AG73" i="11"/>
  <c r="AF84" i="11"/>
  <c r="AE73" i="11"/>
  <c r="AA73" i="11"/>
  <c r="AE75" i="11"/>
  <c r="AD73" i="11"/>
  <c r="Z73" i="11"/>
  <c r="AD75" i="11"/>
  <c r="AC73" i="11"/>
  <c r="Y73" i="11"/>
  <c r="AC75" i="11"/>
  <c r="F19" i="53"/>
  <c r="AB73" i="11"/>
  <c r="AB84" i="11"/>
  <c r="X73" i="11"/>
  <c r="X84" i="11"/>
  <c r="W73" i="11"/>
  <c r="S73" i="11"/>
  <c r="W75" i="11"/>
  <c r="V73" i="11"/>
  <c r="U73" i="11"/>
  <c r="T73" i="11"/>
  <c r="T84" i="11"/>
  <c r="O73" i="11"/>
  <c r="S75" i="11"/>
  <c r="R73" i="11"/>
  <c r="N73" i="11"/>
  <c r="R75" i="11"/>
  <c r="Q73" i="11"/>
  <c r="Q84" i="11"/>
  <c r="P73" i="11"/>
  <c r="O84" i="11"/>
  <c r="N84" i="11"/>
  <c r="M73" i="11"/>
  <c r="M84" i="11"/>
  <c r="L73" i="11"/>
  <c r="K73" i="11"/>
  <c r="K84" i="11"/>
  <c r="J73" i="11"/>
  <c r="J84" i="11"/>
  <c r="I73" i="11"/>
  <c r="I84" i="11"/>
  <c r="H73" i="11"/>
  <c r="G73" i="11"/>
  <c r="G84" i="11"/>
  <c r="F73" i="11"/>
  <c r="F84" i="11"/>
  <c r="E73" i="11"/>
  <c r="E84" i="11"/>
  <c r="AH69" i="11"/>
  <c r="AH70" i="11"/>
  <c r="AJ69" i="11"/>
  <c r="AI69" i="11"/>
  <c r="AI70" i="11"/>
  <c r="AG69" i="11"/>
  <c r="AF69" i="11"/>
  <c r="R21" i="103"/>
  <c r="AF70" i="11"/>
  <c r="AE69" i="11"/>
  <c r="AD69" i="11"/>
  <c r="P21" i="103"/>
  <c r="O21" i="103"/>
  <c r="AC69" i="11"/>
  <c r="AB69" i="11"/>
  <c r="N21" i="103"/>
  <c r="AB70" i="11"/>
  <c r="AA69" i="11"/>
  <c r="Z69" i="11"/>
  <c r="L21" i="103"/>
  <c r="K21" i="103"/>
  <c r="Y69" i="11"/>
  <c r="X69" i="11"/>
  <c r="J21" i="103"/>
  <c r="X70" i="11"/>
  <c r="W69" i="11"/>
  <c r="V69" i="11"/>
  <c r="H21" i="103"/>
  <c r="G21" i="103"/>
  <c r="U69" i="11"/>
  <c r="T69" i="11"/>
  <c r="F21" i="103"/>
  <c r="T70" i="11"/>
  <c r="S69" i="11"/>
  <c r="R69" i="11"/>
  <c r="D21" i="103"/>
  <c r="C21" i="103"/>
  <c r="Q69" i="11"/>
  <c r="Q70" i="11"/>
  <c r="P69" i="11"/>
  <c r="O69" i="11"/>
  <c r="O70" i="11"/>
  <c r="N69" i="11"/>
  <c r="N70" i="11"/>
  <c r="M69" i="11"/>
  <c r="M70" i="11"/>
  <c r="L69" i="11"/>
  <c r="K69" i="11"/>
  <c r="K70" i="11"/>
  <c r="J69" i="11"/>
  <c r="J70" i="11"/>
  <c r="I69" i="11"/>
  <c r="I70" i="11"/>
  <c r="H69" i="11"/>
  <c r="G69" i="11"/>
  <c r="G70" i="11"/>
  <c r="F69" i="11"/>
  <c r="F70" i="11"/>
  <c r="E69" i="11"/>
  <c r="E70" i="11"/>
  <c r="AJ66" i="11"/>
  <c r="AI66" i="11"/>
  <c r="AI67" i="11"/>
  <c r="AH66" i="11"/>
  <c r="AH67" i="11"/>
  <c r="AG66" i="11"/>
  <c r="AF66" i="11"/>
  <c r="R20" i="103"/>
  <c r="AE66" i="11"/>
  <c r="AD66" i="11"/>
  <c r="P20" i="103"/>
  <c r="O20" i="103"/>
  <c r="AC66" i="11"/>
  <c r="AB66" i="11"/>
  <c r="N20" i="103"/>
  <c r="AA66" i="11"/>
  <c r="Z66" i="11"/>
  <c r="L20" i="103"/>
  <c r="K20" i="103"/>
  <c r="Y66" i="11"/>
  <c r="X66" i="11"/>
  <c r="J20" i="103"/>
  <c r="W66" i="11"/>
  <c r="V66" i="11"/>
  <c r="H20" i="103"/>
  <c r="G20" i="103"/>
  <c r="U66" i="11"/>
  <c r="T66" i="11"/>
  <c r="F20" i="103"/>
  <c r="S66" i="11"/>
  <c r="R66" i="11"/>
  <c r="D20" i="103"/>
  <c r="C20" i="103"/>
  <c r="Q66" i="11"/>
  <c r="Q67" i="11"/>
  <c r="P66" i="11"/>
  <c r="O66" i="11"/>
  <c r="O67" i="11"/>
  <c r="N66" i="11"/>
  <c r="N67" i="11"/>
  <c r="M66" i="11"/>
  <c r="M67" i="11"/>
  <c r="L66" i="11"/>
  <c r="K66" i="11"/>
  <c r="K67" i="11"/>
  <c r="J66" i="11"/>
  <c r="J67" i="11"/>
  <c r="I66" i="11"/>
  <c r="I67" i="11"/>
  <c r="H66" i="11"/>
  <c r="G66" i="11"/>
  <c r="G67" i="11"/>
  <c r="F66" i="11"/>
  <c r="F67" i="11"/>
  <c r="E66" i="11"/>
  <c r="E67" i="11"/>
  <c r="AJ63" i="11"/>
  <c r="AI63" i="11"/>
  <c r="AI64" i="11"/>
  <c r="AH63" i="11"/>
  <c r="AH64" i="11"/>
  <c r="AG63" i="11"/>
  <c r="AF63" i="11"/>
  <c r="R19" i="103"/>
  <c r="AE63" i="11"/>
  <c r="AD63" i="11"/>
  <c r="P19" i="103"/>
  <c r="O19" i="103"/>
  <c r="AC63" i="11"/>
  <c r="AB63" i="11"/>
  <c r="N19" i="103"/>
  <c r="AA63" i="11"/>
  <c r="Z63" i="11"/>
  <c r="L19" i="103"/>
  <c r="K19" i="103"/>
  <c r="Y63" i="11"/>
  <c r="X63" i="11"/>
  <c r="J19" i="103"/>
  <c r="W63" i="11"/>
  <c r="V63" i="11"/>
  <c r="H19" i="103"/>
  <c r="G19" i="103"/>
  <c r="U63" i="11"/>
  <c r="T63" i="11"/>
  <c r="F19" i="103"/>
  <c r="S63" i="11"/>
  <c r="R63" i="11"/>
  <c r="D19" i="103"/>
  <c r="C19" i="103"/>
  <c r="Q63" i="11"/>
  <c r="Q64" i="11"/>
  <c r="P63" i="11"/>
  <c r="O63" i="11"/>
  <c r="O64" i="11"/>
  <c r="N63" i="11"/>
  <c r="N64" i="11"/>
  <c r="M63" i="11"/>
  <c r="M64" i="11"/>
  <c r="L63" i="11"/>
  <c r="K63" i="11"/>
  <c r="K64" i="11"/>
  <c r="J63" i="11"/>
  <c r="J64" i="11"/>
  <c r="I63" i="11"/>
  <c r="I64" i="11"/>
  <c r="H63" i="11"/>
  <c r="G63" i="11"/>
  <c r="G64" i="11"/>
  <c r="F63" i="11"/>
  <c r="F64" i="11"/>
  <c r="E63" i="11"/>
  <c r="E64" i="11"/>
  <c r="AJ60" i="11"/>
  <c r="AI60" i="11"/>
  <c r="AI61" i="11"/>
  <c r="AH60" i="11"/>
  <c r="AH61" i="11"/>
  <c r="AG60" i="11"/>
  <c r="AF60" i="11"/>
  <c r="R18" i="103"/>
  <c r="AE60" i="11"/>
  <c r="AD60" i="11"/>
  <c r="P18" i="103"/>
  <c r="O18" i="103"/>
  <c r="AC60" i="11"/>
  <c r="AB60" i="11"/>
  <c r="N18" i="103"/>
  <c r="AA60" i="11"/>
  <c r="Z60" i="11"/>
  <c r="L18" i="103"/>
  <c r="K18" i="103"/>
  <c r="Y60" i="11"/>
  <c r="X60" i="11"/>
  <c r="J18" i="103"/>
  <c r="W60" i="11"/>
  <c r="V60" i="11"/>
  <c r="H18" i="103"/>
  <c r="G18" i="103"/>
  <c r="U60" i="11"/>
  <c r="T60" i="11"/>
  <c r="F18" i="103"/>
  <c r="S60" i="11"/>
  <c r="R60" i="11"/>
  <c r="D18" i="103"/>
  <c r="C18" i="103"/>
  <c r="Q60" i="11"/>
  <c r="Q61" i="11"/>
  <c r="P60" i="11"/>
  <c r="O60" i="11"/>
  <c r="O61" i="11"/>
  <c r="N60" i="11"/>
  <c r="N61" i="11"/>
  <c r="M60" i="11"/>
  <c r="M61" i="11"/>
  <c r="L60" i="11"/>
  <c r="K60" i="11"/>
  <c r="K61" i="11"/>
  <c r="J60" i="11"/>
  <c r="J61" i="11"/>
  <c r="I60" i="11"/>
  <c r="I61" i="11"/>
  <c r="H60" i="11"/>
  <c r="G60" i="11"/>
  <c r="G61" i="11"/>
  <c r="F60" i="11"/>
  <c r="F61" i="11"/>
  <c r="E60" i="11"/>
  <c r="E61" i="11"/>
  <c r="AJ57" i="11"/>
  <c r="AI57" i="11"/>
  <c r="AI58" i="11"/>
  <c r="AH57" i="11"/>
  <c r="AH58" i="11"/>
  <c r="AG57" i="11"/>
  <c r="AF57" i="11"/>
  <c r="R17" i="103"/>
  <c r="AE57" i="11"/>
  <c r="AD57" i="11"/>
  <c r="P17" i="103"/>
  <c r="O17" i="103"/>
  <c r="AC57" i="11"/>
  <c r="AB57" i="11"/>
  <c r="N17" i="103"/>
  <c r="AA57" i="11"/>
  <c r="Z57" i="11"/>
  <c r="L17" i="103"/>
  <c r="K17" i="103"/>
  <c r="Y57" i="11"/>
  <c r="X57" i="11"/>
  <c r="J17" i="103"/>
  <c r="W57" i="11"/>
  <c r="V57" i="11"/>
  <c r="H17" i="103"/>
  <c r="G17" i="103"/>
  <c r="U57" i="11"/>
  <c r="T57" i="11"/>
  <c r="F17" i="103"/>
  <c r="S57" i="11"/>
  <c r="R57" i="11"/>
  <c r="D17" i="103"/>
  <c r="C17" i="103"/>
  <c r="Q57" i="11"/>
  <c r="Q58" i="11"/>
  <c r="P57" i="11"/>
  <c r="O57" i="11"/>
  <c r="O58" i="11"/>
  <c r="N57" i="11"/>
  <c r="N58" i="11"/>
  <c r="M57" i="11"/>
  <c r="M58" i="11"/>
  <c r="L57" i="11"/>
  <c r="K57" i="11"/>
  <c r="K58" i="11"/>
  <c r="J57" i="11"/>
  <c r="J58" i="11"/>
  <c r="I57" i="11"/>
  <c r="I58" i="11"/>
  <c r="H57" i="11"/>
  <c r="G57" i="11"/>
  <c r="G58" i="11"/>
  <c r="F57" i="11"/>
  <c r="F58" i="11"/>
  <c r="E57" i="11"/>
  <c r="E58" i="11"/>
  <c r="AI54" i="11"/>
  <c r="AI55" i="11"/>
  <c r="AJ54" i="11"/>
  <c r="AH54" i="11"/>
  <c r="AH55" i="11"/>
  <c r="AG54" i="11"/>
  <c r="AF54" i="11"/>
  <c r="AE54" i="11"/>
  <c r="Q16" i="103"/>
  <c r="AD54" i="11"/>
  <c r="O16" i="103"/>
  <c r="AC54" i="11"/>
  <c r="AB54" i="11"/>
  <c r="AA54" i="11"/>
  <c r="M16" i="103"/>
  <c r="Z54" i="11"/>
  <c r="K16" i="103"/>
  <c r="Y54" i="11"/>
  <c r="X54" i="11"/>
  <c r="W54" i="11"/>
  <c r="I16" i="103"/>
  <c r="V54" i="11"/>
  <c r="G16" i="103"/>
  <c r="U54" i="11"/>
  <c r="T54" i="11"/>
  <c r="S54" i="11"/>
  <c r="E16" i="103"/>
  <c r="R54" i="11"/>
  <c r="C16" i="103"/>
  <c r="Q54" i="11"/>
  <c r="Q55" i="11"/>
  <c r="P54" i="11"/>
  <c r="O54" i="11"/>
  <c r="O55" i="11"/>
  <c r="N54" i="11"/>
  <c r="N55" i="11"/>
  <c r="M54" i="11"/>
  <c r="M55" i="11"/>
  <c r="L54" i="11"/>
  <c r="K54" i="11"/>
  <c r="K55" i="11"/>
  <c r="J54" i="11"/>
  <c r="J55" i="11"/>
  <c r="I54" i="11"/>
  <c r="I55" i="11"/>
  <c r="H54" i="11"/>
  <c r="G54" i="11"/>
  <c r="G55" i="11"/>
  <c r="F54" i="11"/>
  <c r="F55" i="11"/>
  <c r="E54" i="11"/>
  <c r="E55" i="11"/>
  <c r="AJ51" i="11"/>
  <c r="AI51" i="11"/>
  <c r="AI52" i="11"/>
  <c r="AH51" i="11"/>
  <c r="AH52" i="11"/>
  <c r="AG51" i="11"/>
  <c r="AF51" i="11"/>
  <c r="AE51" i="11"/>
  <c r="Q15" i="103"/>
  <c r="AD51" i="11"/>
  <c r="O15" i="103"/>
  <c r="AC51" i="11"/>
  <c r="AB51" i="11"/>
  <c r="AA51" i="11"/>
  <c r="M15" i="103"/>
  <c r="Z51" i="11"/>
  <c r="K15" i="103"/>
  <c r="Y51" i="11"/>
  <c r="X51" i="11"/>
  <c r="W51" i="11"/>
  <c r="I15" i="103"/>
  <c r="V51" i="11"/>
  <c r="G15" i="103"/>
  <c r="U51" i="11"/>
  <c r="T51" i="11"/>
  <c r="S51" i="11"/>
  <c r="E15" i="103"/>
  <c r="R51" i="11"/>
  <c r="C15" i="103"/>
  <c r="Q51" i="11"/>
  <c r="Q52" i="11"/>
  <c r="P51" i="11"/>
  <c r="O51" i="11"/>
  <c r="O52" i="11"/>
  <c r="N51" i="11"/>
  <c r="N52" i="11"/>
  <c r="M51" i="11"/>
  <c r="M52" i="11"/>
  <c r="L51" i="11"/>
  <c r="K51" i="11"/>
  <c r="K52" i="11"/>
  <c r="J51" i="11"/>
  <c r="J52" i="11"/>
  <c r="I51" i="11"/>
  <c r="I52" i="11"/>
  <c r="H51" i="11"/>
  <c r="G51" i="11"/>
  <c r="G52" i="11"/>
  <c r="F51" i="11"/>
  <c r="F52" i="11"/>
  <c r="E51" i="11"/>
  <c r="E52" i="11"/>
  <c r="AJ49" i="11"/>
  <c r="AI49" i="11"/>
  <c r="AI50" i="11"/>
  <c r="AH49" i="11"/>
  <c r="AH50" i="11"/>
  <c r="AG49" i="11"/>
  <c r="AF49" i="11"/>
  <c r="AE49" i="11"/>
  <c r="Q14" i="103"/>
  <c r="AD49" i="11"/>
  <c r="O14" i="103"/>
  <c r="AC49" i="11"/>
  <c r="AB49" i="11"/>
  <c r="AA49" i="11"/>
  <c r="M14" i="103"/>
  <c r="Z49" i="11"/>
  <c r="K14" i="103"/>
  <c r="Y49" i="11"/>
  <c r="X49" i="11"/>
  <c r="W49" i="11"/>
  <c r="I14" i="103"/>
  <c r="V49" i="11"/>
  <c r="G14" i="103"/>
  <c r="U49" i="11"/>
  <c r="T49" i="11"/>
  <c r="S49" i="11"/>
  <c r="E14" i="103"/>
  <c r="R49" i="11"/>
  <c r="C14" i="103"/>
  <c r="Q49" i="11"/>
  <c r="Q50" i="11"/>
  <c r="P49" i="11"/>
  <c r="O49" i="11"/>
  <c r="O50" i="11"/>
  <c r="N49" i="11"/>
  <c r="N50" i="11"/>
  <c r="M49" i="11"/>
  <c r="M50" i="11"/>
  <c r="L49" i="11"/>
  <c r="K49" i="11"/>
  <c r="K50" i="11"/>
  <c r="J49" i="11"/>
  <c r="J50" i="11"/>
  <c r="I49" i="11"/>
  <c r="I50" i="11"/>
  <c r="H49" i="11"/>
  <c r="G49" i="11"/>
  <c r="G50" i="11"/>
  <c r="F49" i="11"/>
  <c r="F50" i="11"/>
  <c r="E49" i="11"/>
  <c r="E50" i="11"/>
  <c r="AT40" i="11"/>
  <c r="AS40" i="11"/>
  <c r="AR40" i="11"/>
  <c r="AQ40" i="11"/>
  <c r="AP40" i="11"/>
  <c r="AO40" i="11"/>
  <c r="AN40" i="11"/>
  <c r="AM40" i="11"/>
  <c r="AL40" i="11"/>
  <c r="AK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AJ36" i="11"/>
  <c r="AJ40" i="11"/>
  <c r="AI36" i="11"/>
  <c r="AI45" i="11"/>
  <c r="AI16" i="11"/>
  <c r="AI42" i="11"/>
  <c r="AH36" i="11"/>
  <c r="AH45" i="11"/>
  <c r="AG36" i="11"/>
  <c r="AF36" i="11"/>
  <c r="R13" i="103"/>
  <c r="AE36" i="11"/>
  <c r="AD36" i="11"/>
  <c r="O13" i="103"/>
  <c r="AC36" i="11"/>
  <c r="AB36" i="11"/>
  <c r="N13" i="103"/>
  <c r="AB45" i="11"/>
  <c r="AA36" i="11"/>
  <c r="Z36" i="11"/>
  <c r="K13" i="103"/>
  <c r="Y36" i="11"/>
  <c r="X36" i="11"/>
  <c r="J13" i="103"/>
  <c r="X45" i="11"/>
  <c r="W36" i="11"/>
  <c r="V36" i="11"/>
  <c r="G13" i="103"/>
  <c r="U36" i="11"/>
  <c r="T36" i="11"/>
  <c r="F13" i="103"/>
  <c r="S36" i="11"/>
  <c r="R36" i="11"/>
  <c r="C13" i="103"/>
  <c r="Q36" i="11"/>
  <c r="Q45" i="11"/>
  <c r="Q16" i="11"/>
  <c r="Q42" i="11"/>
  <c r="P36" i="11"/>
  <c r="P40" i="11"/>
  <c r="O36" i="11"/>
  <c r="O45" i="11"/>
  <c r="O16" i="11"/>
  <c r="O42" i="11"/>
  <c r="N36" i="11"/>
  <c r="N40" i="11"/>
  <c r="M36" i="11"/>
  <c r="M45" i="11"/>
  <c r="M16" i="11"/>
  <c r="M42" i="11"/>
  <c r="L36" i="11"/>
  <c r="L40" i="11"/>
  <c r="K36" i="11"/>
  <c r="K45" i="11"/>
  <c r="K16" i="11"/>
  <c r="K42" i="11"/>
  <c r="J36" i="11"/>
  <c r="J45" i="11"/>
  <c r="I36" i="11"/>
  <c r="I45" i="11"/>
  <c r="I16" i="11"/>
  <c r="I42" i="11"/>
  <c r="H36" i="11"/>
  <c r="H40" i="11"/>
  <c r="G36" i="11"/>
  <c r="G45" i="11"/>
  <c r="G16" i="11"/>
  <c r="G42" i="11"/>
  <c r="G8" i="11"/>
  <c r="G43" i="11"/>
  <c r="F36" i="11"/>
  <c r="F40" i="11"/>
  <c r="E36" i="11"/>
  <c r="E45" i="11"/>
  <c r="E16" i="11"/>
  <c r="E42" i="11"/>
  <c r="E8" i="11"/>
  <c r="E43" i="11"/>
  <c r="AJ33" i="11"/>
  <c r="AJ8" i="11"/>
  <c r="AJ34" i="11"/>
  <c r="AI33" i="11"/>
  <c r="AI8" i="11"/>
  <c r="AI34" i="11"/>
  <c r="AH33" i="11"/>
  <c r="AH8" i="11"/>
  <c r="AH34" i="11"/>
  <c r="AG33" i="11"/>
  <c r="AF33" i="11"/>
  <c r="R12" i="103"/>
  <c r="AE33" i="11"/>
  <c r="AD33" i="11"/>
  <c r="O12" i="103"/>
  <c r="AC33" i="11"/>
  <c r="AB33" i="11"/>
  <c r="N12" i="103"/>
  <c r="AA33" i="11"/>
  <c r="Z33" i="11"/>
  <c r="K12" i="103"/>
  <c r="Y33" i="11"/>
  <c r="X33" i="11"/>
  <c r="J12" i="103"/>
  <c r="W33" i="11"/>
  <c r="V33" i="11"/>
  <c r="G12" i="103"/>
  <c r="U33" i="11"/>
  <c r="T33" i="11"/>
  <c r="F12" i="103"/>
  <c r="S33" i="11"/>
  <c r="R33" i="11"/>
  <c r="C12" i="103"/>
  <c r="Q33" i="11"/>
  <c r="Q8" i="11"/>
  <c r="Q34" i="11"/>
  <c r="P33" i="11"/>
  <c r="P8" i="11"/>
  <c r="P34" i="11"/>
  <c r="O33" i="11"/>
  <c r="O8" i="11"/>
  <c r="O34" i="11"/>
  <c r="N33" i="11"/>
  <c r="N8" i="11"/>
  <c r="N34" i="11"/>
  <c r="M33" i="11"/>
  <c r="M8" i="11"/>
  <c r="M34" i="11"/>
  <c r="L33" i="11"/>
  <c r="L8" i="11"/>
  <c r="L34" i="11"/>
  <c r="K33" i="11"/>
  <c r="K8" i="11"/>
  <c r="K34" i="11"/>
  <c r="J33" i="11"/>
  <c r="J8" i="11"/>
  <c r="J34" i="11"/>
  <c r="I33" i="11"/>
  <c r="I8" i="11"/>
  <c r="I34" i="11"/>
  <c r="H33" i="11"/>
  <c r="H8" i="11"/>
  <c r="H34" i="11"/>
  <c r="G33" i="11"/>
  <c r="G34" i="11"/>
  <c r="F33" i="11"/>
  <c r="F8" i="11"/>
  <c r="F34" i="11"/>
  <c r="E33" i="11"/>
  <c r="E34" i="11"/>
  <c r="AJ31" i="11"/>
  <c r="AJ32" i="11"/>
  <c r="AI31" i="11"/>
  <c r="AI32" i="11"/>
  <c r="AH31" i="11"/>
  <c r="AH32" i="11"/>
  <c r="AG31" i="11"/>
  <c r="AF31" i="11"/>
  <c r="R11" i="103"/>
  <c r="AE31" i="11"/>
  <c r="AD31" i="11"/>
  <c r="O11" i="103"/>
  <c r="AC31" i="11"/>
  <c r="AB31" i="11"/>
  <c r="N11" i="103"/>
  <c r="AA31" i="11"/>
  <c r="Z31" i="11"/>
  <c r="K11" i="103"/>
  <c r="Y31" i="11"/>
  <c r="X31" i="11"/>
  <c r="J11" i="103"/>
  <c r="W31" i="11"/>
  <c r="V31" i="11"/>
  <c r="G11" i="103"/>
  <c r="U31" i="11"/>
  <c r="T31" i="11"/>
  <c r="F11" i="103"/>
  <c r="S31" i="11"/>
  <c r="R31" i="11"/>
  <c r="C11" i="103"/>
  <c r="Q31" i="11"/>
  <c r="Q32" i="11"/>
  <c r="P31" i="11"/>
  <c r="P32" i="11"/>
  <c r="O31" i="11"/>
  <c r="O32" i="11"/>
  <c r="N31" i="11"/>
  <c r="N32" i="11"/>
  <c r="M31" i="11"/>
  <c r="M32" i="11"/>
  <c r="L31" i="11"/>
  <c r="L32" i="11"/>
  <c r="K31" i="11"/>
  <c r="K32" i="11"/>
  <c r="J31" i="11"/>
  <c r="J32" i="11"/>
  <c r="I31" i="11"/>
  <c r="I32" i="11"/>
  <c r="H31" i="11"/>
  <c r="H32" i="11"/>
  <c r="G31" i="11"/>
  <c r="G32" i="11"/>
  <c r="F31" i="11"/>
  <c r="F32" i="11"/>
  <c r="E31" i="11"/>
  <c r="E32" i="11"/>
  <c r="AJ29" i="11"/>
  <c r="AJ30" i="11"/>
  <c r="AI29" i="11"/>
  <c r="AI30" i="11"/>
  <c r="AH29" i="11"/>
  <c r="AG29" i="11"/>
  <c r="AF29" i="11"/>
  <c r="AE29" i="11"/>
  <c r="Q10" i="103"/>
  <c r="AD29" i="11"/>
  <c r="P10" i="103"/>
  <c r="O10" i="103"/>
  <c r="AC29" i="11"/>
  <c r="AB29" i="11"/>
  <c r="AA29" i="11"/>
  <c r="M10" i="103"/>
  <c r="Z29" i="11"/>
  <c r="L10" i="103"/>
  <c r="K10" i="103"/>
  <c r="Y29" i="11"/>
  <c r="X29" i="11"/>
  <c r="W29" i="11"/>
  <c r="I10" i="103"/>
  <c r="V29" i="11"/>
  <c r="H10" i="103"/>
  <c r="G10" i="103"/>
  <c r="U29" i="11"/>
  <c r="T29" i="11"/>
  <c r="S29" i="11"/>
  <c r="E10" i="103"/>
  <c r="R29" i="11"/>
  <c r="D10" i="103"/>
  <c r="C10" i="103"/>
  <c r="Q29" i="11"/>
  <c r="P29" i="11"/>
  <c r="P30" i="11"/>
  <c r="O29" i="11"/>
  <c r="O30" i="11"/>
  <c r="N29" i="11"/>
  <c r="M29" i="11"/>
  <c r="L29" i="11"/>
  <c r="L30" i="11"/>
  <c r="K29" i="11"/>
  <c r="K30" i="11"/>
  <c r="J29" i="11"/>
  <c r="I29" i="11"/>
  <c r="H29" i="11"/>
  <c r="H30" i="11"/>
  <c r="G29" i="11"/>
  <c r="G30" i="11"/>
  <c r="F29" i="11"/>
  <c r="E29" i="11"/>
  <c r="E30" i="11"/>
  <c r="AJ27" i="11"/>
  <c r="AI27" i="11"/>
  <c r="AH27" i="11"/>
  <c r="AH28" i="11"/>
  <c r="AG27" i="11"/>
  <c r="AF27" i="11"/>
  <c r="R9" i="103"/>
  <c r="AE27" i="11"/>
  <c r="AD27" i="11"/>
  <c r="O9" i="103"/>
  <c r="AC27" i="11"/>
  <c r="AB27" i="11"/>
  <c r="N9" i="103"/>
  <c r="AA27" i="11"/>
  <c r="Z27" i="11"/>
  <c r="K9" i="103"/>
  <c r="Y27" i="11"/>
  <c r="X27" i="11"/>
  <c r="J9" i="103"/>
  <c r="W27" i="11"/>
  <c r="V27" i="11"/>
  <c r="G9" i="103"/>
  <c r="U27" i="11"/>
  <c r="T27" i="11"/>
  <c r="F9" i="103"/>
  <c r="S27" i="11"/>
  <c r="R27" i="11"/>
  <c r="C9" i="103"/>
  <c r="Q27" i="11"/>
  <c r="Q28" i="11"/>
  <c r="P27" i="11"/>
  <c r="O27" i="11"/>
  <c r="N27" i="11"/>
  <c r="N28" i="11"/>
  <c r="M27" i="11"/>
  <c r="M28" i="11"/>
  <c r="L27" i="11"/>
  <c r="K27" i="11"/>
  <c r="J27" i="11"/>
  <c r="J28" i="11"/>
  <c r="I27" i="11"/>
  <c r="I28" i="11"/>
  <c r="H27" i="11"/>
  <c r="G27" i="11"/>
  <c r="F27" i="11"/>
  <c r="F28" i="11"/>
  <c r="E27" i="11"/>
  <c r="E28" i="11"/>
  <c r="AT19" i="11"/>
  <c r="AS19" i="11"/>
  <c r="AR19" i="11"/>
  <c r="AR8" i="11"/>
  <c r="AR20" i="11"/>
  <c r="AQ19" i="11"/>
  <c r="AQ8" i="11"/>
  <c r="AQ20" i="11"/>
  <c r="AP19" i="11"/>
  <c r="AO19" i="11"/>
  <c r="AN19" i="11"/>
  <c r="AN8" i="11"/>
  <c r="AN20" i="11"/>
  <c r="AM19" i="11"/>
  <c r="AM8" i="11"/>
  <c r="AM20" i="11"/>
  <c r="AL19" i="11"/>
  <c r="AJ19" i="11"/>
  <c r="AJ20" i="11"/>
  <c r="AI19" i="11"/>
  <c r="AI20" i="11"/>
  <c r="AH19" i="11"/>
  <c r="AG19" i="11"/>
  <c r="AF19" i="11"/>
  <c r="AE19" i="11"/>
  <c r="AD19" i="11"/>
  <c r="P8" i="103"/>
  <c r="O8" i="103"/>
  <c r="AC19" i="11"/>
  <c r="AB19" i="11"/>
  <c r="AA19" i="11"/>
  <c r="Z19" i="11"/>
  <c r="L8" i="103"/>
  <c r="K8" i="103"/>
  <c r="Y19" i="11"/>
  <c r="X19" i="11"/>
  <c r="W19" i="11"/>
  <c r="V19" i="11"/>
  <c r="H8" i="103"/>
  <c r="G8" i="103"/>
  <c r="U19" i="11"/>
  <c r="T19" i="11"/>
  <c r="S19" i="11"/>
  <c r="R19" i="11"/>
  <c r="D8" i="103"/>
  <c r="C8" i="103"/>
  <c r="Q19" i="11"/>
  <c r="P19" i="11"/>
  <c r="P20" i="11"/>
  <c r="O19" i="11"/>
  <c r="O20" i="11"/>
  <c r="N19" i="11"/>
  <c r="M19" i="11"/>
  <c r="L19" i="11"/>
  <c r="L20" i="11"/>
  <c r="K19" i="11"/>
  <c r="K20" i="11"/>
  <c r="J19" i="11"/>
  <c r="I19" i="11"/>
  <c r="H19" i="11"/>
  <c r="H20" i="11"/>
  <c r="G19" i="11"/>
  <c r="G20" i="11"/>
  <c r="F19" i="11"/>
  <c r="E19" i="11"/>
  <c r="AJ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P16" i="11"/>
  <c r="N16" i="11"/>
  <c r="L16" i="11"/>
  <c r="J16" i="11"/>
  <c r="H16" i="11"/>
  <c r="F16" i="11"/>
  <c r="AT15" i="11"/>
  <c r="AS15" i="11"/>
  <c r="AS8" i="11"/>
  <c r="AS17" i="11"/>
  <c r="AR15" i="11"/>
  <c r="AQ15" i="11"/>
  <c r="AP15" i="11"/>
  <c r="AO15" i="11"/>
  <c r="AO8" i="11"/>
  <c r="AO17" i="11"/>
  <c r="AN15" i="11"/>
  <c r="AM15" i="11"/>
  <c r="AL15" i="11"/>
  <c r="AJ15" i="11"/>
  <c r="AI15" i="11"/>
  <c r="AH15" i="11"/>
  <c r="AH17" i="11"/>
  <c r="AG15" i="11"/>
  <c r="AG8" i="11"/>
  <c r="AG17" i="11"/>
  <c r="AF15" i="11"/>
  <c r="AE15" i="11"/>
  <c r="AD15" i="11"/>
  <c r="O7" i="103"/>
  <c r="AC15" i="11"/>
  <c r="AC8" i="11"/>
  <c r="AC17" i="11"/>
  <c r="AB15" i="11"/>
  <c r="AA15" i="11"/>
  <c r="Z15" i="11"/>
  <c r="K7" i="103"/>
  <c r="Y15" i="11"/>
  <c r="Y8" i="11"/>
  <c r="Y17" i="11"/>
  <c r="X15" i="11"/>
  <c r="W15" i="11"/>
  <c r="V15" i="11"/>
  <c r="G7" i="103"/>
  <c r="U15" i="11"/>
  <c r="U8" i="11"/>
  <c r="U17" i="11"/>
  <c r="T15" i="11"/>
  <c r="S15" i="11"/>
  <c r="R15" i="11"/>
  <c r="C7" i="103"/>
  <c r="C6" i="103"/>
  <c r="Q15" i="11"/>
  <c r="Q17" i="11"/>
  <c r="P15" i="11"/>
  <c r="O15" i="11"/>
  <c r="N15" i="11"/>
  <c r="N17" i="11"/>
  <c r="M15" i="11"/>
  <c r="M17" i="11"/>
  <c r="L15" i="11"/>
  <c r="K15" i="11"/>
  <c r="J15" i="11"/>
  <c r="J17" i="11"/>
  <c r="I15" i="11"/>
  <c r="I17" i="11"/>
  <c r="H15" i="11"/>
  <c r="G15" i="11"/>
  <c r="F15" i="11"/>
  <c r="F17" i="11"/>
  <c r="E15" i="11"/>
  <c r="E17" i="11"/>
  <c r="AJ13" i="11"/>
  <c r="AJ6" i="11"/>
  <c r="AJ14" i="11"/>
  <c r="AI13" i="11"/>
  <c r="AI6" i="11"/>
  <c r="AI14" i="11"/>
  <c r="AH13" i="11"/>
  <c r="AG13" i="11"/>
  <c r="AG6" i="11"/>
  <c r="AG14" i="11"/>
  <c r="AF13" i="11"/>
  <c r="AF6" i="11"/>
  <c r="AF14" i="11"/>
  <c r="AE13" i="11"/>
  <c r="AE6" i="11"/>
  <c r="AE14" i="11"/>
  <c r="AD13" i="11"/>
  <c r="AC13" i="11"/>
  <c r="AC6" i="11"/>
  <c r="AC14" i="11"/>
  <c r="AB13" i="11"/>
  <c r="AB6" i="11"/>
  <c r="AB14" i="11"/>
  <c r="AA13" i="11"/>
  <c r="AA6" i="11"/>
  <c r="AA14" i="11"/>
  <c r="Z13" i="11"/>
  <c r="Y13" i="11"/>
  <c r="Y6" i="11"/>
  <c r="Y14" i="11"/>
  <c r="X13" i="11"/>
  <c r="X6" i="11"/>
  <c r="X14" i="11"/>
  <c r="W13" i="11"/>
  <c r="W6" i="11"/>
  <c r="W14" i="11"/>
  <c r="V13" i="11"/>
  <c r="U13" i="11"/>
  <c r="U6" i="11"/>
  <c r="U14" i="11"/>
  <c r="T13" i="11"/>
  <c r="T6" i="11"/>
  <c r="T14" i="11"/>
  <c r="S13" i="11"/>
  <c r="S6" i="11"/>
  <c r="S14" i="11"/>
  <c r="R13" i="11"/>
  <c r="Q13" i="11"/>
  <c r="Q6" i="11"/>
  <c r="Q14" i="11"/>
  <c r="P13" i="11"/>
  <c r="P6" i="11"/>
  <c r="P14" i="11"/>
  <c r="O13" i="11"/>
  <c r="O6" i="11"/>
  <c r="O14" i="11"/>
  <c r="N13" i="11"/>
  <c r="M13" i="11"/>
  <c r="M6" i="11"/>
  <c r="M14" i="11"/>
  <c r="L13" i="11"/>
  <c r="L6" i="11"/>
  <c r="L14" i="11"/>
  <c r="K13" i="11"/>
  <c r="K6" i="11"/>
  <c r="K14" i="11"/>
  <c r="J13" i="11"/>
  <c r="I13" i="11"/>
  <c r="I6" i="11"/>
  <c r="I14" i="11"/>
  <c r="H13" i="11"/>
  <c r="H6" i="11"/>
  <c r="H14" i="11"/>
  <c r="G13" i="11"/>
  <c r="G6" i="11"/>
  <c r="G14" i="11"/>
  <c r="F13" i="11"/>
  <c r="E13" i="11"/>
  <c r="E6" i="11"/>
  <c r="E14" i="11"/>
  <c r="AR10" i="11"/>
  <c r="AQ10" i="11"/>
  <c r="AR11" i="11"/>
  <c r="AN10" i="11"/>
  <c r="AM10" i="11"/>
  <c r="AN11" i="11"/>
  <c r="AJ10" i="11"/>
  <c r="AF10" i="11"/>
  <c r="AJ11" i="11"/>
  <c r="AI10" i="11"/>
  <c r="AE10" i="11"/>
  <c r="AI11" i="11"/>
  <c r="AB10" i="11"/>
  <c r="AF11" i="11"/>
  <c r="AA10" i="11"/>
  <c r="AE11" i="11"/>
  <c r="X10" i="11"/>
  <c r="AB11" i="11"/>
  <c r="W10" i="11"/>
  <c r="AA11" i="11"/>
  <c r="T10" i="11"/>
  <c r="X11" i="11"/>
  <c r="S10" i="11"/>
  <c r="W11" i="11"/>
  <c r="P10" i="11"/>
  <c r="T11" i="11"/>
  <c r="O10" i="11"/>
  <c r="S11" i="11"/>
  <c r="L10" i="11"/>
  <c r="P11" i="11"/>
  <c r="K10" i="11"/>
  <c r="O11" i="11"/>
  <c r="H10" i="11"/>
  <c r="L11" i="11"/>
  <c r="G10" i="11"/>
  <c r="K11" i="11"/>
  <c r="AT10" i="11"/>
  <c r="AS10" i="11"/>
  <c r="AT11" i="11"/>
  <c r="AS11" i="11"/>
  <c r="AP10" i="11"/>
  <c r="AQ11" i="11"/>
  <c r="AO10" i="11"/>
  <c r="AO11" i="11"/>
  <c r="AL10" i="11"/>
  <c r="AH10" i="11"/>
  <c r="AD10" i="11"/>
  <c r="AH11" i="11"/>
  <c r="AG10" i="11"/>
  <c r="R5" i="103"/>
  <c r="O5" i="103"/>
  <c r="AC10" i="11"/>
  <c r="N5" i="103"/>
  <c r="Z10" i="11"/>
  <c r="K5" i="103"/>
  <c r="Y10" i="11"/>
  <c r="J5" i="103"/>
  <c r="V10" i="11"/>
  <c r="G5" i="103"/>
  <c r="U10" i="11"/>
  <c r="F5" i="103"/>
  <c r="R10" i="11"/>
  <c r="C5" i="103"/>
  <c r="Q10" i="11"/>
  <c r="M10" i="11"/>
  <c r="Q11" i="11"/>
  <c r="N10" i="11"/>
  <c r="J10" i="11"/>
  <c r="N11" i="11"/>
  <c r="I10" i="11"/>
  <c r="M11" i="11"/>
  <c r="F10" i="11"/>
  <c r="J11" i="11"/>
  <c r="E10" i="11"/>
  <c r="I11" i="11"/>
  <c r="AR9" i="11"/>
  <c r="O18" i="53"/>
  <c r="AN9" i="11"/>
  <c r="K18" i="53"/>
  <c r="AF8" i="11"/>
  <c r="AJ9" i="11"/>
  <c r="AE8" i="11"/>
  <c r="AI9" i="11"/>
  <c r="AB8" i="11"/>
  <c r="AF9" i="11"/>
  <c r="AA8" i="11"/>
  <c r="AE9" i="11"/>
  <c r="X8" i="11"/>
  <c r="AB9" i="11"/>
  <c r="W8" i="11"/>
  <c r="AA9" i="11"/>
  <c r="T8" i="11"/>
  <c r="X9" i="11"/>
  <c r="S8" i="11"/>
  <c r="W9" i="11"/>
  <c r="T9" i="11"/>
  <c r="S9" i="11"/>
  <c r="P9" i="11"/>
  <c r="O9" i="11"/>
  <c r="L9" i="11"/>
  <c r="K9" i="11"/>
  <c r="AT8" i="11"/>
  <c r="AT22" i="11"/>
  <c r="AS20" i="11"/>
  <c r="AR22" i="11"/>
  <c r="AQ22" i="11"/>
  <c r="AP8" i="11"/>
  <c r="AQ9" i="11"/>
  <c r="N18" i="53"/>
  <c r="AO20" i="11"/>
  <c r="AN22" i="11"/>
  <c r="AL8" i="11"/>
  <c r="AJ72" i="11"/>
  <c r="AI72" i="11"/>
  <c r="AH72" i="11"/>
  <c r="AG22" i="11"/>
  <c r="AF28" i="11"/>
  <c r="AD8" i="11"/>
  <c r="AC22" i="11"/>
  <c r="AB28" i="11"/>
  <c r="Z8" i="11"/>
  <c r="Y22" i="11"/>
  <c r="X28" i="11"/>
  <c r="V8" i="11"/>
  <c r="U22" i="11"/>
  <c r="T28" i="11"/>
  <c r="R8" i="11"/>
  <c r="Q2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AR6" i="11"/>
  <c r="AQ6" i="11"/>
  <c r="AR7" i="11"/>
  <c r="O17" i="53"/>
  <c r="AN6" i="11"/>
  <c r="AM6" i="11"/>
  <c r="AN7" i="11"/>
  <c r="K17" i="53"/>
  <c r="AJ7" i="11"/>
  <c r="AI7" i="11"/>
  <c r="AF7" i="11"/>
  <c r="AE7" i="11"/>
  <c r="AB7" i="11"/>
  <c r="AA7" i="11"/>
  <c r="X7" i="11"/>
  <c r="W7" i="11"/>
  <c r="T7" i="11"/>
  <c r="S7" i="11"/>
  <c r="P7" i="11"/>
  <c r="O7" i="11"/>
  <c r="L7" i="11"/>
  <c r="K7" i="11"/>
  <c r="AT6" i="11"/>
  <c r="AS6" i="11"/>
  <c r="AT7" i="11"/>
  <c r="Q17" i="53"/>
  <c r="AS7" i="11"/>
  <c r="P17" i="53"/>
  <c r="AP6" i="11"/>
  <c r="AO6" i="11"/>
  <c r="AO7" i="11"/>
  <c r="L17" i="53"/>
  <c r="AN78" i="11"/>
  <c r="H15" i="101"/>
  <c r="AL6" i="11"/>
  <c r="AI80" i="11"/>
  <c r="AH6" i="11"/>
  <c r="AG7" i="11"/>
  <c r="G17" i="53"/>
  <c r="AD6" i="11"/>
  <c r="AC7" i="11"/>
  <c r="F17" i="53"/>
  <c r="Z6" i="11"/>
  <c r="Y7" i="11"/>
  <c r="E17" i="53"/>
  <c r="V6" i="11"/>
  <c r="U7" i="11"/>
  <c r="D17" i="53"/>
  <c r="R6" i="11"/>
  <c r="Q7" i="11"/>
  <c r="C17" i="53"/>
  <c r="N6" i="11"/>
  <c r="M7" i="11"/>
  <c r="K80" i="11"/>
  <c r="J6" i="11"/>
  <c r="I7" i="11"/>
  <c r="F6" i="11"/>
  <c r="B5" i="11"/>
  <c r="B3" i="11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AJ88" i="10"/>
  <c r="AI88" i="10"/>
  <c r="AH88" i="10"/>
  <c r="AG88" i="10"/>
  <c r="AK88" i="10"/>
  <c r="AL88" i="10"/>
  <c r="AM88" i="10"/>
  <c r="AN88" i="10"/>
  <c r="AO88" i="10"/>
  <c r="AP88" i="10"/>
  <c r="AQ88" i="10"/>
  <c r="AR88" i="10"/>
  <c r="AS88" i="10"/>
  <c r="AT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AJ85" i="10"/>
  <c r="AI85" i="10"/>
  <c r="AH85" i="10"/>
  <c r="AG85" i="10"/>
  <c r="AK85" i="10"/>
  <c r="AL85" i="10"/>
  <c r="AM85" i="10"/>
  <c r="AN85" i="10"/>
  <c r="AO85" i="10"/>
  <c r="AP85" i="10"/>
  <c r="AQ85" i="10"/>
  <c r="AR85" i="10"/>
  <c r="AS85" i="10"/>
  <c r="AT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AJ84" i="10"/>
  <c r="AI84" i="10"/>
  <c r="AH84" i="10"/>
  <c r="AG84" i="10"/>
  <c r="AK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AJ79" i="10"/>
  <c r="AJ80" i="10"/>
  <c r="AG79" i="10"/>
  <c r="AG80" i="10"/>
  <c r="AF79" i="10"/>
  <c r="AF80" i="10"/>
  <c r="AC79" i="10"/>
  <c r="AC80" i="10"/>
  <c r="AB79" i="10"/>
  <c r="AB80" i="10"/>
  <c r="Y79" i="10"/>
  <c r="Y80" i="10"/>
  <c r="X79" i="10"/>
  <c r="X80" i="10"/>
  <c r="U79" i="10"/>
  <c r="U80" i="10"/>
  <c r="T79" i="10"/>
  <c r="T80" i="10"/>
  <c r="Q79" i="10"/>
  <c r="Q80" i="10"/>
  <c r="P79" i="10"/>
  <c r="P80" i="10"/>
  <c r="M79" i="10"/>
  <c r="M80" i="10"/>
  <c r="L79" i="10"/>
  <c r="L80" i="10"/>
  <c r="I79" i="10"/>
  <c r="I80" i="10"/>
  <c r="H79" i="10"/>
  <c r="H80" i="10"/>
  <c r="E79" i="10"/>
  <c r="E80" i="10"/>
  <c r="AI79" i="10"/>
  <c r="AI80" i="10"/>
  <c r="AH79" i="10"/>
  <c r="AH80" i="10"/>
  <c r="AK79" i="10"/>
  <c r="AL79" i="10"/>
  <c r="AM79" i="10"/>
  <c r="AN79" i="10"/>
  <c r="AO79" i="10"/>
  <c r="AP79" i="10"/>
  <c r="AQ79" i="10"/>
  <c r="AR79" i="10"/>
  <c r="AS79" i="10"/>
  <c r="AT79" i="10"/>
  <c r="AE79" i="10"/>
  <c r="AE80" i="10"/>
  <c r="AD79" i="10"/>
  <c r="AD80" i="10"/>
  <c r="AA79" i="10"/>
  <c r="AA80" i="10"/>
  <c r="Z79" i="10"/>
  <c r="Z80" i="10"/>
  <c r="W79" i="10"/>
  <c r="W80" i="10"/>
  <c r="V79" i="10"/>
  <c r="V80" i="10"/>
  <c r="S79" i="10"/>
  <c r="S80" i="10"/>
  <c r="R79" i="10"/>
  <c r="R80" i="10"/>
  <c r="O79" i="10"/>
  <c r="O80" i="10"/>
  <c r="N79" i="10"/>
  <c r="N80" i="10"/>
  <c r="K79" i="10"/>
  <c r="K80" i="10"/>
  <c r="J79" i="10"/>
  <c r="J80" i="10"/>
  <c r="G79" i="10"/>
  <c r="G80" i="10"/>
  <c r="F79" i="10"/>
  <c r="F80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AJ76" i="10"/>
  <c r="AJ95" i="10"/>
  <c r="AI76" i="10"/>
  <c r="AH76" i="10"/>
  <c r="AH95" i="10"/>
  <c r="AG76" i="10"/>
  <c r="AF76" i="10"/>
  <c r="AF95" i="10"/>
  <c r="AE76" i="10"/>
  <c r="AD76" i="10"/>
  <c r="AD95" i="10"/>
  <c r="AC76" i="10"/>
  <c r="AB76" i="10"/>
  <c r="AB95" i="10"/>
  <c r="AA76" i="10"/>
  <c r="Z76" i="10"/>
  <c r="Z95" i="10"/>
  <c r="Y76" i="10"/>
  <c r="X76" i="10"/>
  <c r="X95" i="10"/>
  <c r="W76" i="10"/>
  <c r="V76" i="10"/>
  <c r="V95" i="10"/>
  <c r="U76" i="10"/>
  <c r="T76" i="10"/>
  <c r="T95" i="10"/>
  <c r="S76" i="10"/>
  <c r="R76" i="10"/>
  <c r="R95" i="10"/>
  <c r="Q76" i="10"/>
  <c r="P76" i="10"/>
  <c r="P95" i="10"/>
  <c r="O76" i="10"/>
  <c r="N76" i="10"/>
  <c r="N95" i="10"/>
  <c r="M76" i="10"/>
  <c r="L76" i="10"/>
  <c r="L95" i="10"/>
  <c r="K76" i="10"/>
  <c r="J76" i="10"/>
  <c r="I76" i="10"/>
  <c r="H76" i="10"/>
  <c r="G76" i="10"/>
  <c r="F76" i="10"/>
  <c r="E76" i="10"/>
  <c r="E95" i="10"/>
  <c r="AJ73" i="10"/>
  <c r="AI73" i="10"/>
  <c r="AI65" i="10"/>
  <c r="AI66" i="10"/>
  <c r="AI67" i="10"/>
  <c r="AI68" i="10"/>
  <c r="AI69" i="10"/>
  <c r="AI70" i="10"/>
  <c r="AI71" i="10"/>
  <c r="AI72" i="10"/>
  <c r="AH73" i="10"/>
  <c r="AH65" i="10"/>
  <c r="AH66" i="10"/>
  <c r="AH67" i="10"/>
  <c r="AH68" i="10"/>
  <c r="AH69" i="10"/>
  <c r="AH70" i="10"/>
  <c r="AH71" i="10"/>
  <c r="AH72" i="10"/>
  <c r="AG73" i="10"/>
  <c r="AF73" i="10"/>
  <c r="AE73" i="10"/>
  <c r="AE65" i="10"/>
  <c r="AE66" i="10"/>
  <c r="AE67" i="10"/>
  <c r="AE68" i="10"/>
  <c r="AE69" i="10"/>
  <c r="AE70" i="10"/>
  <c r="AE71" i="10"/>
  <c r="AE72" i="10"/>
  <c r="AD73" i="10"/>
  <c r="AD65" i="10"/>
  <c r="AD66" i="10"/>
  <c r="AD67" i="10"/>
  <c r="AD68" i="10"/>
  <c r="AD69" i="10"/>
  <c r="AD70" i="10"/>
  <c r="AD71" i="10"/>
  <c r="AD72" i="10"/>
  <c r="AC73" i="10"/>
  <c r="AB73" i="10"/>
  <c r="AA73" i="10"/>
  <c r="AA65" i="10"/>
  <c r="AA66" i="10"/>
  <c r="AA67" i="10"/>
  <c r="AA68" i="10"/>
  <c r="AA69" i="10"/>
  <c r="AA70" i="10"/>
  <c r="AA71" i="10"/>
  <c r="AA72" i="10"/>
  <c r="Z73" i="10"/>
  <c r="Z65" i="10"/>
  <c r="Z66" i="10"/>
  <c r="Z67" i="10"/>
  <c r="Z68" i="10"/>
  <c r="Z69" i="10"/>
  <c r="Z70" i="10"/>
  <c r="Z71" i="10"/>
  <c r="Z72" i="10"/>
  <c r="Y73" i="10"/>
  <c r="X73" i="10"/>
  <c r="W73" i="10"/>
  <c r="W65" i="10"/>
  <c r="W66" i="10"/>
  <c r="W67" i="10"/>
  <c r="W68" i="10"/>
  <c r="W69" i="10"/>
  <c r="W70" i="10"/>
  <c r="W71" i="10"/>
  <c r="W72" i="10"/>
  <c r="V73" i="10"/>
  <c r="V65" i="10"/>
  <c r="V66" i="10"/>
  <c r="V67" i="10"/>
  <c r="V68" i="10"/>
  <c r="V69" i="10"/>
  <c r="V70" i="10"/>
  <c r="V71" i="10"/>
  <c r="V72" i="10"/>
  <c r="U73" i="10"/>
  <c r="T73" i="10"/>
  <c r="S73" i="10"/>
  <c r="S65" i="10"/>
  <c r="S66" i="10"/>
  <c r="S67" i="10"/>
  <c r="S68" i="10"/>
  <c r="S69" i="10"/>
  <c r="S70" i="10"/>
  <c r="S71" i="10"/>
  <c r="S72" i="10"/>
  <c r="R73" i="10"/>
  <c r="R65" i="10"/>
  <c r="R66" i="10"/>
  <c r="R67" i="10"/>
  <c r="R68" i="10"/>
  <c r="R69" i="10"/>
  <c r="R70" i="10"/>
  <c r="R71" i="10"/>
  <c r="R72" i="10"/>
  <c r="Q73" i="10"/>
  <c r="P73" i="10"/>
  <c r="O73" i="10"/>
  <c r="O65" i="10"/>
  <c r="O66" i="10"/>
  <c r="O67" i="10"/>
  <c r="O68" i="10"/>
  <c r="O69" i="10"/>
  <c r="O70" i="10"/>
  <c r="O71" i="10"/>
  <c r="O72" i="10"/>
  <c r="N73" i="10"/>
  <c r="N65" i="10"/>
  <c r="N66" i="10"/>
  <c r="N67" i="10"/>
  <c r="N68" i="10"/>
  <c r="N69" i="10"/>
  <c r="N70" i="10"/>
  <c r="N71" i="10"/>
  <c r="N72" i="10"/>
  <c r="M73" i="10"/>
  <c r="L73" i="10"/>
  <c r="K73" i="10"/>
  <c r="K65" i="10"/>
  <c r="K66" i="10"/>
  <c r="K67" i="10"/>
  <c r="K68" i="10"/>
  <c r="K69" i="10"/>
  <c r="K70" i="10"/>
  <c r="K71" i="10"/>
  <c r="K72" i="10"/>
  <c r="J73" i="10"/>
  <c r="J65" i="10"/>
  <c r="J66" i="10"/>
  <c r="J67" i="10"/>
  <c r="J68" i="10"/>
  <c r="J69" i="10"/>
  <c r="J70" i="10"/>
  <c r="J71" i="10"/>
  <c r="J72" i="10"/>
  <c r="I73" i="10"/>
  <c r="H73" i="10"/>
  <c r="G73" i="10"/>
  <c r="G65" i="10"/>
  <c r="G66" i="10"/>
  <c r="G67" i="10"/>
  <c r="G68" i="10"/>
  <c r="G69" i="10"/>
  <c r="G70" i="10"/>
  <c r="G71" i="10"/>
  <c r="G72" i="10"/>
  <c r="F73" i="10"/>
  <c r="F65" i="10"/>
  <c r="F66" i="10"/>
  <c r="F67" i="10"/>
  <c r="F68" i="10"/>
  <c r="F69" i="10"/>
  <c r="F70" i="10"/>
  <c r="F71" i="10"/>
  <c r="F72" i="10"/>
  <c r="E73" i="10"/>
  <c r="AJ71" i="10"/>
  <c r="AG71" i="10"/>
  <c r="AK71" i="10"/>
  <c r="AF71" i="10"/>
  <c r="AC71" i="10"/>
  <c r="AB71" i="10"/>
  <c r="Y71" i="10"/>
  <c r="X71" i="10"/>
  <c r="U71" i="10"/>
  <c r="T71" i="10"/>
  <c r="Q71" i="10"/>
  <c r="P71" i="10"/>
  <c r="M71" i="10"/>
  <c r="L71" i="10"/>
  <c r="I71" i="10"/>
  <c r="H71" i="10"/>
  <c r="E71" i="10"/>
  <c r="AJ70" i="10"/>
  <c r="AG70" i="10"/>
  <c r="AK70" i="10"/>
  <c r="AL70" i="10"/>
  <c r="AM70" i="10"/>
  <c r="AN70" i="10"/>
  <c r="AO70" i="10"/>
  <c r="AP70" i="10"/>
  <c r="AQ70" i="10"/>
  <c r="AR70" i="10"/>
  <c r="AS70" i="10"/>
  <c r="AT70" i="10"/>
  <c r="AF70" i="10"/>
  <c r="AC70" i="10"/>
  <c r="AB70" i="10"/>
  <c r="Y70" i="10"/>
  <c r="X70" i="10"/>
  <c r="U70" i="10"/>
  <c r="T70" i="10"/>
  <c r="Q70" i="10"/>
  <c r="P70" i="10"/>
  <c r="M70" i="10"/>
  <c r="L70" i="10"/>
  <c r="I70" i="10"/>
  <c r="H70" i="10"/>
  <c r="E70" i="10"/>
  <c r="AJ69" i="10"/>
  <c r="AG69" i="10"/>
  <c r="AK69" i="10"/>
  <c r="AL69" i="10"/>
  <c r="AM69" i="10"/>
  <c r="AN69" i="10"/>
  <c r="AO69" i="10"/>
  <c r="AP69" i="10"/>
  <c r="AQ69" i="10"/>
  <c r="AR69" i="10"/>
  <c r="AS69" i="10"/>
  <c r="AT69" i="10"/>
  <c r="AF69" i="10"/>
  <c r="AC69" i="10"/>
  <c r="AB69" i="10"/>
  <c r="Y69" i="10"/>
  <c r="X69" i="10"/>
  <c r="U69" i="10"/>
  <c r="T69" i="10"/>
  <c r="Q69" i="10"/>
  <c r="P69" i="10"/>
  <c r="M69" i="10"/>
  <c r="L69" i="10"/>
  <c r="I69" i="10"/>
  <c r="H69" i="10"/>
  <c r="E69" i="10"/>
  <c r="AJ68" i="10"/>
  <c r="AG68" i="10"/>
  <c r="AK68" i="10"/>
  <c r="AF68" i="10"/>
  <c r="AC68" i="10"/>
  <c r="AB68" i="10"/>
  <c r="Y68" i="10"/>
  <c r="X68" i="10"/>
  <c r="U68" i="10"/>
  <c r="T68" i="10"/>
  <c r="Q68" i="10"/>
  <c r="P68" i="10"/>
  <c r="M68" i="10"/>
  <c r="L68" i="10"/>
  <c r="I68" i="10"/>
  <c r="H68" i="10"/>
  <c r="E68" i="10"/>
  <c r="AJ67" i="10"/>
  <c r="AG67" i="10"/>
  <c r="AF67" i="10"/>
  <c r="AC67" i="10"/>
  <c r="AB67" i="10"/>
  <c r="Y67" i="10"/>
  <c r="X67" i="10"/>
  <c r="U67" i="10"/>
  <c r="T67" i="10"/>
  <c r="Q67" i="10"/>
  <c r="P67" i="10"/>
  <c r="M67" i="10"/>
  <c r="L67" i="10"/>
  <c r="I67" i="10"/>
  <c r="H67" i="10"/>
  <c r="E67" i="10"/>
  <c r="AJ66" i="10"/>
  <c r="AG66" i="10"/>
  <c r="AF66" i="10"/>
  <c r="AC66" i="10"/>
  <c r="AB66" i="10"/>
  <c r="Y66" i="10"/>
  <c r="X66" i="10"/>
  <c r="U66" i="10"/>
  <c r="T66" i="10"/>
  <c r="Q66" i="10"/>
  <c r="P66" i="10"/>
  <c r="M66" i="10"/>
  <c r="L66" i="10"/>
  <c r="I66" i="10"/>
  <c r="H66" i="10"/>
  <c r="E66" i="10"/>
  <c r="AJ65" i="10"/>
  <c r="AJ72" i="10"/>
  <c r="AG65" i="10"/>
  <c r="AG72" i="10"/>
  <c r="AK72" i="10"/>
  <c r="AL72" i="10"/>
  <c r="AM72" i="10"/>
  <c r="AN72" i="10"/>
  <c r="AO72" i="10"/>
  <c r="AP72" i="10"/>
  <c r="AQ72" i="10"/>
  <c r="AR72" i="10"/>
  <c r="AS72" i="10"/>
  <c r="AT72" i="10"/>
  <c r="AF65" i="10"/>
  <c r="AF72" i="10"/>
  <c r="AC65" i="10"/>
  <c r="AC72" i="10"/>
  <c r="AB65" i="10"/>
  <c r="AB72" i="10"/>
  <c r="Y65" i="10"/>
  <c r="Y72" i="10"/>
  <c r="X65" i="10"/>
  <c r="X72" i="10"/>
  <c r="U65" i="10"/>
  <c r="U72" i="10"/>
  <c r="T65" i="10"/>
  <c r="T72" i="10"/>
  <c r="Q65" i="10"/>
  <c r="Q72" i="10"/>
  <c r="P65" i="10"/>
  <c r="P72" i="10"/>
  <c r="M65" i="10"/>
  <c r="M72" i="10"/>
  <c r="L65" i="10"/>
  <c r="L72" i="10"/>
  <c r="I65" i="10"/>
  <c r="I72" i="10"/>
  <c r="H65" i="10"/>
  <c r="H72" i="10"/>
  <c r="E65" i="10"/>
  <c r="E72" i="10"/>
  <c r="AJ62" i="10"/>
  <c r="AI62" i="10"/>
  <c r="AI49" i="10"/>
  <c r="AI100" i="10"/>
  <c r="AH62" i="10"/>
  <c r="AH49" i="10"/>
  <c r="AH100" i="10"/>
  <c r="AG62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F62" i="10"/>
  <c r="AE62" i="10"/>
  <c r="AE49" i="10"/>
  <c r="AE100" i="10"/>
  <c r="AD62" i="10"/>
  <c r="AD49" i="10"/>
  <c r="AD100" i="10"/>
  <c r="AC62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B62" i="10"/>
  <c r="AA62" i="10"/>
  <c r="AA49" i="10"/>
  <c r="AA100" i="10"/>
  <c r="Z62" i="10"/>
  <c r="Z49" i="10"/>
  <c r="Z100" i="10"/>
  <c r="Y62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X62" i="10"/>
  <c r="W62" i="10"/>
  <c r="W49" i="10"/>
  <c r="W100" i="10"/>
  <c r="V62" i="10"/>
  <c r="V49" i="10"/>
  <c r="V100" i="10"/>
  <c r="U62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T62" i="10"/>
  <c r="S62" i="10"/>
  <c r="S49" i="10"/>
  <c r="S100" i="10"/>
  <c r="R62" i="10"/>
  <c r="R49" i="10"/>
  <c r="R100" i="10"/>
  <c r="Q62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P62" i="10"/>
  <c r="O62" i="10"/>
  <c r="O49" i="10"/>
  <c r="O100" i="10"/>
  <c r="N62" i="10"/>
  <c r="N49" i="10"/>
  <c r="N100" i="10"/>
  <c r="M62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L62" i="10"/>
  <c r="K62" i="10"/>
  <c r="K49" i="10"/>
  <c r="K100" i="10"/>
  <c r="J62" i="10"/>
  <c r="J49" i="10"/>
  <c r="J100" i="10"/>
  <c r="I62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H62" i="10"/>
  <c r="G62" i="10"/>
  <c r="G49" i="10"/>
  <c r="G100" i="10"/>
  <c r="F62" i="10"/>
  <c r="F49" i="10"/>
  <c r="F100" i="10"/>
  <c r="E62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AJ60" i="10"/>
  <c r="AI60" i="10"/>
  <c r="AH60" i="10"/>
  <c r="AK60" i="10"/>
  <c r="AF60" i="10"/>
  <c r="AE60" i="10"/>
  <c r="AD60" i="10"/>
  <c r="AB60" i="10"/>
  <c r="AA60" i="10"/>
  <c r="Z60" i="10"/>
  <c r="X60" i="10"/>
  <c r="W60" i="10"/>
  <c r="V60" i="10"/>
  <c r="T60" i="10"/>
  <c r="S60" i="10"/>
  <c r="R60" i="10"/>
  <c r="P60" i="10"/>
  <c r="O60" i="10"/>
  <c r="N60" i="10"/>
  <c r="L60" i="10"/>
  <c r="K60" i="10"/>
  <c r="J60" i="10"/>
  <c r="H60" i="10"/>
  <c r="G60" i="10"/>
  <c r="F60" i="10"/>
  <c r="AJ59" i="10"/>
  <c r="AI59" i="10"/>
  <c r="AH59" i="10"/>
  <c r="AF59" i="10"/>
  <c r="AE59" i="10"/>
  <c r="AD59" i="10"/>
  <c r="AB59" i="10"/>
  <c r="AA59" i="10"/>
  <c r="Z59" i="10"/>
  <c r="X59" i="10"/>
  <c r="W59" i="10"/>
  <c r="V59" i="10"/>
  <c r="T59" i="10"/>
  <c r="S59" i="10"/>
  <c r="R59" i="10"/>
  <c r="P59" i="10"/>
  <c r="O59" i="10"/>
  <c r="N59" i="10"/>
  <c r="L59" i="10"/>
  <c r="K59" i="10"/>
  <c r="J59" i="10"/>
  <c r="H59" i="10"/>
  <c r="G59" i="10"/>
  <c r="F59" i="10"/>
  <c r="AJ58" i="10"/>
  <c r="AI58" i="10"/>
  <c r="AH58" i="10"/>
  <c r="AF58" i="10"/>
  <c r="AE58" i="10"/>
  <c r="AD58" i="10"/>
  <c r="AB58" i="10"/>
  <c r="AA58" i="10"/>
  <c r="Z58" i="10"/>
  <c r="X58" i="10"/>
  <c r="W58" i="10"/>
  <c r="V58" i="10"/>
  <c r="T58" i="10"/>
  <c r="S58" i="10"/>
  <c r="R58" i="10"/>
  <c r="P58" i="10"/>
  <c r="O58" i="10"/>
  <c r="N58" i="10"/>
  <c r="L58" i="10"/>
  <c r="K58" i="10"/>
  <c r="J58" i="10"/>
  <c r="H58" i="10"/>
  <c r="G58" i="10"/>
  <c r="F58" i="10"/>
  <c r="AJ57" i="10"/>
  <c r="AI57" i="10"/>
  <c r="AH57" i="10"/>
  <c r="AF57" i="10"/>
  <c r="AE57" i="10"/>
  <c r="AD57" i="10"/>
  <c r="AB57" i="10"/>
  <c r="AA57" i="10"/>
  <c r="Z57" i="10"/>
  <c r="X57" i="10"/>
  <c r="W57" i="10"/>
  <c r="V57" i="10"/>
  <c r="T57" i="10"/>
  <c r="S57" i="10"/>
  <c r="R57" i="10"/>
  <c r="P57" i="10"/>
  <c r="O57" i="10"/>
  <c r="N57" i="10"/>
  <c r="L57" i="10"/>
  <c r="K57" i="10"/>
  <c r="J57" i="10"/>
  <c r="H57" i="10"/>
  <c r="G57" i="10"/>
  <c r="F57" i="10"/>
  <c r="AJ56" i="10"/>
  <c r="AI56" i="10"/>
  <c r="AH56" i="10"/>
  <c r="AF56" i="10"/>
  <c r="AE56" i="10"/>
  <c r="AD56" i="10"/>
  <c r="AB56" i="10"/>
  <c r="AA56" i="10"/>
  <c r="Z56" i="10"/>
  <c r="X56" i="10"/>
  <c r="W56" i="10"/>
  <c r="V56" i="10"/>
  <c r="T56" i="10"/>
  <c r="S56" i="10"/>
  <c r="R56" i="10"/>
  <c r="P56" i="10"/>
  <c r="O56" i="10"/>
  <c r="N56" i="10"/>
  <c r="L56" i="10"/>
  <c r="K56" i="10"/>
  <c r="J56" i="10"/>
  <c r="H56" i="10"/>
  <c r="G56" i="10"/>
  <c r="F56" i="10"/>
  <c r="AJ55" i="10"/>
  <c r="AI55" i="10"/>
  <c r="AH55" i="10"/>
  <c r="AF55" i="10"/>
  <c r="AE55" i="10"/>
  <c r="AD55" i="10"/>
  <c r="AB55" i="10"/>
  <c r="AA55" i="10"/>
  <c r="Z55" i="10"/>
  <c r="X55" i="10"/>
  <c r="W55" i="10"/>
  <c r="V55" i="10"/>
  <c r="T55" i="10"/>
  <c r="S55" i="10"/>
  <c r="R55" i="10"/>
  <c r="P55" i="10"/>
  <c r="O55" i="10"/>
  <c r="N55" i="10"/>
  <c r="L55" i="10"/>
  <c r="K55" i="10"/>
  <c r="J55" i="10"/>
  <c r="H55" i="10"/>
  <c r="G55" i="10"/>
  <c r="F55" i="10"/>
  <c r="AJ54" i="10"/>
  <c r="AI54" i="10"/>
  <c r="AH54" i="10"/>
  <c r="AF54" i="10"/>
  <c r="AE54" i="10"/>
  <c r="AD54" i="10"/>
  <c r="AB54" i="10"/>
  <c r="AA54" i="10"/>
  <c r="Z54" i="10"/>
  <c r="X54" i="10"/>
  <c r="W54" i="10"/>
  <c r="V54" i="10"/>
  <c r="T54" i="10"/>
  <c r="S54" i="10"/>
  <c r="R54" i="10"/>
  <c r="P54" i="10"/>
  <c r="O54" i="10"/>
  <c r="N54" i="10"/>
  <c r="L54" i="10"/>
  <c r="K54" i="10"/>
  <c r="J54" i="10"/>
  <c r="H54" i="10"/>
  <c r="G54" i="10"/>
  <c r="F54" i="10"/>
  <c r="AJ53" i="10"/>
  <c r="AI53" i="10"/>
  <c r="AH53" i="10"/>
  <c r="AF53" i="10"/>
  <c r="AE53" i="10"/>
  <c r="AD53" i="10"/>
  <c r="AB53" i="10"/>
  <c r="AA53" i="10"/>
  <c r="Z53" i="10"/>
  <c r="X53" i="10"/>
  <c r="W53" i="10"/>
  <c r="V53" i="10"/>
  <c r="T53" i="10"/>
  <c r="S53" i="10"/>
  <c r="R53" i="10"/>
  <c r="P53" i="10"/>
  <c r="O53" i="10"/>
  <c r="N53" i="10"/>
  <c r="L53" i="10"/>
  <c r="K53" i="10"/>
  <c r="J53" i="10"/>
  <c r="H53" i="10"/>
  <c r="G53" i="10"/>
  <c r="F53" i="10"/>
  <c r="AJ52" i="10"/>
  <c r="AI52" i="10"/>
  <c r="AH52" i="10"/>
  <c r="AF52" i="10"/>
  <c r="AE52" i="10"/>
  <c r="AD52" i="10"/>
  <c r="AB52" i="10"/>
  <c r="AA52" i="10"/>
  <c r="Z52" i="10"/>
  <c r="X52" i="10"/>
  <c r="W52" i="10"/>
  <c r="V52" i="10"/>
  <c r="T52" i="10"/>
  <c r="S52" i="10"/>
  <c r="R52" i="10"/>
  <c r="P52" i="10"/>
  <c r="O52" i="10"/>
  <c r="N52" i="10"/>
  <c r="L52" i="10"/>
  <c r="K52" i="10"/>
  <c r="J52" i="10"/>
  <c r="H52" i="10"/>
  <c r="G52" i="10"/>
  <c r="F52" i="10"/>
  <c r="AJ51" i="10"/>
  <c r="AI51" i="10"/>
  <c r="AH51" i="10"/>
  <c r="AF51" i="10"/>
  <c r="AE51" i="10"/>
  <c r="AD51" i="10"/>
  <c r="AB51" i="10"/>
  <c r="AA51" i="10"/>
  <c r="Z51" i="10"/>
  <c r="X51" i="10"/>
  <c r="W51" i="10"/>
  <c r="V51" i="10"/>
  <c r="T51" i="10"/>
  <c r="S51" i="10"/>
  <c r="R51" i="10"/>
  <c r="P51" i="10"/>
  <c r="O51" i="10"/>
  <c r="N51" i="10"/>
  <c r="L51" i="10"/>
  <c r="K51" i="10"/>
  <c r="J51" i="10"/>
  <c r="H51" i="10"/>
  <c r="G51" i="10"/>
  <c r="F51" i="10"/>
  <c r="AJ50" i="10"/>
  <c r="AI50" i="10"/>
  <c r="AH50" i="10"/>
  <c r="AF50" i="10"/>
  <c r="AE50" i="10"/>
  <c r="AD50" i="10"/>
  <c r="AB50" i="10"/>
  <c r="AA50" i="10"/>
  <c r="Z50" i="10"/>
  <c r="X50" i="10"/>
  <c r="W50" i="10"/>
  <c r="V50" i="10"/>
  <c r="T50" i="10"/>
  <c r="S50" i="10"/>
  <c r="R50" i="10"/>
  <c r="P50" i="10"/>
  <c r="O50" i="10"/>
  <c r="N50" i="10"/>
  <c r="L50" i="10"/>
  <c r="K50" i="10"/>
  <c r="J50" i="10"/>
  <c r="H50" i="10"/>
  <c r="G50" i="10"/>
  <c r="F50" i="10"/>
  <c r="AJ49" i="10"/>
  <c r="AJ103" i="10"/>
  <c r="AI103" i="10"/>
  <c r="AI105" i="10"/>
  <c r="AH103" i="10"/>
  <c r="AH105" i="10"/>
  <c r="AG103" i="10"/>
  <c r="AF49" i="10"/>
  <c r="AF103" i="10"/>
  <c r="AE103" i="10"/>
  <c r="AE105" i="10"/>
  <c r="AD103" i="10"/>
  <c r="AD105" i="10"/>
  <c r="AC103" i="10"/>
  <c r="AB49" i="10"/>
  <c r="AB103" i="10"/>
  <c r="AA103" i="10"/>
  <c r="AA105" i="10"/>
  <c r="Z103" i="10"/>
  <c r="Z105" i="10"/>
  <c r="Y103" i="10"/>
  <c r="X49" i="10"/>
  <c r="X103" i="10"/>
  <c r="W103" i="10"/>
  <c r="W105" i="10"/>
  <c r="V103" i="10"/>
  <c r="V105" i="10"/>
  <c r="U103" i="10"/>
  <c r="T49" i="10"/>
  <c r="T103" i="10"/>
  <c r="S103" i="10"/>
  <c r="S105" i="10"/>
  <c r="R103" i="10"/>
  <c r="R105" i="10"/>
  <c r="Q103" i="10"/>
  <c r="P49" i="10"/>
  <c r="P103" i="10"/>
  <c r="O103" i="10"/>
  <c r="O105" i="10"/>
  <c r="N103" i="10"/>
  <c r="N105" i="10"/>
  <c r="M103" i="10"/>
  <c r="L49" i="10"/>
  <c r="L103" i="10"/>
  <c r="K103" i="10"/>
  <c r="K105" i="10"/>
  <c r="J103" i="10"/>
  <c r="J105" i="10"/>
  <c r="I103" i="10"/>
  <c r="H49" i="10"/>
  <c r="H103" i="10"/>
  <c r="G103" i="10"/>
  <c r="G105" i="10"/>
  <c r="F103" i="10"/>
  <c r="F105" i="10"/>
  <c r="E103" i="10"/>
  <c r="AJ42" i="10"/>
  <c r="AI42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H42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G42" i="10"/>
  <c r="AF42" i="10"/>
  <c r="AE42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D42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C42" i="10"/>
  <c r="AB42" i="10"/>
  <c r="AA42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Z42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Y42" i="10"/>
  <c r="X42" i="10"/>
  <c r="W42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V42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U42" i="10"/>
  <c r="T42" i="10"/>
  <c r="S42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R42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Q42" i="10"/>
  <c r="P42" i="10"/>
  <c r="O42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N42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M42" i="10"/>
  <c r="L42" i="10"/>
  <c r="K42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J42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I42" i="10"/>
  <c r="H42" i="10"/>
  <c r="G42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F42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E42" i="10"/>
  <c r="AJ40" i="10"/>
  <c r="AG40" i="10"/>
  <c r="AF40" i="10"/>
  <c r="AC40" i="10"/>
  <c r="AB40" i="10"/>
  <c r="Y40" i="10"/>
  <c r="X40" i="10"/>
  <c r="U40" i="10"/>
  <c r="T40" i="10"/>
  <c r="Q40" i="10"/>
  <c r="P40" i="10"/>
  <c r="M40" i="10"/>
  <c r="L40" i="10"/>
  <c r="I40" i="10"/>
  <c r="H40" i="10"/>
  <c r="E40" i="10"/>
  <c r="AJ39" i="10"/>
  <c r="AG39" i="10"/>
  <c r="AF39" i="10"/>
  <c r="AC39" i="10"/>
  <c r="AB39" i="10"/>
  <c r="Y39" i="10"/>
  <c r="X39" i="10"/>
  <c r="U39" i="10"/>
  <c r="T39" i="10"/>
  <c r="Q39" i="10"/>
  <c r="P39" i="10"/>
  <c r="M39" i="10"/>
  <c r="L39" i="10"/>
  <c r="I39" i="10"/>
  <c r="H39" i="10"/>
  <c r="E39" i="10"/>
  <c r="AJ38" i="10"/>
  <c r="AG38" i="10"/>
  <c r="AF38" i="10"/>
  <c r="AC38" i="10"/>
  <c r="AB38" i="10"/>
  <c r="Y38" i="10"/>
  <c r="X38" i="10"/>
  <c r="U38" i="10"/>
  <c r="T38" i="10"/>
  <c r="Q38" i="10"/>
  <c r="P38" i="10"/>
  <c r="M38" i="10"/>
  <c r="L38" i="10"/>
  <c r="I38" i="10"/>
  <c r="H38" i="10"/>
  <c r="E38" i="10"/>
  <c r="AJ37" i="10"/>
  <c r="AG37" i="10"/>
  <c r="AF37" i="10"/>
  <c r="AC37" i="10"/>
  <c r="AB37" i="10"/>
  <c r="Y37" i="10"/>
  <c r="X37" i="10"/>
  <c r="U37" i="10"/>
  <c r="T37" i="10"/>
  <c r="Q37" i="10"/>
  <c r="P37" i="10"/>
  <c r="M37" i="10"/>
  <c r="L37" i="10"/>
  <c r="I37" i="10"/>
  <c r="H37" i="10"/>
  <c r="E37" i="10"/>
  <c r="AJ36" i="10"/>
  <c r="AG36" i="10"/>
  <c r="AF36" i="10"/>
  <c r="AC36" i="10"/>
  <c r="AB36" i="10"/>
  <c r="Y36" i="10"/>
  <c r="X36" i="10"/>
  <c r="U36" i="10"/>
  <c r="T36" i="10"/>
  <c r="Q36" i="10"/>
  <c r="P36" i="10"/>
  <c r="M36" i="10"/>
  <c r="L36" i="10"/>
  <c r="I36" i="10"/>
  <c r="H36" i="10"/>
  <c r="E36" i="10"/>
  <c r="AJ35" i="10"/>
  <c r="AG35" i="10"/>
  <c r="AF35" i="10"/>
  <c r="AC35" i="10"/>
  <c r="AB35" i="10"/>
  <c r="Y35" i="10"/>
  <c r="X35" i="10"/>
  <c r="U35" i="10"/>
  <c r="T35" i="10"/>
  <c r="Q35" i="10"/>
  <c r="P35" i="10"/>
  <c r="M35" i="10"/>
  <c r="L35" i="10"/>
  <c r="I35" i="10"/>
  <c r="H35" i="10"/>
  <c r="E35" i="10"/>
  <c r="AJ34" i="10"/>
  <c r="AG34" i="10"/>
  <c r="AF34" i="10"/>
  <c r="AC34" i="10"/>
  <c r="AB34" i="10"/>
  <c r="Y34" i="10"/>
  <c r="X34" i="10"/>
  <c r="U34" i="10"/>
  <c r="T34" i="10"/>
  <c r="Q34" i="10"/>
  <c r="P34" i="10"/>
  <c r="M34" i="10"/>
  <c r="L34" i="10"/>
  <c r="I34" i="10"/>
  <c r="H34" i="10"/>
  <c r="E34" i="10"/>
  <c r="AJ33" i="10"/>
  <c r="AG33" i="10"/>
  <c r="AF33" i="10"/>
  <c r="AC33" i="10"/>
  <c r="AB33" i="10"/>
  <c r="Y33" i="10"/>
  <c r="X33" i="10"/>
  <c r="U33" i="10"/>
  <c r="T33" i="10"/>
  <c r="Q33" i="10"/>
  <c r="P33" i="10"/>
  <c r="M33" i="10"/>
  <c r="L33" i="10"/>
  <c r="I33" i="10"/>
  <c r="H33" i="10"/>
  <c r="E33" i="10"/>
  <c r="AJ32" i="10"/>
  <c r="AG32" i="10"/>
  <c r="AF32" i="10"/>
  <c r="AC32" i="10"/>
  <c r="AB32" i="10"/>
  <c r="Y32" i="10"/>
  <c r="X32" i="10"/>
  <c r="U32" i="10"/>
  <c r="T32" i="10"/>
  <c r="Q32" i="10"/>
  <c r="P32" i="10"/>
  <c r="M32" i="10"/>
  <c r="L32" i="10"/>
  <c r="I32" i="10"/>
  <c r="H32" i="10"/>
  <c r="E32" i="10"/>
  <c r="AJ31" i="10"/>
  <c r="AG31" i="10"/>
  <c r="AF31" i="10"/>
  <c r="AC31" i="10"/>
  <c r="AB31" i="10"/>
  <c r="Y31" i="10"/>
  <c r="X31" i="10"/>
  <c r="U31" i="10"/>
  <c r="T31" i="10"/>
  <c r="Q31" i="10"/>
  <c r="P31" i="10"/>
  <c r="M31" i="10"/>
  <c r="L31" i="10"/>
  <c r="I31" i="10"/>
  <c r="H31" i="10"/>
  <c r="E31" i="10"/>
  <c r="AJ30" i="10"/>
  <c r="AG30" i="10"/>
  <c r="AF30" i="10"/>
  <c r="AC30" i="10"/>
  <c r="AB30" i="10"/>
  <c r="Y30" i="10"/>
  <c r="X30" i="10"/>
  <c r="U30" i="10"/>
  <c r="T30" i="10"/>
  <c r="Q30" i="10"/>
  <c r="P30" i="10"/>
  <c r="M30" i="10"/>
  <c r="L30" i="10"/>
  <c r="I30" i="10"/>
  <c r="H30" i="10"/>
  <c r="E30" i="10"/>
  <c r="AJ29" i="10"/>
  <c r="AG29" i="10"/>
  <c r="AF29" i="10"/>
  <c r="AC29" i="10"/>
  <c r="AB29" i="10"/>
  <c r="Y29" i="10"/>
  <c r="X29" i="10"/>
  <c r="U29" i="10"/>
  <c r="T29" i="10"/>
  <c r="Q29" i="10"/>
  <c r="P29" i="10"/>
  <c r="M29" i="10"/>
  <c r="L29" i="10"/>
  <c r="I29" i="10"/>
  <c r="H29" i="10"/>
  <c r="E29" i="10"/>
  <c r="AJ28" i="10"/>
  <c r="AG28" i="10"/>
  <c r="AF28" i="10"/>
  <c r="AC28" i="10"/>
  <c r="AB28" i="10"/>
  <c r="Y28" i="10"/>
  <c r="X28" i="10"/>
  <c r="U28" i="10"/>
  <c r="T28" i="10"/>
  <c r="Q28" i="10"/>
  <c r="P28" i="10"/>
  <c r="M28" i="10"/>
  <c r="L28" i="10"/>
  <c r="I28" i="10"/>
  <c r="H28" i="10"/>
  <c r="E28" i="10"/>
  <c r="AJ27" i="10"/>
  <c r="AG27" i="10"/>
  <c r="AF27" i="10"/>
  <c r="AC27" i="10"/>
  <c r="AB27" i="10"/>
  <c r="Y27" i="10"/>
  <c r="X27" i="10"/>
  <c r="U27" i="10"/>
  <c r="T27" i="10"/>
  <c r="Q27" i="10"/>
  <c r="P27" i="10"/>
  <c r="M27" i="10"/>
  <c r="L27" i="10"/>
  <c r="I27" i="10"/>
  <c r="H27" i="10"/>
  <c r="E27" i="10"/>
  <c r="AJ26" i="10"/>
  <c r="AG26" i="10"/>
  <c r="AF26" i="10"/>
  <c r="AC26" i="10"/>
  <c r="AB26" i="10"/>
  <c r="Y26" i="10"/>
  <c r="X26" i="10"/>
  <c r="U26" i="10"/>
  <c r="T26" i="10"/>
  <c r="Q26" i="10"/>
  <c r="P26" i="10"/>
  <c r="M26" i="10"/>
  <c r="L26" i="10"/>
  <c r="I26" i="10"/>
  <c r="H26" i="10"/>
  <c r="E26" i="10"/>
  <c r="AJ25" i="10"/>
  <c r="AF25" i="10"/>
  <c r="AC25" i="10"/>
  <c r="AB25" i="10"/>
  <c r="Y25" i="10"/>
  <c r="X25" i="10"/>
  <c r="U25" i="10"/>
  <c r="T25" i="10"/>
  <c r="Q25" i="10"/>
  <c r="P25" i="10"/>
  <c r="M25" i="10"/>
  <c r="L25" i="10"/>
  <c r="I25" i="10"/>
  <c r="H25" i="10"/>
  <c r="E25" i="10"/>
  <c r="AJ24" i="10"/>
  <c r="AJ41" i="10"/>
  <c r="AG24" i="10"/>
  <c r="AG41" i="10"/>
  <c r="AF24" i="10"/>
  <c r="AF41" i="10"/>
  <c r="AC24" i="10"/>
  <c r="AC41" i="10"/>
  <c r="AB24" i="10"/>
  <c r="AB41" i="10"/>
  <c r="Y24" i="10"/>
  <c r="Y41" i="10"/>
  <c r="X24" i="10"/>
  <c r="X41" i="10"/>
  <c r="U24" i="10"/>
  <c r="U41" i="10"/>
  <c r="T24" i="10"/>
  <c r="T41" i="10"/>
  <c r="Q24" i="10"/>
  <c r="Q41" i="10"/>
  <c r="P24" i="10"/>
  <c r="P41" i="10"/>
  <c r="M24" i="10"/>
  <c r="M41" i="10"/>
  <c r="L24" i="10"/>
  <c r="L41" i="10"/>
  <c r="I24" i="10"/>
  <c r="I41" i="10"/>
  <c r="H24" i="10"/>
  <c r="H41" i="10"/>
  <c r="E24" i="10"/>
  <c r="E41" i="10"/>
  <c r="AJ21" i="10"/>
  <c r="AI21" i="10"/>
  <c r="AI45" i="10"/>
  <c r="AH21" i="10"/>
  <c r="AH45" i="10"/>
  <c r="AH97" i="10"/>
  <c r="AG21" i="10"/>
  <c r="AG45" i="10"/>
  <c r="AF21" i="10"/>
  <c r="AE21" i="10"/>
  <c r="AE8" i="10"/>
  <c r="AE99" i="10"/>
  <c r="AD21" i="10"/>
  <c r="AD8" i="10"/>
  <c r="AD99" i="10"/>
  <c r="AC21" i="10"/>
  <c r="AC45" i="10"/>
  <c r="AB21" i="10"/>
  <c r="AA21" i="10"/>
  <c r="AA45" i="10"/>
  <c r="Z21" i="10"/>
  <c r="Z45" i="10"/>
  <c r="Z97" i="10"/>
  <c r="Y21" i="10"/>
  <c r="Y45" i="10"/>
  <c r="X21" i="10"/>
  <c r="W21" i="10"/>
  <c r="W8" i="10"/>
  <c r="W99" i="10"/>
  <c r="V21" i="10"/>
  <c r="V8" i="10"/>
  <c r="V99" i="10"/>
  <c r="U21" i="10"/>
  <c r="U45" i="10"/>
  <c r="T21" i="10"/>
  <c r="S21" i="10"/>
  <c r="S45" i="10"/>
  <c r="R21" i="10"/>
  <c r="R45" i="10"/>
  <c r="R97" i="10"/>
  <c r="Q21" i="10"/>
  <c r="Q45" i="10"/>
  <c r="P21" i="10"/>
  <c r="O21" i="10"/>
  <c r="O8" i="10"/>
  <c r="O99" i="10"/>
  <c r="N21" i="10"/>
  <c r="N8" i="10"/>
  <c r="N99" i="10"/>
  <c r="M21" i="10"/>
  <c r="M45" i="10"/>
  <c r="L21" i="10"/>
  <c r="K21" i="10"/>
  <c r="K45" i="10"/>
  <c r="J21" i="10"/>
  <c r="J45" i="10"/>
  <c r="I21" i="10"/>
  <c r="I45" i="10"/>
  <c r="H21" i="10"/>
  <c r="G21" i="10"/>
  <c r="G8" i="10"/>
  <c r="G99" i="10"/>
  <c r="F21" i="10"/>
  <c r="F8" i="10"/>
  <c r="F99" i="10"/>
  <c r="E21" i="10"/>
  <c r="E45" i="10"/>
  <c r="E97" i="10"/>
  <c r="AJ19" i="10"/>
  <c r="AI19" i="10"/>
  <c r="AH19" i="10"/>
  <c r="AG19" i="10"/>
  <c r="AK19" i="10"/>
  <c r="AL19" i="10"/>
  <c r="AM19" i="10"/>
  <c r="AN19" i="10"/>
  <c r="AO19" i="10"/>
  <c r="AP19" i="10"/>
  <c r="AQ19" i="10"/>
  <c r="AR19" i="10"/>
  <c r="AS19" i="10"/>
  <c r="AT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AJ18" i="10"/>
  <c r="AI18" i="10"/>
  <c r="AH18" i="10"/>
  <c r="AG18" i="10"/>
  <c r="AK18" i="10"/>
  <c r="AL18" i="10"/>
  <c r="AM18" i="10"/>
  <c r="AN18" i="10"/>
  <c r="AO18" i="10"/>
  <c r="AP18" i="10"/>
  <c r="AQ18" i="10"/>
  <c r="AR18" i="10"/>
  <c r="AS18" i="10"/>
  <c r="AT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AJ8" i="10"/>
  <c r="AI8" i="10"/>
  <c r="AI20" i="10"/>
  <c r="AH8" i="10"/>
  <c r="AH20" i="10"/>
  <c r="AG8" i="10"/>
  <c r="AF8" i="10"/>
  <c r="AC8" i="10"/>
  <c r="AB8" i="10"/>
  <c r="AA8" i="10"/>
  <c r="AA20" i="10"/>
  <c r="Z8" i="10"/>
  <c r="Z20" i="10"/>
  <c r="Y8" i="10"/>
  <c r="X8" i="10"/>
  <c r="U8" i="10"/>
  <c r="T8" i="10"/>
  <c r="S8" i="10"/>
  <c r="S20" i="10"/>
  <c r="R8" i="10"/>
  <c r="R20" i="10"/>
  <c r="Q8" i="10"/>
  <c r="P8" i="10"/>
  <c r="M8" i="10"/>
  <c r="L8" i="10"/>
  <c r="K8" i="10"/>
  <c r="K20" i="10"/>
  <c r="J8" i="10"/>
  <c r="J20" i="10"/>
  <c r="I8" i="10"/>
  <c r="H8" i="10"/>
  <c r="E8" i="10"/>
  <c r="B5" i="10"/>
  <c r="AL4" i="10"/>
  <c r="AM4" i="10"/>
  <c r="AK4" i="10"/>
  <c r="AJ4" i="10"/>
  <c r="AI4" i="10"/>
  <c r="AH4" i="10"/>
  <c r="AG4" i="10"/>
  <c r="AG4" i="11"/>
  <c r="AF4" i="10"/>
  <c r="AE4" i="10"/>
  <c r="AD4" i="10"/>
  <c r="AC4" i="10"/>
  <c r="AC4" i="11"/>
  <c r="AB4" i="10"/>
  <c r="AA4" i="10"/>
  <c r="Z4" i="10"/>
  <c r="Y4" i="10"/>
  <c r="Y4" i="11"/>
  <c r="X4" i="10"/>
  <c r="W4" i="10"/>
  <c r="V4" i="10"/>
  <c r="U4" i="10"/>
  <c r="T4" i="10"/>
  <c r="S4" i="10"/>
  <c r="R4" i="10"/>
  <c r="Q4" i="10"/>
  <c r="Q4" i="11"/>
  <c r="P4" i="10"/>
  <c r="O4" i="10"/>
  <c r="N4" i="10"/>
  <c r="M4" i="10"/>
  <c r="M4" i="12"/>
  <c r="L4" i="10"/>
  <c r="K4" i="10"/>
  <c r="J4" i="10"/>
  <c r="I4" i="10"/>
  <c r="I4" i="12"/>
  <c r="H4" i="10"/>
  <c r="G4" i="10"/>
  <c r="F4" i="10"/>
  <c r="E4" i="10"/>
  <c r="E4" i="12"/>
  <c r="B3" i="10"/>
  <c r="E61" i="8"/>
  <c r="D61" i="8"/>
  <c r="C61" i="8"/>
  <c r="E60" i="8"/>
  <c r="D60" i="8"/>
  <c r="C60" i="8"/>
  <c r="E59" i="8"/>
  <c r="D59" i="8"/>
  <c r="C59" i="8"/>
  <c r="E58" i="8"/>
  <c r="D58" i="8"/>
  <c r="C58" i="8"/>
  <c r="E57" i="8"/>
  <c r="D57" i="8"/>
  <c r="C57" i="8"/>
  <c r="E56" i="8"/>
  <c r="D56" i="8"/>
  <c r="C56" i="8"/>
  <c r="E55" i="8"/>
  <c r="D55" i="8"/>
  <c r="C55" i="8"/>
  <c r="M54" i="8"/>
  <c r="L54" i="8"/>
  <c r="K54" i="8"/>
  <c r="E54" i="8"/>
  <c r="D54" i="8"/>
  <c r="C54" i="8"/>
  <c r="M53" i="8"/>
  <c r="L53" i="8"/>
  <c r="K53" i="8"/>
  <c r="E53" i="8"/>
  <c r="D53" i="8"/>
  <c r="C53" i="8"/>
  <c r="M52" i="8"/>
  <c r="L52" i="8"/>
  <c r="K52" i="8"/>
  <c r="E52" i="8"/>
  <c r="D52" i="8"/>
  <c r="C52" i="8"/>
  <c r="M51" i="8"/>
  <c r="L51" i="8"/>
  <c r="K51" i="8"/>
  <c r="E51" i="8"/>
  <c r="D51" i="8"/>
  <c r="C51" i="8"/>
  <c r="E50" i="8"/>
  <c r="D50" i="8"/>
  <c r="C50" i="8"/>
  <c r="E49" i="8"/>
  <c r="D49" i="8"/>
  <c r="C49" i="8"/>
  <c r="E48" i="8"/>
  <c r="D48" i="8"/>
  <c r="C48" i="8"/>
  <c r="E47" i="8"/>
  <c r="D47" i="8"/>
  <c r="C47" i="8"/>
  <c r="M46" i="8"/>
  <c r="L46" i="8"/>
  <c r="K46" i="8"/>
  <c r="E46" i="8"/>
  <c r="D46" i="8"/>
  <c r="C46" i="8"/>
  <c r="B43" i="8"/>
  <c r="M40" i="8"/>
  <c r="L40" i="8"/>
  <c r="K40" i="8"/>
  <c r="E38" i="8"/>
  <c r="E44" i="8"/>
  <c r="D38" i="8"/>
  <c r="D44" i="8"/>
  <c r="C38" i="8"/>
  <c r="C44" i="8"/>
  <c r="E37" i="8"/>
  <c r="E45" i="8"/>
  <c r="D37" i="8"/>
  <c r="D45" i="8"/>
  <c r="C37" i="8"/>
  <c r="C45" i="8"/>
  <c r="M34" i="8"/>
  <c r="L34" i="8"/>
  <c r="K34" i="8"/>
  <c r="E34" i="8"/>
  <c r="D34" i="8"/>
  <c r="C34" i="8"/>
  <c r="M33" i="8"/>
  <c r="L33" i="8"/>
  <c r="K33" i="8"/>
  <c r="M32" i="8"/>
  <c r="L32" i="8"/>
  <c r="K32" i="8"/>
  <c r="M31" i="8"/>
  <c r="L31" i="8"/>
  <c r="K31" i="8"/>
  <c r="H31" i="8"/>
  <c r="G31" i="8"/>
  <c r="E31" i="8"/>
  <c r="D31" i="8"/>
  <c r="C31" i="8"/>
  <c r="M30" i="8"/>
  <c r="L30" i="8"/>
  <c r="K30" i="8"/>
  <c r="D30" i="8"/>
  <c r="M29" i="8"/>
  <c r="L29" i="8"/>
  <c r="K29" i="8"/>
  <c r="E29" i="8"/>
  <c r="D29" i="8"/>
  <c r="C29" i="8"/>
  <c r="M28" i="8"/>
  <c r="L28" i="8"/>
  <c r="K28" i="8"/>
  <c r="H28" i="8"/>
  <c r="G28" i="8"/>
  <c r="E28" i="8"/>
  <c r="D28" i="8"/>
  <c r="C28" i="8"/>
  <c r="E27" i="8"/>
  <c r="D27" i="8"/>
  <c r="C27" i="8"/>
  <c r="M26" i="8"/>
  <c r="L26" i="8"/>
  <c r="K26" i="8"/>
  <c r="E26" i="8"/>
  <c r="D26" i="8"/>
  <c r="C26" i="8"/>
  <c r="M25" i="8"/>
  <c r="L25" i="8"/>
  <c r="K25" i="8"/>
  <c r="E25" i="8"/>
  <c r="D25" i="8"/>
  <c r="C25" i="8"/>
  <c r="M24" i="8"/>
  <c r="M27" i="8"/>
  <c r="L24" i="8"/>
  <c r="L27" i="8"/>
  <c r="K24" i="8"/>
  <c r="K27" i="8"/>
  <c r="E24" i="8"/>
  <c r="D24" i="8"/>
  <c r="C24" i="8"/>
  <c r="M23" i="8"/>
  <c r="L23" i="8"/>
  <c r="K23" i="8"/>
  <c r="H23" i="8"/>
  <c r="G23" i="8"/>
  <c r="E23" i="8"/>
  <c r="D23" i="8"/>
  <c r="C23" i="8"/>
  <c r="E22" i="8"/>
  <c r="D22" i="8"/>
  <c r="C22" i="8"/>
  <c r="M21" i="8"/>
  <c r="L21" i="8"/>
  <c r="K21" i="8"/>
  <c r="E21" i="8"/>
  <c r="D21" i="8"/>
  <c r="C21" i="8"/>
  <c r="M20" i="8"/>
  <c r="L20" i="8"/>
  <c r="K20" i="8"/>
  <c r="M19" i="8"/>
  <c r="L19" i="8"/>
  <c r="K19" i="8"/>
  <c r="M18" i="8"/>
  <c r="M22" i="8"/>
  <c r="L18" i="8"/>
  <c r="L22" i="8"/>
  <c r="K18" i="8"/>
  <c r="K22" i="8"/>
  <c r="E17" i="8"/>
  <c r="D17" i="8"/>
  <c r="C17" i="8"/>
  <c r="M16" i="8"/>
  <c r="L16" i="8"/>
  <c r="K16" i="8"/>
  <c r="E15" i="8"/>
  <c r="D15" i="8"/>
  <c r="C15" i="8"/>
  <c r="M14" i="8"/>
  <c r="L14" i="8"/>
  <c r="K14" i="8"/>
  <c r="M13" i="8"/>
  <c r="L13" i="8"/>
  <c r="K13" i="8"/>
  <c r="E13" i="8"/>
  <c r="D13" i="8"/>
  <c r="C13" i="8"/>
  <c r="M12" i="8"/>
  <c r="L12" i="8"/>
  <c r="K12" i="8"/>
  <c r="M11" i="8"/>
  <c r="L11" i="8"/>
  <c r="K11" i="8"/>
  <c r="E11" i="8"/>
  <c r="D11" i="8"/>
  <c r="C11" i="8"/>
  <c r="M10" i="8"/>
  <c r="M15" i="8"/>
  <c r="L10" i="8"/>
  <c r="L15" i="8"/>
  <c r="K10" i="8"/>
  <c r="K15" i="8"/>
  <c r="M9" i="8"/>
  <c r="M3" i="8"/>
  <c r="M4" i="8"/>
  <c r="M5" i="8"/>
  <c r="M6" i="8"/>
  <c r="M7" i="8"/>
  <c r="M8" i="8"/>
  <c r="L9" i="8"/>
  <c r="K9" i="8"/>
  <c r="K3" i="8"/>
  <c r="K4" i="8"/>
  <c r="K5" i="8"/>
  <c r="K6" i="8"/>
  <c r="K7" i="8"/>
  <c r="K8" i="8"/>
  <c r="E9" i="8"/>
  <c r="D9" i="8"/>
  <c r="C9" i="8"/>
  <c r="L7" i="8"/>
  <c r="E7" i="8"/>
  <c r="D7" i="8"/>
  <c r="C7" i="8"/>
  <c r="L6" i="8"/>
  <c r="L5" i="8"/>
  <c r="H5" i="8"/>
  <c r="G5" i="8"/>
  <c r="E5" i="8"/>
  <c r="D5" i="8"/>
  <c r="C5" i="8"/>
  <c r="L4" i="8"/>
  <c r="E4" i="8"/>
  <c r="D4" i="8"/>
  <c r="C4" i="8"/>
  <c r="L3" i="8"/>
  <c r="L8" i="8"/>
  <c r="H3" i="8"/>
  <c r="G3" i="8"/>
  <c r="E3" i="8"/>
  <c r="D3" i="8"/>
  <c r="C3" i="8"/>
  <c r="G2" i="8"/>
  <c r="O2" i="8"/>
  <c r="C2" i="8"/>
  <c r="K2" i="8"/>
  <c r="J2" i="8"/>
  <c r="H2" i="8"/>
  <c r="P2" i="8"/>
  <c r="O38" i="8"/>
  <c r="F2" i="8"/>
  <c r="N38" i="8"/>
  <c r="E2" i="8"/>
  <c r="E43" i="8"/>
  <c r="D2" i="8"/>
  <c r="L2" i="8"/>
  <c r="K38" i="8"/>
  <c r="B2" i="8"/>
  <c r="D14" i="7"/>
  <c r="D16" i="7"/>
  <c r="E14" i="7"/>
  <c r="D184" i="95"/>
  <c r="C184" i="95"/>
  <c r="C14" i="7"/>
  <c r="B184" i="95"/>
  <c r="E8" i="7"/>
  <c r="D8" i="7"/>
  <c r="C8" i="7"/>
  <c r="F5" i="7"/>
  <c r="G5" i="7"/>
  <c r="H5" i="7"/>
  <c r="F4" i="7"/>
  <c r="E4" i="7"/>
  <c r="E19" i="7"/>
  <c r="D4" i="7"/>
  <c r="D19" i="7"/>
  <c r="C4" i="7"/>
  <c r="C19" i="7"/>
  <c r="H3" i="7"/>
  <c r="G183" i="95"/>
  <c r="G3" i="7"/>
  <c r="F183" i="95"/>
  <c r="F3" i="7"/>
  <c r="E183" i="95"/>
  <c r="E3" i="7"/>
  <c r="D183" i="95"/>
  <c r="D3" i="7"/>
  <c r="C183" i="95"/>
  <c r="C3" i="7"/>
  <c r="B183" i="95"/>
  <c r="C1" i="7"/>
  <c r="B1" i="7"/>
  <c r="U175" i="92"/>
  <c r="AT60" i="11"/>
  <c r="T175" i="92"/>
  <c r="AS60" i="11"/>
  <c r="S175" i="92"/>
  <c r="AR60" i="11"/>
  <c r="R175" i="92"/>
  <c r="AQ60" i="11"/>
  <c r="Q175" i="92"/>
  <c r="AP60" i="11"/>
  <c r="P175" i="92"/>
  <c r="AO60" i="11"/>
  <c r="O175" i="92"/>
  <c r="AN60" i="11"/>
  <c r="N175" i="92"/>
  <c r="AM60" i="11"/>
  <c r="M175" i="92"/>
  <c r="AL60" i="11"/>
  <c r="G25" i="8"/>
  <c r="L175" i="92"/>
  <c r="AK60" i="11"/>
  <c r="F25" i="8"/>
  <c r="K175" i="92"/>
  <c r="J175" i="92"/>
  <c r="I175" i="92"/>
  <c r="H175" i="92"/>
  <c r="G175" i="92"/>
  <c r="F175" i="92"/>
  <c r="U169" i="92"/>
  <c r="T169" i="92"/>
  <c r="S169" i="92"/>
  <c r="R169" i="92"/>
  <c r="Q169" i="92"/>
  <c r="P169" i="92"/>
  <c r="O169" i="92"/>
  <c r="N169" i="92"/>
  <c r="M169" i="92"/>
  <c r="L169" i="92"/>
  <c r="K168" i="92"/>
  <c r="J168" i="92"/>
  <c r="I168" i="92"/>
  <c r="H168" i="92"/>
  <c r="G168" i="92"/>
  <c r="F168" i="92"/>
  <c r="B165" i="92"/>
  <c r="U161" i="92"/>
  <c r="T161" i="92"/>
  <c r="S161" i="92"/>
  <c r="R161" i="92"/>
  <c r="R168" i="92"/>
  <c r="AQ63" i="11"/>
  <c r="Q161" i="92"/>
  <c r="P161" i="92"/>
  <c r="O161" i="92"/>
  <c r="N161" i="92"/>
  <c r="N168" i="92"/>
  <c r="AM63" i="11"/>
  <c r="M161" i="92"/>
  <c r="L161" i="92"/>
  <c r="U160" i="92"/>
  <c r="T160" i="92"/>
  <c r="S160" i="92"/>
  <c r="R160" i="92"/>
  <c r="Q160" i="92"/>
  <c r="P160" i="92"/>
  <c r="O160" i="92"/>
  <c r="N160" i="92"/>
  <c r="M160" i="92"/>
  <c r="L160" i="92"/>
  <c r="K158" i="92"/>
  <c r="J158" i="92"/>
  <c r="I158" i="92"/>
  <c r="H158" i="92"/>
  <c r="L157" i="92"/>
  <c r="G158" i="92"/>
  <c r="F158" i="92"/>
  <c r="H157" i="92"/>
  <c r="G157" i="92"/>
  <c r="F157" i="92"/>
  <c r="J155" i="92"/>
  <c r="H155" i="92"/>
  <c r="L153" i="92"/>
  <c r="L155" i="92"/>
  <c r="M153" i="92"/>
  <c r="M155" i="92"/>
  <c r="N153" i="92"/>
  <c r="N155" i="92"/>
  <c r="O153" i="92"/>
  <c r="O155" i="92"/>
  <c r="P153" i="92"/>
  <c r="P155" i="92"/>
  <c r="Q153" i="92"/>
  <c r="Q155" i="92"/>
  <c r="R153" i="92"/>
  <c r="R155" i="92"/>
  <c r="S153" i="92"/>
  <c r="S155" i="92"/>
  <c r="T153" i="92"/>
  <c r="T155" i="92"/>
  <c r="U153" i="92"/>
  <c r="U155" i="92"/>
  <c r="G155" i="92"/>
  <c r="F155" i="92"/>
  <c r="J154" i="92"/>
  <c r="H153" i="92"/>
  <c r="H154" i="92"/>
  <c r="J153" i="92"/>
  <c r="G153" i="92"/>
  <c r="G154" i="92"/>
  <c r="F153" i="92"/>
  <c r="F154" i="92"/>
  <c r="J151" i="92"/>
  <c r="H151" i="92"/>
  <c r="G151" i="92"/>
  <c r="F151" i="92"/>
  <c r="J149" i="92"/>
  <c r="H149" i="92"/>
  <c r="G149" i="92"/>
  <c r="F149" i="92"/>
  <c r="J148" i="92"/>
  <c r="L147" i="92"/>
  <c r="L149" i="92"/>
  <c r="M147" i="92"/>
  <c r="M149" i="92"/>
  <c r="N147" i="92"/>
  <c r="N149" i="92"/>
  <c r="O147" i="92"/>
  <c r="O149" i="92"/>
  <c r="P147" i="92"/>
  <c r="P149" i="92"/>
  <c r="Q147" i="92"/>
  <c r="Q149" i="92"/>
  <c r="R147" i="92"/>
  <c r="R149" i="92"/>
  <c r="S147" i="92"/>
  <c r="S149" i="92"/>
  <c r="T147" i="92"/>
  <c r="T149" i="92"/>
  <c r="U147" i="92"/>
  <c r="U149" i="92"/>
  <c r="J147" i="92"/>
  <c r="H147" i="92"/>
  <c r="H148" i="92"/>
  <c r="G147" i="92"/>
  <c r="G148" i="92"/>
  <c r="F147" i="92"/>
  <c r="F148" i="92"/>
  <c r="K144" i="92"/>
  <c r="J144" i="92"/>
  <c r="I144" i="92"/>
  <c r="H144" i="92"/>
  <c r="L136" i="92"/>
  <c r="L144" i="92"/>
  <c r="G144" i="92"/>
  <c r="F144" i="92"/>
  <c r="F136" i="92"/>
  <c r="F142" i="92"/>
  <c r="F143" i="92"/>
  <c r="F141" i="92"/>
  <c r="J143" i="92"/>
  <c r="H143" i="92"/>
  <c r="G143" i="92"/>
  <c r="J142" i="92"/>
  <c r="H142" i="92"/>
  <c r="G142" i="92"/>
  <c r="G136" i="92"/>
  <c r="G141" i="92"/>
  <c r="H136" i="92"/>
  <c r="H132" i="92"/>
  <c r="H131" i="92"/>
  <c r="H130" i="92"/>
  <c r="H129" i="92"/>
  <c r="H128" i="92"/>
  <c r="H127" i="92"/>
  <c r="U127" i="92"/>
  <c r="H126" i="92"/>
  <c r="T126" i="92"/>
  <c r="H125" i="92"/>
  <c r="H124" i="92"/>
  <c r="T124" i="92"/>
  <c r="H123" i="92"/>
  <c r="G123" i="92" a="1"/>
  <c r="G132" i="92"/>
  <c r="H118" i="92"/>
  <c r="G121" i="92"/>
  <c r="L121" i="92"/>
  <c r="K118" i="92"/>
  <c r="J118" i="92"/>
  <c r="I118" i="92"/>
  <c r="G118" i="92"/>
  <c r="F118" i="92"/>
  <c r="L117" i="92"/>
  <c r="H117" i="92"/>
  <c r="G117" i="92"/>
  <c r="F117" i="92"/>
  <c r="J115" i="92"/>
  <c r="H115" i="92"/>
  <c r="G115" i="92"/>
  <c r="F115" i="92"/>
  <c r="F113" i="92"/>
  <c r="F114" i="92"/>
  <c r="J114" i="92"/>
  <c r="G113" i="92"/>
  <c r="G114" i="92"/>
  <c r="L113" i="92"/>
  <c r="L115" i="92"/>
  <c r="M113" i="92"/>
  <c r="M115" i="92"/>
  <c r="N113" i="92"/>
  <c r="N115" i="92"/>
  <c r="O113" i="92"/>
  <c r="O115" i="92"/>
  <c r="P113" i="92"/>
  <c r="P115" i="92"/>
  <c r="Q113" i="92"/>
  <c r="Q115" i="92"/>
  <c r="R113" i="92"/>
  <c r="R115" i="92"/>
  <c r="S113" i="92"/>
  <c r="S115" i="92"/>
  <c r="T113" i="92"/>
  <c r="T115" i="92"/>
  <c r="U113" i="92"/>
  <c r="U115" i="92"/>
  <c r="J113" i="92"/>
  <c r="H113" i="92"/>
  <c r="H114" i="92"/>
  <c r="U111" i="92"/>
  <c r="T111" i="92"/>
  <c r="S111" i="92"/>
  <c r="R111" i="92"/>
  <c r="Q111" i="92"/>
  <c r="P111" i="92"/>
  <c r="O111" i="92"/>
  <c r="N111" i="92"/>
  <c r="M111" i="92"/>
  <c r="L111" i="92"/>
  <c r="J108" i="92"/>
  <c r="H108" i="92"/>
  <c r="H121" i="92"/>
  <c r="G108" i="92"/>
  <c r="F108" i="92"/>
  <c r="J107" i="92"/>
  <c r="H106" i="92"/>
  <c r="H107" i="92"/>
  <c r="F106" i="92"/>
  <c r="F107" i="92"/>
  <c r="J106" i="92"/>
  <c r="J111" i="92"/>
  <c r="H111" i="92"/>
  <c r="G106" i="92"/>
  <c r="G111" i="92"/>
  <c r="F111" i="92"/>
  <c r="K101" i="92"/>
  <c r="J101" i="92"/>
  <c r="I101" i="92"/>
  <c r="H101" i="92"/>
  <c r="L93" i="92"/>
  <c r="L101" i="92"/>
  <c r="G101" i="92"/>
  <c r="G93" i="92"/>
  <c r="G99" i="92"/>
  <c r="G100" i="92"/>
  <c r="G98" i="92"/>
  <c r="F101" i="92"/>
  <c r="J100" i="92"/>
  <c r="H100" i="92"/>
  <c r="F100" i="92"/>
  <c r="J99" i="92"/>
  <c r="J15" i="92"/>
  <c r="H99" i="92"/>
  <c r="H15" i="92"/>
  <c r="G15" i="92"/>
  <c r="G10" i="92"/>
  <c r="G16" i="92"/>
  <c r="F99" i="92"/>
  <c r="F15" i="92"/>
  <c r="H93" i="92"/>
  <c r="H98" i="92"/>
  <c r="F93" i="92"/>
  <c r="F98" i="92"/>
  <c r="J93" i="92"/>
  <c r="J98" i="92"/>
  <c r="K90" i="92"/>
  <c r="J90" i="92"/>
  <c r="I90" i="92"/>
  <c r="H90" i="92"/>
  <c r="G90" i="92"/>
  <c r="F90" i="92"/>
  <c r="F86" i="92"/>
  <c r="F88" i="92"/>
  <c r="K88" i="92"/>
  <c r="J88" i="92"/>
  <c r="I88" i="92"/>
  <c r="G86" i="92"/>
  <c r="G88" i="92"/>
  <c r="L86" i="92"/>
  <c r="L90" i="92"/>
  <c r="K86" i="92"/>
  <c r="J86" i="92"/>
  <c r="I86" i="92"/>
  <c r="H86" i="92"/>
  <c r="H88" i="92"/>
  <c r="K83" i="92"/>
  <c r="J83" i="92"/>
  <c r="I83" i="92"/>
  <c r="H83" i="92"/>
  <c r="H80" i="92"/>
  <c r="H81" i="92"/>
  <c r="G83" i="92"/>
  <c r="F83" i="92"/>
  <c r="K81" i="92"/>
  <c r="J81" i="92"/>
  <c r="I81" i="92"/>
  <c r="F80" i="92"/>
  <c r="F81" i="92"/>
  <c r="K80" i="92"/>
  <c r="J80" i="92"/>
  <c r="I80" i="92"/>
  <c r="G80" i="92"/>
  <c r="G81" i="92"/>
  <c r="H77" i="92"/>
  <c r="H76" i="92"/>
  <c r="H75" i="92"/>
  <c r="H74" i="92"/>
  <c r="H73" i="92"/>
  <c r="H72" i="92"/>
  <c r="H71" i="92"/>
  <c r="H70" i="92"/>
  <c r="H69" i="92"/>
  <c r="H68" i="92"/>
  <c r="G68" i="92" a="1"/>
  <c r="G75" i="92"/>
  <c r="T75" i="92"/>
  <c r="K63" i="92"/>
  <c r="J63" i="92"/>
  <c r="I63" i="92"/>
  <c r="H63" i="92"/>
  <c r="G66" i="92"/>
  <c r="G63" i="92"/>
  <c r="F63" i="92"/>
  <c r="H62" i="92"/>
  <c r="G62" i="92"/>
  <c r="F62" i="92"/>
  <c r="J60" i="92"/>
  <c r="H60" i="92"/>
  <c r="G60" i="92"/>
  <c r="F60" i="92"/>
  <c r="J59" i="92"/>
  <c r="G58" i="92"/>
  <c r="G59" i="92"/>
  <c r="L58" i="92"/>
  <c r="L60" i="92"/>
  <c r="M58" i="92"/>
  <c r="M60" i="92"/>
  <c r="N58" i="92"/>
  <c r="N60" i="92"/>
  <c r="O58" i="92"/>
  <c r="O60" i="92"/>
  <c r="P58" i="92"/>
  <c r="P60" i="92"/>
  <c r="Q58" i="92"/>
  <c r="Q60" i="92"/>
  <c r="R58" i="92"/>
  <c r="R60" i="92"/>
  <c r="S58" i="92"/>
  <c r="S60" i="92"/>
  <c r="T58" i="92"/>
  <c r="T60" i="92"/>
  <c r="U58" i="92"/>
  <c r="U60" i="92"/>
  <c r="J58" i="92"/>
  <c r="H58" i="92"/>
  <c r="H59" i="92"/>
  <c r="F58" i="92"/>
  <c r="F59" i="92"/>
  <c r="U56" i="92"/>
  <c r="T56" i="92"/>
  <c r="S56" i="92"/>
  <c r="R56" i="92"/>
  <c r="Q56" i="92"/>
  <c r="P56" i="92"/>
  <c r="O56" i="92"/>
  <c r="N56" i="92"/>
  <c r="M56" i="92"/>
  <c r="L56" i="92"/>
  <c r="J55" i="92"/>
  <c r="H55" i="92"/>
  <c r="H51" i="92"/>
  <c r="H56" i="92"/>
  <c r="G55" i="92"/>
  <c r="G51" i="92"/>
  <c r="G56" i="92"/>
  <c r="F55" i="92"/>
  <c r="F51" i="92"/>
  <c r="F56" i="92"/>
  <c r="J53" i="92"/>
  <c r="H53" i="92"/>
  <c r="H66" i="92"/>
  <c r="G53" i="92"/>
  <c r="F53" i="92"/>
  <c r="J52" i="92"/>
  <c r="G52" i="92"/>
  <c r="L51" i="92"/>
  <c r="L53" i="92"/>
  <c r="M51" i="92"/>
  <c r="M53" i="92"/>
  <c r="N51" i="92"/>
  <c r="N53" i="92"/>
  <c r="O51" i="92"/>
  <c r="O53" i="92"/>
  <c r="P51" i="92"/>
  <c r="P53" i="92"/>
  <c r="Q51" i="92"/>
  <c r="Q53" i="92"/>
  <c r="R51" i="92"/>
  <c r="R53" i="92"/>
  <c r="S51" i="92"/>
  <c r="S53" i="92"/>
  <c r="T51" i="92"/>
  <c r="T53" i="92"/>
  <c r="U51" i="92"/>
  <c r="U53" i="92"/>
  <c r="J51" i="92"/>
  <c r="H52" i="92"/>
  <c r="F52" i="92"/>
  <c r="K46" i="92"/>
  <c r="J46" i="92"/>
  <c r="I46" i="92"/>
  <c r="H46" i="92"/>
  <c r="L42" i="92"/>
  <c r="L44" i="92"/>
  <c r="L12" i="92"/>
  <c r="G46" i="92"/>
  <c r="G42" i="92"/>
  <c r="G43" i="92"/>
  <c r="F46" i="92"/>
  <c r="F42" i="92"/>
  <c r="F43" i="92"/>
  <c r="K43" i="92"/>
  <c r="J43" i="92"/>
  <c r="I43" i="92"/>
  <c r="H42" i="92"/>
  <c r="H43" i="92"/>
  <c r="K42" i="92"/>
  <c r="J42" i="92"/>
  <c r="I42" i="92"/>
  <c r="H38" i="92"/>
  <c r="H37" i="92"/>
  <c r="H36" i="92"/>
  <c r="H35" i="92"/>
  <c r="H34" i="92"/>
  <c r="H33" i="92"/>
  <c r="H32" i="92"/>
  <c r="H31" i="92"/>
  <c r="H30" i="92"/>
  <c r="H29" i="92"/>
  <c r="K24" i="92"/>
  <c r="J24" i="92"/>
  <c r="I24" i="92"/>
  <c r="H24" i="92"/>
  <c r="G27" i="92"/>
  <c r="L27" i="92"/>
  <c r="G24" i="92"/>
  <c r="F24" i="92"/>
  <c r="H23" i="92"/>
  <c r="G23" i="92"/>
  <c r="F23" i="92"/>
  <c r="J20" i="92"/>
  <c r="H20" i="92"/>
  <c r="G20" i="92"/>
  <c r="F20" i="92"/>
  <c r="J19" i="92"/>
  <c r="G18" i="92"/>
  <c r="G19" i="92"/>
  <c r="L18" i="92"/>
  <c r="L20" i="92"/>
  <c r="M18" i="92"/>
  <c r="M20" i="92"/>
  <c r="N18" i="92"/>
  <c r="N20" i="92"/>
  <c r="O18" i="92"/>
  <c r="O20" i="92"/>
  <c r="P18" i="92"/>
  <c r="P20" i="92"/>
  <c r="Q18" i="92"/>
  <c r="Q20" i="92"/>
  <c r="R18" i="92"/>
  <c r="R20" i="92"/>
  <c r="S18" i="92"/>
  <c r="S20" i="92"/>
  <c r="T18" i="92"/>
  <c r="T20" i="92"/>
  <c r="U18" i="92"/>
  <c r="U20" i="92"/>
  <c r="J18" i="92"/>
  <c r="H18" i="92"/>
  <c r="H19" i="92"/>
  <c r="F18" i="92"/>
  <c r="F19" i="92"/>
  <c r="U16" i="92"/>
  <c r="T16" i="92"/>
  <c r="S16" i="92"/>
  <c r="R16" i="92"/>
  <c r="Q16" i="92"/>
  <c r="P16" i="92"/>
  <c r="O16" i="92"/>
  <c r="N16" i="92"/>
  <c r="M16" i="92"/>
  <c r="L16" i="92"/>
  <c r="J13" i="92"/>
  <c r="H13" i="92"/>
  <c r="H27" i="92"/>
  <c r="G13" i="92"/>
  <c r="F13" i="92"/>
  <c r="J11" i="92"/>
  <c r="G11" i="92"/>
  <c r="L10" i="92"/>
  <c r="J10" i="92"/>
  <c r="J16" i="92"/>
  <c r="H10" i="92"/>
  <c r="H11" i="92"/>
  <c r="F10" i="92"/>
  <c r="B3" i="92"/>
  <c r="H230" i="2"/>
  <c r="H231" i="2"/>
  <c r="H232" i="2"/>
  <c r="L228" i="2"/>
  <c r="F230" i="2"/>
  <c r="F231" i="2"/>
  <c r="F232" i="2"/>
  <c r="G231" i="2"/>
  <c r="K230" i="2"/>
  <c r="J230" i="2"/>
  <c r="I230" i="2"/>
  <c r="G230" i="2"/>
  <c r="G232" i="2"/>
  <c r="L227" i="2"/>
  <c r="H227" i="2"/>
  <c r="H226" i="2"/>
  <c r="H228" i="2"/>
  <c r="G227" i="2"/>
  <c r="F227" i="2"/>
  <c r="F226" i="2"/>
  <c r="F228" i="2"/>
  <c r="L226" i="2"/>
  <c r="K226" i="2"/>
  <c r="J226" i="2"/>
  <c r="I226" i="2"/>
  <c r="G226" i="2"/>
  <c r="G228" i="2"/>
  <c r="L217" i="2"/>
  <c r="K217" i="2"/>
  <c r="J217" i="2"/>
  <c r="I217" i="2"/>
  <c r="H217" i="2"/>
  <c r="G217" i="2"/>
  <c r="F217" i="2"/>
  <c r="K215" i="2"/>
  <c r="J215" i="2"/>
  <c r="J207" i="2"/>
  <c r="J210" i="2"/>
  <c r="J214" i="2"/>
  <c r="I215" i="2"/>
  <c r="I207" i="2"/>
  <c r="I210" i="2"/>
  <c r="I214" i="2"/>
  <c r="H215" i="2"/>
  <c r="G215" i="2"/>
  <c r="F215" i="2"/>
  <c r="F207" i="2"/>
  <c r="F210" i="2"/>
  <c r="F214" i="2"/>
  <c r="K207" i="2"/>
  <c r="K210" i="2"/>
  <c r="K214" i="2"/>
  <c r="G207" i="2"/>
  <c r="G210" i="2"/>
  <c r="G214" i="2"/>
  <c r="L211" i="2"/>
  <c r="M211" i="2"/>
  <c r="N211" i="2"/>
  <c r="O211" i="2"/>
  <c r="P211" i="2"/>
  <c r="Q211" i="2"/>
  <c r="R211" i="2"/>
  <c r="S211" i="2"/>
  <c r="T211" i="2"/>
  <c r="U211" i="2"/>
  <c r="L210" i="2"/>
  <c r="AK39" i="11"/>
  <c r="H210" i="2"/>
  <c r="H207" i="2"/>
  <c r="H214" i="2"/>
  <c r="U205" i="2"/>
  <c r="T205" i="2"/>
  <c r="S205" i="2"/>
  <c r="R205" i="2"/>
  <c r="Q205" i="2"/>
  <c r="P205" i="2"/>
  <c r="O205" i="2"/>
  <c r="N205" i="2"/>
  <c r="M205" i="2"/>
  <c r="L205" i="2"/>
  <c r="K204" i="2"/>
  <c r="J204" i="2"/>
  <c r="I204" i="2"/>
  <c r="H204" i="2"/>
  <c r="G204" i="2"/>
  <c r="G202" i="2"/>
  <c r="G203" i="2"/>
  <c r="F204" i="2"/>
  <c r="F202" i="2"/>
  <c r="F203" i="2"/>
  <c r="K203" i="2"/>
  <c r="J203" i="2"/>
  <c r="I203" i="2"/>
  <c r="L202" i="2"/>
  <c r="L204" i="2"/>
  <c r="AK49" i="10"/>
  <c r="K202" i="2"/>
  <c r="J202" i="2"/>
  <c r="I202" i="2"/>
  <c r="H202" i="2"/>
  <c r="H203" i="2"/>
  <c r="U198" i="2"/>
  <c r="T198" i="2"/>
  <c r="S198" i="2"/>
  <c r="R198" i="2"/>
  <c r="Q198" i="2"/>
  <c r="P198" i="2"/>
  <c r="O198" i="2"/>
  <c r="N198" i="2"/>
  <c r="M198" i="2"/>
  <c r="L198" i="2"/>
  <c r="K197" i="2"/>
  <c r="J197" i="2"/>
  <c r="I197" i="2"/>
  <c r="H197" i="2"/>
  <c r="G197" i="2"/>
  <c r="G195" i="2"/>
  <c r="G196" i="2"/>
  <c r="F197" i="2"/>
  <c r="F195" i="2"/>
  <c r="F196" i="2"/>
  <c r="K196" i="2"/>
  <c r="J196" i="2"/>
  <c r="I196" i="2"/>
  <c r="L195" i="2"/>
  <c r="L197" i="2"/>
  <c r="K195" i="2"/>
  <c r="J195" i="2"/>
  <c r="I195" i="2"/>
  <c r="H195" i="2"/>
  <c r="H196" i="2"/>
  <c r="U192" i="2"/>
  <c r="T192" i="2"/>
  <c r="S192" i="2"/>
  <c r="R192" i="2"/>
  <c r="Q192" i="2"/>
  <c r="P192" i="2"/>
  <c r="O192" i="2"/>
  <c r="N192" i="2"/>
  <c r="M192" i="2"/>
  <c r="L192" i="2"/>
  <c r="K191" i="2"/>
  <c r="J191" i="2"/>
  <c r="I191" i="2"/>
  <c r="H191" i="2"/>
  <c r="G191" i="2"/>
  <c r="G189" i="2"/>
  <c r="G190" i="2"/>
  <c r="F191" i="2"/>
  <c r="F189" i="2"/>
  <c r="F190" i="2"/>
  <c r="K190" i="2"/>
  <c r="J190" i="2"/>
  <c r="I190" i="2"/>
  <c r="L189" i="2"/>
  <c r="L191" i="2"/>
  <c r="K189" i="2"/>
  <c r="J189" i="2"/>
  <c r="I189" i="2"/>
  <c r="H189" i="2"/>
  <c r="H190" i="2"/>
  <c r="U186" i="2"/>
  <c r="T186" i="2"/>
  <c r="S186" i="2"/>
  <c r="R186" i="2"/>
  <c r="Q186" i="2"/>
  <c r="P186" i="2"/>
  <c r="O186" i="2"/>
  <c r="N186" i="2"/>
  <c r="M186" i="2"/>
  <c r="L186" i="2"/>
  <c r="K185" i="2"/>
  <c r="J185" i="2"/>
  <c r="I185" i="2"/>
  <c r="H185" i="2"/>
  <c r="G185" i="2"/>
  <c r="G180" i="2"/>
  <c r="G181" i="2"/>
  <c r="F185" i="2"/>
  <c r="F180" i="2"/>
  <c r="F181" i="2"/>
  <c r="K181" i="2"/>
  <c r="J181" i="2"/>
  <c r="I181" i="2"/>
  <c r="L180" i="2"/>
  <c r="L185" i="2"/>
  <c r="K180" i="2"/>
  <c r="J180" i="2"/>
  <c r="I180" i="2"/>
  <c r="H180" i="2"/>
  <c r="H181" i="2"/>
  <c r="U169" i="2"/>
  <c r="U172" i="2"/>
  <c r="U171" i="2"/>
  <c r="T169" i="2"/>
  <c r="T168" i="2"/>
  <c r="S169" i="2"/>
  <c r="S172" i="2"/>
  <c r="S171" i="2"/>
  <c r="R169" i="2"/>
  <c r="R172" i="2"/>
  <c r="R171" i="2"/>
  <c r="Q169" i="2"/>
  <c r="Q172" i="2"/>
  <c r="Q171" i="2"/>
  <c r="P169" i="2"/>
  <c r="P168" i="2"/>
  <c r="O169" i="2"/>
  <c r="O172" i="2"/>
  <c r="O171" i="2"/>
  <c r="N169" i="2"/>
  <c r="N172" i="2"/>
  <c r="N171" i="2"/>
  <c r="M169" i="2"/>
  <c r="M172" i="2"/>
  <c r="M171" i="2"/>
  <c r="L169" i="2"/>
  <c r="L168" i="2"/>
  <c r="S168" i="2"/>
  <c r="R168" i="2"/>
  <c r="O168" i="2"/>
  <c r="N168" i="2"/>
  <c r="K165" i="2"/>
  <c r="J165" i="2"/>
  <c r="I165" i="2"/>
  <c r="H165" i="2"/>
  <c r="G165" i="2"/>
  <c r="F165" i="2"/>
  <c r="K163" i="2"/>
  <c r="J163" i="2"/>
  <c r="I163" i="2"/>
  <c r="H163" i="2"/>
  <c r="B117" i="95"/>
  <c r="G163" i="2"/>
  <c r="G164" i="2"/>
  <c r="F163" i="2"/>
  <c r="F164" i="2"/>
  <c r="U160" i="2"/>
  <c r="T160" i="2"/>
  <c r="S160" i="2"/>
  <c r="R160" i="2"/>
  <c r="Q160" i="2"/>
  <c r="P160" i="2"/>
  <c r="O160" i="2"/>
  <c r="N160" i="2"/>
  <c r="U159" i="2"/>
  <c r="T159" i="2"/>
  <c r="S159" i="2"/>
  <c r="R159" i="2"/>
  <c r="Q159" i="2"/>
  <c r="P159" i="2"/>
  <c r="O159" i="2"/>
  <c r="N159" i="2"/>
  <c r="M155" i="2"/>
  <c r="M160" i="2"/>
  <c r="I155" i="2"/>
  <c r="J155" i="2"/>
  <c r="K155" i="2"/>
  <c r="L155" i="2"/>
  <c r="L160" i="2"/>
  <c r="K160" i="2"/>
  <c r="J160" i="2"/>
  <c r="I160" i="2"/>
  <c r="H155" i="2"/>
  <c r="H160" i="2"/>
  <c r="G155" i="2"/>
  <c r="G160" i="2"/>
  <c r="F155" i="2"/>
  <c r="F160" i="2"/>
  <c r="M154" i="2"/>
  <c r="M159" i="2"/>
  <c r="I154" i="2"/>
  <c r="J154" i="2"/>
  <c r="K154" i="2"/>
  <c r="L154" i="2"/>
  <c r="L159" i="2"/>
  <c r="K159" i="2"/>
  <c r="J159" i="2"/>
  <c r="I159" i="2"/>
  <c r="H154" i="2"/>
  <c r="H159" i="2"/>
  <c r="G154" i="2"/>
  <c r="G159" i="2"/>
  <c r="F154" i="2"/>
  <c r="F159" i="2"/>
  <c r="M153" i="2"/>
  <c r="M158" i="2"/>
  <c r="I153" i="2"/>
  <c r="J153" i="2"/>
  <c r="K153" i="2"/>
  <c r="L153" i="2"/>
  <c r="L158" i="2"/>
  <c r="K158" i="2"/>
  <c r="J158" i="2"/>
  <c r="I158" i="2"/>
  <c r="H153" i="2"/>
  <c r="H158" i="2"/>
  <c r="G153" i="2"/>
  <c r="G158" i="2"/>
  <c r="F153" i="2"/>
  <c r="F158" i="2"/>
  <c r="U152" i="2"/>
  <c r="T152" i="2"/>
  <c r="S152" i="2"/>
  <c r="R152" i="2"/>
  <c r="Q152" i="2"/>
  <c r="P152" i="2"/>
  <c r="O152" i="2"/>
  <c r="N152" i="2"/>
  <c r="M152" i="2"/>
  <c r="L152" i="2"/>
  <c r="U149" i="2"/>
  <c r="T149" i="2"/>
  <c r="S149" i="2"/>
  <c r="R149" i="2"/>
  <c r="Q149" i="2"/>
  <c r="P149" i="2"/>
  <c r="O149" i="2"/>
  <c r="N149" i="2"/>
  <c r="M145" i="2"/>
  <c r="M149" i="2"/>
  <c r="I145" i="2"/>
  <c r="J145" i="2"/>
  <c r="K145" i="2"/>
  <c r="L145" i="2"/>
  <c r="L149" i="2"/>
  <c r="H145" i="2"/>
  <c r="G145" i="2"/>
  <c r="F145" i="2"/>
  <c r="M144" i="2"/>
  <c r="I144" i="2"/>
  <c r="J144" i="2"/>
  <c r="K144" i="2"/>
  <c r="L144" i="2"/>
  <c r="H144" i="2"/>
  <c r="G144" i="2"/>
  <c r="F144" i="2"/>
  <c r="Q140" i="2"/>
  <c r="Q141" i="2"/>
  <c r="U140" i="2"/>
  <c r="U141" i="2"/>
  <c r="T140" i="2"/>
  <c r="T141" i="2"/>
  <c r="S140" i="2"/>
  <c r="S141" i="2"/>
  <c r="R140" i="2"/>
  <c r="R141" i="2"/>
  <c r="P140" i="2"/>
  <c r="P141" i="2"/>
  <c r="O140" i="2"/>
  <c r="O141" i="2"/>
  <c r="N140" i="2"/>
  <c r="N141" i="2"/>
  <c r="K136" i="2"/>
  <c r="K140" i="2"/>
  <c r="M138" i="2"/>
  <c r="I138" i="2"/>
  <c r="J138" i="2"/>
  <c r="K138" i="2"/>
  <c r="L138" i="2"/>
  <c r="H138" i="2"/>
  <c r="G138" i="2"/>
  <c r="F138" i="2"/>
  <c r="K137" i="2"/>
  <c r="J137" i="2"/>
  <c r="I137" i="2"/>
  <c r="M136" i="2"/>
  <c r="M140" i="2"/>
  <c r="K141" i="2"/>
  <c r="J136" i="2"/>
  <c r="J140" i="2"/>
  <c r="J141" i="2"/>
  <c r="I136" i="2"/>
  <c r="I140" i="2"/>
  <c r="H136" i="2"/>
  <c r="G136" i="2"/>
  <c r="F136" i="2"/>
  <c r="M132" i="2"/>
  <c r="M133" i="2"/>
  <c r="J127" i="2"/>
  <c r="J132" i="2"/>
  <c r="I127" i="2"/>
  <c r="I132" i="2"/>
  <c r="K130" i="2"/>
  <c r="J130" i="2"/>
  <c r="I130" i="2"/>
  <c r="L130" i="2"/>
  <c r="K128" i="2"/>
  <c r="J128" i="2"/>
  <c r="J133" i="2"/>
  <c r="I128" i="2"/>
  <c r="K127" i="2"/>
  <c r="K132" i="2"/>
  <c r="I133" i="2"/>
  <c r="B122" i="2"/>
  <c r="U119" i="2"/>
  <c r="AT57" i="11"/>
  <c r="AT18" i="12"/>
  <c r="T119" i="2"/>
  <c r="AS57" i="11"/>
  <c r="AS18" i="12"/>
  <c r="S119" i="2"/>
  <c r="AR57" i="11"/>
  <c r="AR18" i="12"/>
  <c r="R119" i="2"/>
  <c r="AQ57" i="11"/>
  <c r="AQ18" i="12"/>
  <c r="Q119" i="2"/>
  <c r="AP57" i="11"/>
  <c r="AP18" i="12"/>
  <c r="P119" i="2"/>
  <c r="AO57" i="11"/>
  <c r="AO18" i="12"/>
  <c r="O119" i="2"/>
  <c r="AN57" i="11"/>
  <c r="AN18" i="12"/>
  <c r="N119" i="2"/>
  <c r="AM57" i="11"/>
  <c r="M119" i="2"/>
  <c r="AL57" i="11"/>
  <c r="L119" i="2"/>
  <c r="AK57" i="11"/>
  <c r="J117" i="2"/>
  <c r="H117" i="2"/>
  <c r="G117" i="2"/>
  <c r="F117" i="2"/>
  <c r="J116" i="2"/>
  <c r="K115" i="2"/>
  <c r="J115" i="2"/>
  <c r="I115" i="2"/>
  <c r="H115" i="2"/>
  <c r="G115" i="2"/>
  <c r="H116" i="2"/>
  <c r="F115" i="2"/>
  <c r="G116" i="2"/>
  <c r="F116" i="2"/>
  <c r="K111" i="2"/>
  <c r="J111" i="2"/>
  <c r="I111" i="2"/>
  <c r="H111" i="2"/>
  <c r="G111" i="2"/>
  <c r="H112" i="2"/>
  <c r="F111" i="2"/>
  <c r="G112" i="2"/>
  <c r="F112" i="2"/>
  <c r="K109" i="2"/>
  <c r="J109" i="2"/>
  <c r="I109" i="2"/>
  <c r="K108" i="2"/>
  <c r="J108" i="2"/>
  <c r="I108" i="2"/>
  <c r="H108" i="2"/>
  <c r="G108" i="2"/>
  <c r="H109" i="2"/>
  <c r="F108" i="2"/>
  <c r="G109" i="2"/>
  <c r="F109" i="2"/>
  <c r="K106" i="2"/>
  <c r="J106" i="2"/>
  <c r="I106" i="2"/>
  <c r="K105" i="2"/>
  <c r="J105" i="2"/>
  <c r="I105" i="2"/>
  <c r="H105" i="2"/>
  <c r="G105" i="2"/>
  <c r="H106" i="2"/>
  <c r="F105" i="2"/>
  <c r="G106" i="2"/>
  <c r="F106" i="2"/>
  <c r="K103" i="2"/>
  <c r="J103" i="2"/>
  <c r="I103" i="2"/>
  <c r="K102" i="2"/>
  <c r="J102" i="2"/>
  <c r="I102" i="2"/>
  <c r="G102" i="2"/>
  <c r="H103" i="2"/>
  <c r="F102" i="2"/>
  <c r="G103" i="2"/>
  <c r="F103" i="2"/>
  <c r="K100" i="2"/>
  <c r="J100" i="2"/>
  <c r="I100" i="2"/>
  <c r="K99" i="2"/>
  <c r="J99" i="2"/>
  <c r="I99" i="2"/>
  <c r="H99" i="2"/>
  <c r="G99" i="2"/>
  <c r="H100" i="2"/>
  <c r="F99" i="2"/>
  <c r="G100" i="2"/>
  <c r="F100" i="2"/>
  <c r="K92" i="2"/>
  <c r="J92" i="2"/>
  <c r="I92" i="2"/>
  <c r="H91" i="2"/>
  <c r="G91" i="2"/>
  <c r="H92" i="2"/>
  <c r="F91" i="2"/>
  <c r="G92" i="2"/>
  <c r="F92" i="2"/>
  <c r="K88" i="2"/>
  <c r="J88" i="2"/>
  <c r="I88" i="2"/>
  <c r="K87" i="2"/>
  <c r="J87" i="2"/>
  <c r="I87" i="2"/>
  <c r="H87" i="2"/>
  <c r="G87" i="2"/>
  <c r="H88" i="2"/>
  <c r="F87" i="2"/>
  <c r="G88" i="2"/>
  <c r="F88" i="2"/>
  <c r="K84" i="2"/>
  <c r="J84" i="2"/>
  <c r="I84" i="2"/>
  <c r="K83" i="2"/>
  <c r="J83" i="2"/>
  <c r="I83" i="2"/>
  <c r="H83" i="2"/>
  <c r="G83" i="2"/>
  <c r="H84" i="2"/>
  <c r="F83" i="2"/>
  <c r="G84" i="2"/>
  <c r="F84" i="2"/>
  <c r="K80" i="2"/>
  <c r="J80" i="2"/>
  <c r="I80" i="2"/>
  <c r="J79" i="2"/>
  <c r="I79" i="2"/>
  <c r="K76" i="2"/>
  <c r="J76" i="2"/>
  <c r="I76" i="2"/>
  <c r="K75" i="2"/>
  <c r="J75" i="2"/>
  <c r="I75" i="2"/>
  <c r="H75" i="2"/>
  <c r="G75" i="2"/>
  <c r="H76" i="2"/>
  <c r="F75" i="2"/>
  <c r="G76" i="2"/>
  <c r="F76" i="2"/>
  <c r="K72" i="2"/>
  <c r="J72" i="2"/>
  <c r="I72" i="2"/>
  <c r="K71" i="2"/>
  <c r="J71" i="2"/>
  <c r="I71" i="2"/>
  <c r="H71" i="2"/>
  <c r="G71" i="2"/>
  <c r="H72" i="2"/>
  <c r="F71" i="2"/>
  <c r="G72" i="2"/>
  <c r="F72" i="2"/>
  <c r="N4" i="2"/>
  <c r="N68" i="2"/>
  <c r="B67" i="2"/>
  <c r="U6" i="2"/>
  <c r="U58" i="2"/>
  <c r="AT58" i="10"/>
  <c r="Q6" i="2"/>
  <c r="Q58" i="2"/>
  <c r="AP58" i="10"/>
  <c r="M6" i="2"/>
  <c r="M58" i="2"/>
  <c r="AL58" i="10"/>
  <c r="O21" i="8"/>
  <c r="K58" i="2"/>
  <c r="K6" i="2"/>
  <c r="K59" i="2"/>
  <c r="J58" i="2"/>
  <c r="J6" i="2"/>
  <c r="J59" i="2"/>
  <c r="I58" i="2"/>
  <c r="I6" i="2"/>
  <c r="I59" i="2"/>
  <c r="H58" i="2"/>
  <c r="H6" i="2"/>
  <c r="H59" i="2"/>
  <c r="G58" i="2"/>
  <c r="G6" i="2"/>
  <c r="G59" i="2"/>
  <c r="F58" i="2"/>
  <c r="F6" i="2"/>
  <c r="F59" i="2"/>
  <c r="K55" i="2"/>
  <c r="K5" i="2"/>
  <c r="K56" i="2"/>
  <c r="J55" i="2"/>
  <c r="J5" i="2"/>
  <c r="J56" i="2"/>
  <c r="I55" i="2"/>
  <c r="I5" i="2"/>
  <c r="I56" i="2"/>
  <c r="H55" i="2"/>
  <c r="H5" i="2"/>
  <c r="H56" i="2"/>
  <c r="G55" i="2"/>
  <c r="G5" i="2"/>
  <c r="G56" i="2"/>
  <c r="F55" i="2"/>
  <c r="F5" i="2"/>
  <c r="F56" i="2"/>
  <c r="U52" i="2"/>
  <c r="AT56" i="10"/>
  <c r="Q52" i="2"/>
  <c r="AP56" i="10"/>
  <c r="M52" i="2"/>
  <c r="AL56" i="10"/>
  <c r="K52" i="2"/>
  <c r="K53" i="2"/>
  <c r="J52" i="2"/>
  <c r="J53" i="2"/>
  <c r="I52" i="2"/>
  <c r="I53" i="2"/>
  <c r="H52" i="2"/>
  <c r="H53" i="2"/>
  <c r="G52" i="2"/>
  <c r="G53" i="2"/>
  <c r="F52" i="2"/>
  <c r="F53" i="2"/>
  <c r="K49" i="2"/>
  <c r="K50" i="2"/>
  <c r="J49" i="2"/>
  <c r="J50" i="2"/>
  <c r="I49" i="2"/>
  <c r="I50" i="2"/>
  <c r="H49" i="2"/>
  <c r="H50" i="2"/>
  <c r="G49" i="2"/>
  <c r="G50" i="2"/>
  <c r="F49" i="2"/>
  <c r="F50" i="2"/>
  <c r="U5" i="2"/>
  <c r="U46" i="2"/>
  <c r="AT54" i="10"/>
  <c r="Q5" i="2"/>
  <c r="Q46" i="2"/>
  <c r="AP54" i="10"/>
  <c r="M5" i="2"/>
  <c r="M46" i="2"/>
  <c r="AL54" i="10"/>
  <c r="K46" i="2"/>
  <c r="K47" i="2"/>
  <c r="J46" i="2"/>
  <c r="J47" i="2"/>
  <c r="I46" i="2"/>
  <c r="I47" i="2"/>
  <c r="H46" i="2"/>
  <c r="H47" i="2"/>
  <c r="G46" i="2"/>
  <c r="G47" i="2"/>
  <c r="F46" i="2"/>
  <c r="F47" i="2"/>
  <c r="I42" i="2"/>
  <c r="I44" i="2"/>
  <c r="K42" i="2"/>
  <c r="K44" i="2"/>
  <c r="J42" i="2"/>
  <c r="J44" i="2"/>
  <c r="H42" i="2"/>
  <c r="H44" i="2"/>
  <c r="G42" i="2"/>
  <c r="G44" i="2"/>
  <c r="F42" i="2"/>
  <c r="F44" i="2"/>
  <c r="U38" i="2"/>
  <c r="AT52" i="10"/>
  <c r="Q38" i="2"/>
  <c r="AP52" i="10"/>
  <c r="M38" i="2"/>
  <c r="AL52" i="10"/>
  <c r="K38" i="2"/>
  <c r="J38" i="2"/>
  <c r="J40" i="2"/>
  <c r="I38" i="2"/>
  <c r="I40" i="2"/>
  <c r="H38" i="2"/>
  <c r="H40" i="2"/>
  <c r="G38" i="2"/>
  <c r="F38" i="2"/>
  <c r="F40" i="2"/>
  <c r="K32" i="2"/>
  <c r="K33" i="2"/>
  <c r="J32" i="2"/>
  <c r="J33" i="2"/>
  <c r="I32" i="2"/>
  <c r="I33" i="2"/>
  <c r="H32" i="2"/>
  <c r="H33" i="2"/>
  <c r="G32" i="2"/>
  <c r="G33" i="2"/>
  <c r="F32" i="2"/>
  <c r="F33" i="2"/>
  <c r="U28" i="2"/>
  <c r="AT16" i="10"/>
  <c r="Q28" i="2"/>
  <c r="AP16" i="10"/>
  <c r="M28" i="2"/>
  <c r="AL16" i="10"/>
  <c r="K28" i="2"/>
  <c r="J28" i="2"/>
  <c r="J30" i="2"/>
  <c r="I28" i="2"/>
  <c r="I30" i="2"/>
  <c r="H28" i="2"/>
  <c r="H30" i="2"/>
  <c r="G28" i="2"/>
  <c r="F28" i="2"/>
  <c r="F30" i="2"/>
  <c r="I24" i="2"/>
  <c r="I26" i="2"/>
  <c r="K24" i="2"/>
  <c r="K26" i="2"/>
  <c r="J24" i="2"/>
  <c r="J26" i="2"/>
  <c r="H24" i="2"/>
  <c r="H26" i="2"/>
  <c r="G24" i="2"/>
  <c r="G26" i="2"/>
  <c r="F24" i="2"/>
  <c r="F26" i="2"/>
  <c r="U21" i="2"/>
  <c r="AT14" i="10"/>
  <c r="Q21" i="2"/>
  <c r="AP14" i="10"/>
  <c r="M21" i="2"/>
  <c r="AL14" i="10"/>
  <c r="K21" i="2"/>
  <c r="K22" i="2"/>
  <c r="J21" i="2"/>
  <c r="J22" i="2"/>
  <c r="I21" i="2"/>
  <c r="I22" i="2"/>
  <c r="H21" i="2"/>
  <c r="H22" i="2"/>
  <c r="G21" i="2"/>
  <c r="G22" i="2"/>
  <c r="F21" i="2"/>
  <c r="F22" i="2"/>
  <c r="K18" i="2"/>
  <c r="K19" i="2"/>
  <c r="J18" i="2"/>
  <c r="J19" i="2"/>
  <c r="I18" i="2"/>
  <c r="I19" i="2"/>
  <c r="H18" i="2"/>
  <c r="H19" i="2"/>
  <c r="G18" i="2"/>
  <c r="G19" i="2"/>
  <c r="F18" i="2"/>
  <c r="F19" i="2"/>
  <c r="U14" i="2"/>
  <c r="AT12" i="10"/>
  <c r="Q14" i="2"/>
  <c r="AP12" i="10"/>
  <c r="M14" i="2"/>
  <c r="AL12" i="10"/>
  <c r="O5" i="8"/>
  <c r="K14" i="2"/>
  <c r="J14" i="2"/>
  <c r="J16" i="2"/>
  <c r="I14" i="2"/>
  <c r="I16" i="2"/>
  <c r="H14" i="2"/>
  <c r="H16" i="2"/>
  <c r="G14" i="2"/>
  <c r="F14" i="2"/>
  <c r="F16" i="2"/>
  <c r="I10" i="2"/>
  <c r="I12" i="2"/>
  <c r="K10" i="2"/>
  <c r="K12" i="2"/>
  <c r="J10" i="2"/>
  <c r="J12" i="2"/>
  <c r="H10" i="2"/>
  <c r="H12" i="2"/>
  <c r="G10" i="2"/>
  <c r="G12" i="2"/>
  <c r="F10" i="2"/>
  <c r="F12" i="2"/>
  <c r="U42" i="2"/>
  <c r="T6" i="2"/>
  <c r="T42" i="2"/>
  <c r="S6" i="2"/>
  <c r="S58" i="2"/>
  <c r="AR58" i="10"/>
  <c r="R6" i="2"/>
  <c r="R58" i="2"/>
  <c r="AQ58" i="10"/>
  <c r="Q42" i="2"/>
  <c r="P6" i="2"/>
  <c r="P42" i="2"/>
  <c r="O6" i="2"/>
  <c r="O58" i="2"/>
  <c r="AN58" i="10"/>
  <c r="N6" i="2"/>
  <c r="N58" i="2"/>
  <c r="AM58" i="10"/>
  <c r="P21" i="8"/>
  <c r="M42" i="2"/>
  <c r="K39" i="2"/>
  <c r="J39" i="2"/>
  <c r="I43" i="2"/>
  <c r="H43" i="2"/>
  <c r="G39" i="2"/>
  <c r="F39" i="2"/>
  <c r="U55" i="2"/>
  <c r="AT57" i="10"/>
  <c r="T5" i="2"/>
  <c r="T55" i="2"/>
  <c r="AS57" i="10"/>
  <c r="S5" i="2"/>
  <c r="S46" i="2"/>
  <c r="AR54" i="10"/>
  <c r="R5" i="2"/>
  <c r="R46" i="2"/>
  <c r="AQ54" i="10"/>
  <c r="AQ31" i="12"/>
  <c r="Q55" i="2"/>
  <c r="AP57" i="10"/>
  <c r="P5" i="2"/>
  <c r="P55" i="2"/>
  <c r="AO57" i="10"/>
  <c r="AP33" i="12"/>
  <c r="O5" i="2"/>
  <c r="O46" i="2"/>
  <c r="AN54" i="10"/>
  <c r="N5" i="2"/>
  <c r="N46" i="2"/>
  <c r="AM54" i="10"/>
  <c r="AM31" i="12"/>
  <c r="M55" i="2"/>
  <c r="AL57" i="10"/>
  <c r="K15" i="2"/>
  <c r="J15" i="2"/>
  <c r="I25" i="2"/>
  <c r="H25" i="2"/>
  <c r="G15" i="2"/>
  <c r="F15" i="2"/>
  <c r="N4" i="92"/>
  <c r="M4" i="2"/>
  <c r="M4" i="92"/>
  <c r="L4" i="2"/>
  <c r="L68" i="2"/>
  <c r="K4" i="2"/>
  <c r="K68" i="2"/>
  <c r="J4" i="2"/>
  <c r="J4" i="92"/>
  <c r="J166" i="92"/>
  <c r="I4" i="2"/>
  <c r="I4" i="92"/>
  <c r="I166" i="92"/>
  <c r="H4" i="2"/>
  <c r="H68" i="2"/>
  <c r="G4" i="2"/>
  <c r="G68" i="2"/>
  <c r="F4" i="2"/>
  <c r="F4" i="92"/>
  <c r="F166" i="92"/>
  <c r="B3" i="2"/>
  <c r="AN50" i="1"/>
  <c r="U28" i="103"/>
  <c r="AM50" i="1"/>
  <c r="T28" i="103"/>
  <c r="AL50" i="1"/>
  <c r="S28" i="103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K50" i="1"/>
  <c r="J50" i="1"/>
  <c r="I50" i="1"/>
  <c r="AN47" i="1"/>
  <c r="U27" i="103"/>
  <c r="AM47" i="1"/>
  <c r="T27" i="103"/>
  <c r="AL47" i="1"/>
  <c r="S27" i="103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K47" i="1"/>
  <c r="J47" i="1"/>
  <c r="I47" i="1"/>
  <c r="AW44" i="1"/>
  <c r="AV44" i="1"/>
  <c r="AU44" i="1"/>
  <c r="AT44" i="1"/>
  <c r="AS44" i="1"/>
  <c r="AR44" i="1"/>
  <c r="AQ44" i="1"/>
  <c r="AP44" i="1"/>
  <c r="AO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AN43" i="1"/>
  <c r="U24" i="103"/>
  <c r="AM43" i="1"/>
  <c r="T24" i="103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K43" i="1"/>
  <c r="J43" i="1"/>
  <c r="I43" i="1"/>
  <c r="AN42" i="1"/>
  <c r="U23" i="103"/>
  <c r="U25" i="103"/>
  <c r="AM42" i="1"/>
  <c r="T23" i="103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K42" i="1"/>
  <c r="J42" i="1"/>
  <c r="I42" i="1"/>
  <c r="AN40" i="1"/>
  <c r="AM40" i="1"/>
  <c r="AL40" i="1"/>
  <c r="AL6" i="1"/>
  <c r="AL39" i="1"/>
  <c r="S20" i="103"/>
  <c r="AW39" i="1"/>
  <c r="AD20" i="103"/>
  <c r="AV39" i="1"/>
  <c r="AC20" i="103"/>
  <c r="AU39" i="1"/>
  <c r="AB20" i="103"/>
  <c r="AT39" i="1"/>
  <c r="AA20" i="103"/>
  <c r="AS39" i="1"/>
  <c r="Z20" i="103"/>
  <c r="AR39" i="1"/>
  <c r="Y20" i="103"/>
  <c r="AQ39" i="1"/>
  <c r="X20" i="103"/>
  <c r="AP39" i="1"/>
  <c r="W20" i="103"/>
  <c r="AO39" i="1"/>
  <c r="V20" i="103"/>
  <c r="AK39" i="1"/>
  <c r="AJ39" i="1"/>
  <c r="AJ6" i="1"/>
  <c r="AJ40" i="1"/>
  <c r="AI39" i="1"/>
  <c r="AI6" i="1"/>
  <c r="AI40" i="1"/>
  <c r="AH39" i="1"/>
  <c r="AG39" i="1"/>
  <c r="AF39" i="1"/>
  <c r="AF6" i="1"/>
  <c r="AF40" i="1"/>
  <c r="AE39" i="1"/>
  <c r="AE6" i="1"/>
  <c r="AE40" i="1"/>
  <c r="AD39" i="1"/>
  <c r="AC39" i="1"/>
  <c r="AB39" i="1"/>
  <c r="AB6" i="1"/>
  <c r="AB40" i="1"/>
  <c r="AA39" i="1"/>
  <c r="AA6" i="1"/>
  <c r="AA40" i="1"/>
  <c r="Z39" i="1"/>
  <c r="Y39" i="1"/>
  <c r="X39" i="1"/>
  <c r="X6" i="1"/>
  <c r="X40" i="1"/>
  <c r="W39" i="1"/>
  <c r="W6" i="1"/>
  <c r="W40" i="1"/>
  <c r="U39" i="1"/>
  <c r="AT66" i="11"/>
  <c r="T39" i="1"/>
  <c r="AS66" i="11"/>
  <c r="S39" i="1"/>
  <c r="AR66" i="11"/>
  <c r="AR55" i="12"/>
  <c r="R39" i="1"/>
  <c r="AQ66" i="11"/>
  <c r="Q39" i="1"/>
  <c r="AP66" i="11"/>
  <c r="P39" i="1"/>
  <c r="AO66" i="11"/>
  <c r="O39" i="1"/>
  <c r="AN66" i="11"/>
  <c r="AN55" i="12"/>
  <c r="N39" i="1"/>
  <c r="AM66" i="11"/>
  <c r="M39" i="1"/>
  <c r="AL66" i="11"/>
  <c r="L39" i="1"/>
  <c r="AK66" i="11"/>
  <c r="K39" i="1"/>
  <c r="K6" i="1"/>
  <c r="K40" i="1"/>
  <c r="J39" i="1"/>
  <c r="J6" i="1"/>
  <c r="J40" i="1"/>
  <c r="I39" i="1"/>
  <c r="I6" i="1"/>
  <c r="I40" i="1"/>
  <c r="AN37" i="1"/>
  <c r="AM37" i="1"/>
  <c r="AM6" i="1"/>
  <c r="AM36" i="1"/>
  <c r="T15" i="103"/>
  <c r="AL37" i="1"/>
  <c r="AL36" i="1"/>
  <c r="S15" i="103"/>
  <c r="AW36" i="1"/>
  <c r="AD15" i="103"/>
  <c r="AV36" i="1"/>
  <c r="AC15" i="103"/>
  <c r="AU36" i="1"/>
  <c r="AB15" i="103"/>
  <c r="AT36" i="1"/>
  <c r="AA15" i="103"/>
  <c r="AS36" i="1"/>
  <c r="Z15" i="103"/>
  <c r="AR36" i="1"/>
  <c r="Y15" i="103"/>
  <c r="AQ36" i="1"/>
  <c r="X15" i="103"/>
  <c r="AP36" i="1"/>
  <c r="W15" i="103"/>
  <c r="AO36" i="1"/>
  <c r="V15" i="103"/>
  <c r="AK36" i="1"/>
  <c r="AK6" i="1"/>
  <c r="AK37" i="1"/>
  <c r="AJ36" i="1"/>
  <c r="AJ37" i="1"/>
  <c r="AI36" i="1"/>
  <c r="AH36" i="1"/>
  <c r="AG36" i="1"/>
  <c r="AG6" i="1"/>
  <c r="AG37" i="1"/>
  <c r="AF36" i="1"/>
  <c r="AF37" i="1"/>
  <c r="AE36" i="1"/>
  <c r="AD36" i="1"/>
  <c r="AC36" i="1"/>
  <c r="AC6" i="1"/>
  <c r="AC37" i="1"/>
  <c r="AB36" i="1"/>
  <c r="AB37" i="1"/>
  <c r="AA36" i="1"/>
  <c r="Z36" i="1"/>
  <c r="Y36" i="1"/>
  <c r="Y6" i="1"/>
  <c r="Y37" i="1"/>
  <c r="X36" i="1"/>
  <c r="X37" i="1"/>
  <c r="W36" i="1"/>
  <c r="U36" i="1"/>
  <c r="AT51" i="11"/>
  <c r="T36" i="1"/>
  <c r="AS51" i="11"/>
  <c r="S36" i="1"/>
  <c r="AR51" i="11"/>
  <c r="R36" i="1"/>
  <c r="AQ51" i="11"/>
  <c r="Q36" i="1"/>
  <c r="AP51" i="11"/>
  <c r="P36" i="1"/>
  <c r="AO51" i="11"/>
  <c r="O36" i="1"/>
  <c r="AN51" i="11"/>
  <c r="N36" i="1"/>
  <c r="AM51" i="11"/>
  <c r="M36" i="1"/>
  <c r="AL51" i="11"/>
  <c r="K36" i="1"/>
  <c r="K37" i="1"/>
  <c r="J36" i="1"/>
  <c r="J37" i="1"/>
  <c r="I36" i="1"/>
  <c r="I37" i="1"/>
  <c r="AN34" i="1"/>
  <c r="AN6" i="1"/>
  <c r="AN33" i="1"/>
  <c r="U14" i="103"/>
  <c r="AM34" i="1"/>
  <c r="AM33" i="1"/>
  <c r="T14" i="103"/>
  <c r="AL34" i="1"/>
  <c r="AW33" i="1"/>
  <c r="AD14" i="103"/>
  <c r="AV33" i="1"/>
  <c r="AC14" i="103"/>
  <c r="AU33" i="1"/>
  <c r="AB14" i="103"/>
  <c r="AT33" i="1"/>
  <c r="AA14" i="103"/>
  <c r="AS33" i="1"/>
  <c r="Z14" i="103"/>
  <c r="AR33" i="1"/>
  <c r="Y14" i="103"/>
  <c r="AQ33" i="1"/>
  <c r="X14" i="103"/>
  <c r="AP33" i="1"/>
  <c r="W14" i="103"/>
  <c r="AO33" i="1"/>
  <c r="V14" i="103"/>
  <c r="AK33" i="1"/>
  <c r="AK34" i="1"/>
  <c r="AJ33" i="1"/>
  <c r="AI33" i="1"/>
  <c r="AH33" i="1"/>
  <c r="AH6" i="1"/>
  <c r="AH34" i="1"/>
  <c r="AG33" i="1"/>
  <c r="AG34" i="1"/>
  <c r="AF33" i="1"/>
  <c r="AE33" i="1"/>
  <c r="AD33" i="1"/>
  <c r="AD6" i="1"/>
  <c r="AD34" i="1"/>
  <c r="AC33" i="1"/>
  <c r="AC34" i="1"/>
  <c r="AB33" i="1"/>
  <c r="AA33" i="1"/>
  <c r="Z33" i="1"/>
  <c r="Z6" i="1"/>
  <c r="Z34" i="1"/>
  <c r="Y33" i="1"/>
  <c r="Y34" i="1"/>
  <c r="X33" i="1"/>
  <c r="W33" i="1"/>
  <c r="U33" i="1"/>
  <c r="AT49" i="11"/>
  <c r="T33" i="1"/>
  <c r="AS49" i="11"/>
  <c r="S33" i="1"/>
  <c r="AR49" i="11"/>
  <c r="R33" i="1"/>
  <c r="AQ49" i="11"/>
  <c r="Q33" i="1"/>
  <c r="AP49" i="11"/>
  <c r="P33" i="1"/>
  <c r="AO49" i="11"/>
  <c r="O33" i="1"/>
  <c r="AN49" i="11"/>
  <c r="N33" i="1"/>
  <c r="AM49" i="11"/>
  <c r="M33" i="1"/>
  <c r="AL49" i="11"/>
  <c r="L33" i="1"/>
  <c r="AK49" i="11"/>
  <c r="K33" i="1"/>
  <c r="K34" i="1"/>
  <c r="J33" i="1"/>
  <c r="J34" i="1"/>
  <c r="I33" i="1"/>
  <c r="I34" i="1"/>
  <c r="AN31" i="1"/>
  <c r="AN30" i="1"/>
  <c r="U12" i="103"/>
  <c r="U4" i="103"/>
  <c r="U39" i="103"/>
  <c r="AM31" i="1"/>
  <c r="AL31" i="1"/>
  <c r="AW30" i="1"/>
  <c r="AD12" i="103"/>
  <c r="AD39" i="103"/>
  <c r="AV30" i="1"/>
  <c r="AC12" i="103"/>
  <c r="AC39" i="103"/>
  <c r="AU30" i="1"/>
  <c r="AB12" i="103"/>
  <c r="AB39" i="103"/>
  <c r="AT30" i="1"/>
  <c r="AA12" i="103"/>
  <c r="AA39" i="103"/>
  <c r="AS30" i="1"/>
  <c r="Z12" i="103"/>
  <c r="Z39" i="103"/>
  <c r="AR30" i="1"/>
  <c r="Y12" i="103"/>
  <c r="Y39" i="103"/>
  <c r="AQ30" i="1"/>
  <c r="X12" i="103"/>
  <c r="X39" i="103"/>
  <c r="AP30" i="1"/>
  <c r="W12" i="103"/>
  <c r="W39" i="103"/>
  <c r="AO30" i="1"/>
  <c r="V12" i="103"/>
  <c r="V39" i="103"/>
  <c r="AK30" i="1"/>
  <c r="AJ30" i="1"/>
  <c r="AI30" i="1"/>
  <c r="AI31" i="1"/>
  <c r="AH30" i="1"/>
  <c r="AH31" i="1"/>
  <c r="AG30" i="1"/>
  <c r="AG31" i="1"/>
  <c r="AF30" i="1"/>
  <c r="AE30" i="1"/>
  <c r="AE31" i="1"/>
  <c r="AD30" i="1"/>
  <c r="AD31" i="1"/>
  <c r="AC30" i="1"/>
  <c r="AC31" i="1"/>
  <c r="AB30" i="1"/>
  <c r="AA30" i="1"/>
  <c r="AA31" i="1"/>
  <c r="Z30" i="1"/>
  <c r="Z31" i="1"/>
  <c r="Y30" i="1"/>
  <c r="Y31" i="1"/>
  <c r="X30" i="1"/>
  <c r="W30" i="1"/>
  <c r="W31" i="1"/>
  <c r="U30" i="1"/>
  <c r="AT33" i="11"/>
  <c r="AT34" i="11"/>
  <c r="T30" i="1"/>
  <c r="AS33" i="11"/>
  <c r="AS34" i="11"/>
  <c r="S30" i="1"/>
  <c r="AR33" i="11"/>
  <c r="AR34" i="11"/>
  <c r="R30" i="1"/>
  <c r="AQ33" i="11"/>
  <c r="AQ34" i="11"/>
  <c r="Q30" i="1"/>
  <c r="AP33" i="11"/>
  <c r="AP34" i="11"/>
  <c r="P30" i="1"/>
  <c r="AO33" i="11"/>
  <c r="AO34" i="11"/>
  <c r="O30" i="1"/>
  <c r="AN33" i="11"/>
  <c r="AN34" i="11"/>
  <c r="N30" i="1"/>
  <c r="AM33" i="11"/>
  <c r="M30" i="1"/>
  <c r="AL33" i="11"/>
  <c r="K30" i="1"/>
  <c r="K31" i="1"/>
  <c r="J30" i="1"/>
  <c r="J31" i="1"/>
  <c r="I30" i="1"/>
  <c r="I31" i="1"/>
  <c r="AN28" i="1"/>
  <c r="AM28" i="1"/>
  <c r="AL28" i="1"/>
  <c r="AW27" i="1"/>
  <c r="AD11" i="103"/>
  <c r="AD38" i="103"/>
  <c r="AV27" i="1"/>
  <c r="AC11" i="103"/>
  <c r="AC38" i="103"/>
  <c r="AU27" i="1"/>
  <c r="AB11" i="103"/>
  <c r="AB38" i="103"/>
  <c r="AT27" i="1"/>
  <c r="AA11" i="103"/>
  <c r="AA38" i="103"/>
  <c r="AS27" i="1"/>
  <c r="Z11" i="103"/>
  <c r="Z38" i="103"/>
  <c r="AR27" i="1"/>
  <c r="Y11" i="103"/>
  <c r="Y38" i="103"/>
  <c r="AQ27" i="1"/>
  <c r="X11" i="103"/>
  <c r="X38" i="103"/>
  <c r="AP27" i="1"/>
  <c r="W11" i="103"/>
  <c r="W38" i="103"/>
  <c r="AO27" i="1"/>
  <c r="V11" i="103"/>
  <c r="V38" i="103"/>
  <c r="AM27" i="1"/>
  <c r="T11" i="103"/>
  <c r="T4" i="103"/>
  <c r="T38" i="103"/>
  <c r="AK27" i="1"/>
  <c r="AJ27" i="1"/>
  <c r="AJ28" i="1"/>
  <c r="AI27" i="1"/>
  <c r="AI28" i="1"/>
  <c r="AH27" i="1"/>
  <c r="AH28" i="1"/>
  <c r="AG27" i="1"/>
  <c r="AF27" i="1"/>
  <c r="AF28" i="1"/>
  <c r="AE27" i="1"/>
  <c r="AE28" i="1"/>
  <c r="AD27" i="1"/>
  <c r="AD28" i="1"/>
  <c r="AC27" i="1"/>
  <c r="AB27" i="1"/>
  <c r="AB28" i="1"/>
  <c r="AA27" i="1"/>
  <c r="AA28" i="1"/>
  <c r="Z27" i="1"/>
  <c r="Z28" i="1"/>
  <c r="Y27" i="1"/>
  <c r="X27" i="1"/>
  <c r="X28" i="1"/>
  <c r="W27" i="1"/>
  <c r="W28" i="1"/>
  <c r="U27" i="1"/>
  <c r="AT31" i="11"/>
  <c r="AT32" i="11"/>
  <c r="T27" i="1"/>
  <c r="AS31" i="11"/>
  <c r="AS32" i="11"/>
  <c r="S27" i="1"/>
  <c r="AR31" i="11"/>
  <c r="AR32" i="11"/>
  <c r="R27" i="1"/>
  <c r="AQ31" i="11"/>
  <c r="AQ32" i="11"/>
  <c r="Q27" i="1"/>
  <c r="AP31" i="11"/>
  <c r="AP32" i="11"/>
  <c r="P27" i="1"/>
  <c r="AO31" i="11"/>
  <c r="AO32" i="11"/>
  <c r="O27" i="1"/>
  <c r="AN31" i="11"/>
  <c r="AN32" i="11"/>
  <c r="N27" i="1"/>
  <c r="AM31" i="11"/>
  <c r="M27" i="1"/>
  <c r="AL31" i="11"/>
  <c r="L27" i="1"/>
  <c r="AK31" i="11"/>
  <c r="K27" i="1"/>
  <c r="K28" i="1"/>
  <c r="J27" i="1"/>
  <c r="J28" i="1"/>
  <c r="I27" i="1"/>
  <c r="I28" i="1"/>
  <c r="AN25" i="1"/>
  <c r="AM25" i="1"/>
  <c r="AL25" i="1"/>
  <c r="AL24" i="1"/>
  <c r="S10" i="103"/>
  <c r="AH24" i="1"/>
  <c r="AH25" i="1"/>
  <c r="AD24" i="1"/>
  <c r="AD25" i="1"/>
  <c r="Z24" i="1"/>
  <c r="Z25" i="1"/>
  <c r="AW24" i="1"/>
  <c r="AD10" i="103"/>
  <c r="AD37" i="103"/>
  <c r="AV24" i="1"/>
  <c r="AC10" i="103"/>
  <c r="AC37" i="103"/>
  <c r="AU24" i="1"/>
  <c r="AB10" i="103"/>
  <c r="AB37" i="103"/>
  <c r="AT24" i="1"/>
  <c r="AA10" i="103"/>
  <c r="AA37" i="103"/>
  <c r="AS24" i="1"/>
  <c r="Z10" i="103"/>
  <c r="Z37" i="103"/>
  <c r="AR24" i="1"/>
  <c r="Y10" i="103"/>
  <c r="Y37" i="103"/>
  <c r="AQ24" i="1"/>
  <c r="X10" i="103"/>
  <c r="X37" i="103"/>
  <c r="AP24" i="1"/>
  <c r="W10" i="103"/>
  <c r="W37" i="103"/>
  <c r="AO24" i="1"/>
  <c r="V10" i="103"/>
  <c r="V37" i="103"/>
  <c r="AN24" i="1"/>
  <c r="U10" i="103"/>
  <c r="U37" i="103"/>
  <c r="AK24" i="1"/>
  <c r="AK25" i="1"/>
  <c r="AJ24" i="1"/>
  <c r="AJ25" i="1"/>
  <c r="AI24" i="1"/>
  <c r="AI25" i="1"/>
  <c r="AG24" i="1"/>
  <c r="AG25" i="1"/>
  <c r="AF24" i="1"/>
  <c r="AF25" i="1"/>
  <c r="AE24" i="1"/>
  <c r="AE25" i="1"/>
  <c r="AC24" i="1"/>
  <c r="AC25" i="1"/>
  <c r="AB24" i="1"/>
  <c r="AB25" i="1"/>
  <c r="AA24" i="1"/>
  <c r="AA25" i="1"/>
  <c r="Y24" i="1"/>
  <c r="Y25" i="1"/>
  <c r="X24" i="1"/>
  <c r="X25" i="1"/>
  <c r="W24" i="1"/>
  <c r="W25" i="1"/>
  <c r="U24" i="1"/>
  <c r="AT29" i="11"/>
  <c r="AT30" i="11"/>
  <c r="T24" i="1"/>
  <c r="AS29" i="11"/>
  <c r="AS30" i="11"/>
  <c r="S24" i="1"/>
  <c r="AR29" i="11"/>
  <c r="AR30" i="11"/>
  <c r="R24" i="1"/>
  <c r="AQ29" i="11"/>
  <c r="AQ30" i="11"/>
  <c r="Q24" i="1"/>
  <c r="AP29" i="11"/>
  <c r="AP30" i="11"/>
  <c r="P24" i="1"/>
  <c r="AO29" i="11"/>
  <c r="AO30" i="11"/>
  <c r="O24" i="1"/>
  <c r="AN29" i="11"/>
  <c r="AN30" i="11"/>
  <c r="N24" i="1"/>
  <c r="AM29" i="11"/>
  <c r="M24" i="1"/>
  <c r="AL29" i="11"/>
  <c r="K24" i="1"/>
  <c r="K25" i="1"/>
  <c r="J24" i="1"/>
  <c r="J25" i="1"/>
  <c r="I24" i="1"/>
  <c r="I25" i="1"/>
  <c r="AN22" i="1"/>
  <c r="AN21" i="1"/>
  <c r="U9" i="103"/>
  <c r="U36" i="103"/>
  <c r="AM22" i="1"/>
  <c r="AM21" i="1"/>
  <c r="T9" i="103"/>
  <c r="T36" i="103"/>
  <c r="AL22" i="1"/>
  <c r="AI21" i="1"/>
  <c r="AI22" i="1"/>
  <c r="AE21" i="1"/>
  <c r="AE22" i="1"/>
  <c r="AA21" i="1"/>
  <c r="AA22" i="1"/>
  <c r="W21" i="1"/>
  <c r="W22" i="1"/>
  <c r="AW21" i="1"/>
  <c r="AD9" i="103"/>
  <c r="AD36" i="103"/>
  <c r="AV21" i="1"/>
  <c r="AC9" i="103"/>
  <c r="AC36" i="103"/>
  <c r="AU21" i="1"/>
  <c r="AB9" i="103"/>
  <c r="AB36" i="103"/>
  <c r="AT21" i="1"/>
  <c r="AA9" i="103"/>
  <c r="AA36" i="103"/>
  <c r="AS21" i="1"/>
  <c r="Z9" i="103"/>
  <c r="Z36" i="103"/>
  <c r="AR21" i="1"/>
  <c r="Y9" i="103"/>
  <c r="Y36" i="103"/>
  <c r="AQ21" i="1"/>
  <c r="X9" i="103"/>
  <c r="X36" i="103"/>
  <c r="AP21" i="1"/>
  <c r="W9" i="103"/>
  <c r="W36" i="103"/>
  <c r="AO21" i="1"/>
  <c r="V9" i="103"/>
  <c r="AK21" i="1"/>
  <c r="AK22" i="1"/>
  <c r="AJ21" i="1"/>
  <c r="AH21" i="1"/>
  <c r="AH22" i="1"/>
  <c r="AG21" i="1"/>
  <c r="AG22" i="1"/>
  <c r="AF21" i="1"/>
  <c r="AD21" i="1"/>
  <c r="AD22" i="1"/>
  <c r="AC21" i="1"/>
  <c r="AC22" i="1"/>
  <c r="AB21" i="1"/>
  <c r="AB22" i="1"/>
  <c r="Z21" i="1"/>
  <c r="Z22" i="1"/>
  <c r="Y21" i="1"/>
  <c r="Y22" i="1"/>
  <c r="X21" i="1"/>
  <c r="X22" i="1"/>
  <c r="U21" i="1"/>
  <c r="AT27" i="11"/>
  <c r="AT28" i="11"/>
  <c r="T21" i="1"/>
  <c r="AS27" i="11"/>
  <c r="AS28" i="11"/>
  <c r="S21" i="1"/>
  <c r="AR27" i="11"/>
  <c r="AR28" i="11"/>
  <c r="R21" i="1"/>
  <c r="AQ27" i="11"/>
  <c r="AQ28" i="11"/>
  <c r="Q21" i="1"/>
  <c r="AP27" i="11"/>
  <c r="AP28" i="11"/>
  <c r="P21" i="1"/>
  <c r="AO27" i="11"/>
  <c r="AO28" i="11"/>
  <c r="O21" i="1"/>
  <c r="AN27" i="11"/>
  <c r="AN28" i="11"/>
  <c r="N21" i="1"/>
  <c r="AM27" i="11"/>
  <c r="M21" i="1"/>
  <c r="AL27" i="11"/>
  <c r="L21" i="1"/>
  <c r="AK27" i="11"/>
  <c r="K21" i="1"/>
  <c r="K22" i="1"/>
  <c r="J21" i="1"/>
  <c r="J22" i="1"/>
  <c r="I21" i="1"/>
  <c r="I22" i="1"/>
  <c r="AW4" i="1"/>
  <c r="AW20" i="1"/>
  <c r="AS4" i="1"/>
  <c r="AS20" i="1"/>
  <c r="AO4" i="1"/>
  <c r="AO20" i="1"/>
  <c r="AK4" i="1"/>
  <c r="AK20" i="1"/>
  <c r="AG4" i="1"/>
  <c r="AG20" i="1"/>
  <c r="AC4" i="1"/>
  <c r="AC20" i="1"/>
  <c r="Y4" i="1"/>
  <c r="Y20" i="1"/>
  <c r="AW14" i="1"/>
  <c r="AW15" i="1"/>
  <c r="AV14" i="1"/>
  <c r="AV15" i="1"/>
  <c r="AU14" i="1"/>
  <c r="AU15" i="1"/>
  <c r="AT14" i="1"/>
  <c r="AT15" i="1"/>
  <c r="AS14" i="1"/>
  <c r="AS15" i="1"/>
  <c r="AR14" i="1"/>
  <c r="AR15" i="1"/>
  <c r="AQ14" i="1"/>
  <c r="AQ15" i="1"/>
  <c r="AP14" i="1"/>
  <c r="AP15" i="1"/>
  <c r="AO14" i="1"/>
  <c r="AO15" i="1"/>
  <c r="U14" i="1"/>
  <c r="U15" i="1"/>
  <c r="T14" i="1"/>
  <c r="T15" i="1"/>
  <c r="S14" i="1"/>
  <c r="S15" i="1"/>
  <c r="R14" i="1"/>
  <c r="R15" i="1"/>
  <c r="Q14" i="1"/>
  <c r="Q15" i="1"/>
  <c r="P14" i="1"/>
  <c r="P15" i="1"/>
  <c r="O14" i="1"/>
  <c r="O15" i="1"/>
  <c r="N14" i="1"/>
  <c r="N15" i="1"/>
  <c r="M14" i="1"/>
  <c r="M15" i="1"/>
  <c r="L14" i="1"/>
  <c r="L15" i="1"/>
  <c r="AN12" i="1"/>
  <c r="U8" i="103"/>
  <c r="AM12" i="1"/>
  <c r="T8" i="103"/>
  <c r="AL12" i="1"/>
  <c r="AK12" i="1"/>
  <c r="AJ12" i="1"/>
  <c r="AI12" i="1"/>
  <c r="AH12" i="1"/>
  <c r="AH10" i="1"/>
  <c r="AH9" i="1"/>
  <c r="AG12" i="1"/>
  <c r="AF12" i="1"/>
  <c r="AE12" i="1"/>
  <c r="AD12" i="1"/>
  <c r="AD10" i="1"/>
  <c r="AD9" i="1"/>
  <c r="AC12" i="1"/>
  <c r="AB12" i="1"/>
  <c r="AA12" i="1"/>
  <c r="Z12" i="1"/>
  <c r="Z10" i="1"/>
  <c r="Z9" i="1"/>
  <c r="Y12" i="1"/>
  <c r="X12" i="1"/>
  <c r="W12" i="1"/>
  <c r="K12" i="1"/>
  <c r="K10" i="1"/>
  <c r="K9" i="1"/>
  <c r="J12" i="1"/>
  <c r="I12" i="1"/>
  <c r="AW11" i="1"/>
  <c r="AV11" i="1"/>
  <c r="AU11" i="1"/>
  <c r="AT11" i="1"/>
  <c r="AS11" i="1"/>
  <c r="AN10" i="1"/>
  <c r="AR11" i="1"/>
  <c r="AO11" i="1"/>
  <c r="AG10" i="1"/>
  <c r="AN11" i="1"/>
  <c r="AJ10" i="1"/>
  <c r="AF10" i="1"/>
  <c r="AJ11" i="1"/>
  <c r="AB10" i="1"/>
  <c r="AF11" i="1"/>
  <c r="X10" i="1"/>
  <c r="AB11" i="1"/>
  <c r="U11" i="1"/>
  <c r="T11" i="1"/>
  <c r="S11" i="1"/>
  <c r="R11" i="1"/>
  <c r="Q11" i="1"/>
  <c r="P11" i="1"/>
  <c r="O11" i="1"/>
  <c r="N11" i="1"/>
  <c r="M11" i="1"/>
  <c r="L11" i="1"/>
  <c r="J10" i="1"/>
  <c r="K11" i="1"/>
  <c r="U7" i="103"/>
  <c r="AM10" i="1"/>
  <c r="T7" i="103"/>
  <c r="AL10" i="1"/>
  <c r="AK10" i="1"/>
  <c r="AK11" i="1"/>
  <c r="AJ9" i="1"/>
  <c r="AI10" i="1"/>
  <c r="AI9" i="1"/>
  <c r="AH11" i="1"/>
  <c r="AC10" i="1"/>
  <c r="AG11" i="1"/>
  <c r="AF9" i="1"/>
  <c r="AE10" i="1"/>
  <c r="AE9" i="1"/>
  <c r="AD11" i="1"/>
  <c r="Y10" i="1"/>
  <c r="AC11" i="1"/>
  <c r="AB9" i="1"/>
  <c r="AA10" i="1"/>
  <c r="AA9" i="1"/>
  <c r="X9" i="1"/>
  <c r="W10" i="1"/>
  <c r="W9" i="1"/>
  <c r="I10" i="1"/>
  <c r="J11" i="1"/>
  <c r="I11" i="1"/>
  <c r="AW9" i="1"/>
  <c r="AV9" i="1"/>
  <c r="AU9" i="1"/>
  <c r="AT9" i="1"/>
  <c r="AS9" i="1"/>
  <c r="AR9" i="1"/>
  <c r="AQ9" i="1"/>
  <c r="AP9" i="1"/>
  <c r="AO9" i="1"/>
  <c r="AK9" i="1"/>
  <c r="AG9" i="1"/>
  <c r="AC9" i="1"/>
  <c r="Y9" i="1"/>
  <c r="U9" i="1"/>
  <c r="T9" i="1"/>
  <c r="S9" i="1"/>
  <c r="R9" i="1"/>
  <c r="Q9" i="1"/>
  <c r="P9" i="1"/>
  <c r="O9" i="1"/>
  <c r="N9" i="1"/>
  <c r="M9" i="1"/>
  <c r="L9" i="1"/>
  <c r="J9" i="1"/>
  <c r="I9" i="1"/>
  <c r="AN8" i="1"/>
  <c r="U5" i="103"/>
  <c r="AM8" i="1"/>
  <c r="T5" i="103"/>
  <c r="AL8" i="1"/>
  <c r="AK8" i="1"/>
  <c r="AJ8" i="1"/>
  <c r="AJ5" i="1"/>
  <c r="AI8" i="1"/>
  <c r="AH8" i="1"/>
  <c r="AG8" i="1"/>
  <c r="AF8" i="1"/>
  <c r="AF5" i="1"/>
  <c r="AE8" i="1"/>
  <c r="AD8" i="1"/>
  <c r="AC8" i="1"/>
  <c r="AB8" i="1"/>
  <c r="AB5" i="1"/>
  <c r="AA8" i="1"/>
  <c r="Z8" i="1"/>
  <c r="Y8" i="1"/>
  <c r="X8" i="1"/>
  <c r="X5" i="1"/>
  <c r="W8" i="1"/>
  <c r="K8" i="1"/>
  <c r="J8" i="1"/>
  <c r="I8" i="1"/>
  <c r="AW7" i="1"/>
  <c r="AV7" i="1"/>
  <c r="AU7" i="1"/>
  <c r="AT7" i="1"/>
  <c r="AS7" i="1"/>
  <c r="AQ7" i="1"/>
  <c r="AP7" i="1"/>
  <c r="AM7" i="1"/>
  <c r="AL7" i="1"/>
  <c r="AI7" i="1"/>
  <c r="AH7" i="1"/>
  <c r="AE7" i="1"/>
  <c r="AD7" i="1"/>
  <c r="AA7" i="1"/>
  <c r="U7" i="1"/>
  <c r="T7" i="1"/>
  <c r="S7" i="1"/>
  <c r="R7" i="1"/>
  <c r="Q7" i="1"/>
  <c r="P7" i="1"/>
  <c r="O7" i="1"/>
  <c r="N7" i="1"/>
  <c r="M7" i="1"/>
  <c r="I7" i="1"/>
  <c r="AL30" i="1"/>
  <c r="S12" i="103"/>
  <c r="AK14" i="1"/>
  <c r="AK15" i="1"/>
  <c r="AJ7" i="1"/>
  <c r="AI37" i="1"/>
  <c r="AH40" i="1"/>
  <c r="AG14" i="1"/>
  <c r="AG15" i="1"/>
  <c r="AF7" i="1"/>
  <c r="AE37" i="1"/>
  <c r="AD40" i="1"/>
  <c r="AC14" i="1"/>
  <c r="AC15" i="1"/>
  <c r="AB7" i="1"/>
  <c r="AA37" i="1"/>
  <c r="Z40" i="1"/>
  <c r="Y14" i="1"/>
  <c r="Y15" i="1"/>
  <c r="X34" i="1"/>
  <c r="W37" i="1"/>
  <c r="K7" i="1"/>
  <c r="J7" i="1"/>
  <c r="I14" i="1"/>
  <c r="I15" i="1"/>
  <c r="AW5" i="1"/>
  <c r="AD3" i="103"/>
  <c r="AV5" i="1"/>
  <c r="AC3" i="103"/>
  <c r="AU5" i="1"/>
  <c r="AB3" i="103"/>
  <c r="AT5" i="1"/>
  <c r="AA3" i="103"/>
  <c r="AS5" i="1"/>
  <c r="Z3" i="103"/>
  <c r="AR5" i="1"/>
  <c r="Y3" i="103"/>
  <c r="AQ5" i="1"/>
  <c r="X3" i="103"/>
  <c r="AP5" i="1"/>
  <c r="W3" i="103"/>
  <c r="AO5" i="1"/>
  <c r="V3" i="103"/>
  <c r="AM5" i="1"/>
  <c r="T3" i="103"/>
  <c r="AI5" i="1"/>
  <c r="AE5" i="1"/>
  <c r="AA5" i="1"/>
  <c r="W5" i="1"/>
  <c r="U5" i="1"/>
  <c r="T5" i="1"/>
  <c r="S5" i="1"/>
  <c r="R5" i="1"/>
  <c r="Q5" i="1"/>
  <c r="P5" i="1"/>
  <c r="O5" i="1"/>
  <c r="N5" i="1"/>
  <c r="M5" i="1"/>
  <c r="L5" i="1"/>
  <c r="K5" i="1"/>
  <c r="J5" i="1"/>
  <c r="I5" i="1"/>
  <c r="AD2" i="103"/>
  <c r="AD33" i="103"/>
  <c r="AV4" i="1"/>
  <c r="AC2" i="103"/>
  <c r="AC33" i="103"/>
  <c r="AU4" i="1"/>
  <c r="AB2" i="103"/>
  <c r="AB33" i="103"/>
  <c r="AT4" i="1"/>
  <c r="AA2" i="103"/>
  <c r="AA33" i="103"/>
  <c r="Z2" i="103"/>
  <c r="Z33" i="103"/>
  <c r="AR4" i="1"/>
  <c r="Y2" i="103"/>
  <c r="Y33" i="103"/>
  <c r="AQ4" i="1"/>
  <c r="X2" i="103"/>
  <c r="X33" i="103"/>
  <c r="AP4" i="1"/>
  <c r="W2" i="103"/>
  <c r="W33" i="103"/>
  <c r="V2" i="103"/>
  <c r="V33" i="103"/>
  <c r="AN4" i="1"/>
  <c r="U2" i="103"/>
  <c r="U33" i="103"/>
  <c r="AM4" i="1"/>
  <c r="T2" i="103"/>
  <c r="T33" i="103"/>
  <c r="AL4" i="1"/>
  <c r="S2" i="103"/>
  <c r="S33" i="103"/>
  <c r="AJ4" i="1"/>
  <c r="AJ20" i="1"/>
  <c r="AI4" i="1"/>
  <c r="AI20" i="1"/>
  <c r="AH4" i="1"/>
  <c r="AH20" i="1"/>
  <c r="AF4" i="1"/>
  <c r="AF20" i="1"/>
  <c r="AE4" i="1"/>
  <c r="AE20" i="1"/>
  <c r="AD4" i="1"/>
  <c r="AD20" i="1"/>
  <c r="AB4" i="1"/>
  <c r="AB20" i="1"/>
  <c r="AA4" i="1"/>
  <c r="AA20" i="1"/>
  <c r="Z4" i="1"/>
  <c r="Z20" i="1"/>
  <c r="X4" i="1"/>
  <c r="X20" i="1"/>
  <c r="W4" i="1"/>
  <c r="W20" i="1"/>
  <c r="N4" i="1"/>
  <c r="M4" i="1"/>
  <c r="L4" i="1"/>
  <c r="K4" i="1"/>
  <c r="K20" i="1"/>
  <c r="J4" i="1"/>
  <c r="J20" i="1"/>
  <c r="I4" i="1"/>
  <c r="I20" i="1"/>
  <c r="B3" i="1"/>
  <c r="AC9" i="104"/>
  <c r="AC10" i="104"/>
  <c r="Y9" i="104"/>
  <c r="Y10" i="104"/>
  <c r="AD9" i="104"/>
  <c r="AD10" i="104"/>
  <c r="AB9" i="104"/>
  <c r="AB10" i="104"/>
  <c r="AA9" i="104"/>
  <c r="AA10" i="104"/>
  <c r="Z9" i="104"/>
  <c r="Z10" i="104"/>
  <c r="X9" i="104"/>
  <c r="X10" i="104"/>
  <c r="W9" i="104"/>
  <c r="W10" i="104"/>
  <c r="V9" i="104"/>
  <c r="V10" i="104"/>
  <c r="U9" i="104"/>
  <c r="U10" i="104"/>
  <c r="AD8" i="104"/>
  <c r="AC8" i="104"/>
  <c r="AB8" i="104"/>
  <c r="AA8" i="104"/>
  <c r="Z8" i="104"/>
  <c r="Y8" i="104"/>
  <c r="X8" i="104"/>
  <c r="W8" i="104"/>
  <c r="V8" i="104"/>
  <c r="T7" i="104"/>
  <c r="S7" i="104"/>
  <c r="U8" i="104"/>
  <c r="R7" i="104"/>
  <c r="Q7" i="104"/>
  <c r="P7" i="104"/>
  <c r="O7" i="104"/>
  <c r="N7" i="104"/>
  <c r="M7" i="104"/>
  <c r="L7" i="104"/>
  <c r="K7" i="104"/>
  <c r="J7" i="104"/>
  <c r="I7" i="104"/>
  <c r="H7" i="104"/>
  <c r="G7" i="104"/>
  <c r="F7" i="104"/>
  <c r="E7" i="104"/>
  <c r="AD6" i="104"/>
  <c r="AC6" i="104"/>
  <c r="AB6" i="104"/>
  <c r="AA6" i="104"/>
  <c r="Z6" i="104"/>
  <c r="Y6" i="104"/>
  <c r="X6" i="104"/>
  <c r="W6" i="104"/>
  <c r="V6" i="104"/>
  <c r="T6" i="104"/>
  <c r="R6" i="104"/>
  <c r="P6" i="104"/>
  <c r="N6" i="104"/>
  <c r="L6" i="104"/>
  <c r="J6" i="104"/>
  <c r="H6" i="104"/>
  <c r="T5" i="104"/>
  <c r="T9" i="104"/>
  <c r="T10" i="104"/>
  <c r="S5" i="104"/>
  <c r="U6" i="104"/>
  <c r="R5" i="104"/>
  <c r="R9" i="104"/>
  <c r="R10" i="104"/>
  <c r="Q5" i="104"/>
  <c r="Q9" i="104"/>
  <c r="Q10" i="104"/>
  <c r="P5" i="104"/>
  <c r="P9" i="104"/>
  <c r="P10" i="104"/>
  <c r="O5" i="104"/>
  <c r="O9" i="104"/>
  <c r="O10" i="104"/>
  <c r="N5" i="104"/>
  <c r="N9" i="104"/>
  <c r="N10" i="104"/>
  <c r="M5" i="104"/>
  <c r="M9" i="104"/>
  <c r="M10" i="104"/>
  <c r="L5" i="104"/>
  <c r="L9" i="104"/>
  <c r="L10" i="104"/>
  <c r="K5" i="104"/>
  <c r="K9" i="104"/>
  <c r="K10" i="104"/>
  <c r="J5" i="104"/>
  <c r="J9" i="104"/>
  <c r="J10" i="104"/>
  <c r="I5" i="104"/>
  <c r="I9" i="104"/>
  <c r="I10" i="104"/>
  <c r="H5" i="104"/>
  <c r="H9" i="104"/>
  <c r="H10" i="104"/>
  <c r="G5" i="104"/>
  <c r="G9" i="104"/>
  <c r="G10" i="104"/>
  <c r="F5" i="104"/>
  <c r="F9" i="104"/>
  <c r="F10" i="104"/>
  <c r="E5" i="104"/>
  <c r="E9" i="104"/>
  <c r="E10" i="104"/>
  <c r="V4" i="104"/>
  <c r="W4" i="104"/>
  <c r="X4" i="104"/>
  <c r="Y4" i="104"/>
  <c r="Z4" i="104"/>
  <c r="AA4" i="104"/>
  <c r="AB4" i="104"/>
  <c r="AC4" i="104"/>
  <c r="AD4" i="104"/>
  <c r="U4" i="104"/>
  <c r="T4" i="104"/>
  <c r="S4" i="104"/>
  <c r="R4" i="104"/>
  <c r="Q4" i="104"/>
  <c r="P4" i="104"/>
  <c r="O4" i="104"/>
  <c r="N4" i="104"/>
  <c r="M4" i="104"/>
  <c r="L4" i="104"/>
  <c r="K4" i="104"/>
  <c r="J4" i="104"/>
  <c r="I4" i="104"/>
  <c r="H4" i="104"/>
  <c r="G4" i="104"/>
  <c r="F4" i="104"/>
  <c r="E4" i="104"/>
  <c r="A1" i="104"/>
  <c r="D8" i="33"/>
  <c r="D7" i="33"/>
  <c r="U132" i="92"/>
  <c r="F16" i="92"/>
  <c r="M168" i="92"/>
  <c r="AL63" i="11"/>
  <c r="Q168" i="92"/>
  <c r="AP63" i="11"/>
  <c r="M166" i="92"/>
  <c r="M65" i="92"/>
  <c r="M26" i="92"/>
  <c r="M120" i="92"/>
  <c r="AT33" i="12"/>
  <c r="N166" i="92"/>
  <c r="N120" i="92"/>
  <c r="N65" i="92"/>
  <c r="N26" i="92"/>
  <c r="AK67" i="10"/>
  <c r="AK67" i="12"/>
  <c r="M189" i="2"/>
  <c r="M191" i="2"/>
  <c r="N18" i="8"/>
  <c r="F57" i="8"/>
  <c r="M202" i="2"/>
  <c r="AN31" i="12"/>
  <c r="AR31" i="12"/>
  <c r="AO53" i="10"/>
  <c r="P44" i="2"/>
  <c r="AS53" i="10"/>
  <c r="T44" i="2"/>
  <c r="AL53" i="10"/>
  <c r="M44" i="2"/>
  <c r="AP53" i="10"/>
  <c r="Q44" i="2"/>
  <c r="AT53" i="10"/>
  <c r="U44" i="2"/>
  <c r="B75" i="95"/>
  <c r="AK66" i="10"/>
  <c r="M180" i="2"/>
  <c r="M185" i="2"/>
  <c r="AK65" i="10"/>
  <c r="AK103" i="10"/>
  <c r="M195" i="2"/>
  <c r="M197" i="2"/>
  <c r="V36" i="103"/>
  <c r="L1" i="102"/>
  <c r="H1" i="102"/>
  <c r="D1" i="102"/>
  <c r="E188" i="95"/>
  <c r="T1" i="102"/>
  <c r="B4" i="7"/>
  <c r="Z5" i="1"/>
  <c r="AD5" i="1"/>
  <c r="AH5" i="1"/>
  <c r="AL5" i="1"/>
  <c r="S3" i="103"/>
  <c r="W45" i="103"/>
  <c r="W51" i="103"/>
  <c r="AA45" i="103"/>
  <c r="AA51" i="103"/>
  <c r="U52" i="103"/>
  <c r="U35" i="103"/>
  <c r="L7" i="1"/>
  <c r="AC7" i="1"/>
  <c r="AG7" i="1"/>
  <c r="AK7" i="1"/>
  <c r="AO7" i="1"/>
  <c r="AN9" i="1"/>
  <c r="S7" i="103"/>
  <c r="AK15" i="11"/>
  <c r="AA11" i="1"/>
  <c r="AE11" i="1"/>
  <c r="AI11" i="1"/>
  <c r="AM11" i="1"/>
  <c r="AQ11" i="1"/>
  <c r="Z14" i="1"/>
  <c r="Z15" i="1"/>
  <c r="AD14" i="1"/>
  <c r="AD15" i="1"/>
  <c r="AH14" i="1"/>
  <c r="AH15" i="1"/>
  <c r="AL14" i="1"/>
  <c r="AL15" i="1"/>
  <c r="AN20" i="1"/>
  <c r="AR20" i="1"/>
  <c r="AV20" i="1"/>
  <c r="AM24" i="1"/>
  <c r="T10" i="103"/>
  <c r="T37" i="103"/>
  <c r="AL27" i="1"/>
  <c r="S11" i="103"/>
  <c r="L30" i="1"/>
  <c r="AK33" i="11"/>
  <c r="T25" i="103"/>
  <c r="S24" i="103"/>
  <c r="AK79" i="11"/>
  <c r="B46" i="101"/>
  <c r="AM44" i="1"/>
  <c r="N10" i="2"/>
  <c r="R10" i="2"/>
  <c r="F11" i="2"/>
  <c r="J11" i="2"/>
  <c r="P14" i="2"/>
  <c r="T14" i="2"/>
  <c r="H15" i="2"/>
  <c r="N18" i="2"/>
  <c r="AM13" i="10"/>
  <c r="R18" i="2"/>
  <c r="AQ13" i="10"/>
  <c r="P21" i="2"/>
  <c r="AO14" i="10"/>
  <c r="AP27" i="12"/>
  <c r="T21" i="2"/>
  <c r="AS14" i="10"/>
  <c r="AT27" i="12"/>
  <c r="N24" i="2"/>
  <c r="R24" i="2"/>
  <c r="F25" i="2"/>
  <c r="J25" i="2"/>
  <c r="P28" i="2"/>
  <c r="T28" i="2"/>
  <c r="H29" i="2"/>
  <c r="N32" i="2"/>
  <c r="AM17" i="10"/>
  <c r="R32" i="2"/>
  <c r="AQ17" i="10"/>
  <c r="P38" i="2"/>
  <c r="T38" i="2"/>
  <c r="H39" i="2"/>
  <c r="N42" i="2"/>
  <c r="R42" i="2"/>
  <c r="F43" i="2"/>
  <c r="J43" i="2"/>
  <c r="P46" i="2"/>
  <c r="AO54" i="10"/>
  <c r="AO31" i="12"/>
  <c r="T46" i="2"/>
  <c r="AS54" i="10"/>
  <c r="AS31" i="12"/>
  <c r="N49" i="2"/>
  <c r="AM55" i="10"/>
  <c r="R49" i="2"/>
  <c r="AQ55" i="10"/>
  <c r="P52" i="2"/>
  <c r="AO56" i="10"/>
  <c r="T52" i="2"/>
  <c r="AS56" i="10"/>
  <c r="N55" i="2"/>
  <c r="AM57" i="10"/>
  <c r="AM33" i="12"/>
  <c r="R55" i="2"/>
  <c r="AQ57" i="10"/>
  <c r="AQ33" i="12"/>
  <c r="P58" i="2"/>
  <c r="AO58" i="10"/>
  <c r="T58" i="2"/>
  <c r="AS58" i="10"/>
  <c r="I68" i="2"/>
  <c r="M68" i="2"/>
  <c r="G123" i="2"/>
  <c r="K123" i="2"/>
  <c r="K133" i="2"/>
  <c r="L136" i="2"/>
  <c r="I141" i="2"/>
  <c r="M168" i="2"/>
  <c r="Q168" i="2"/>
  <c r="U168" i="2"/>
  <c r="L232" i="2"/>
  <c r="G4" i="92"/>
  <c r="G166" i="92"/>
  <c r="K4" i="92"/>
  <c r="K166" i="92"/>
  <c r="F11" i="92"/>
  <c r="L80" i="92"/>
  <c r="L83" i="92"/>
  <c r="AK38" i="10"/>
  <c r="N14" i="8"/>
  <c r="G107" i="92"/>
  <c r="U125" i="92"/>
  <c r="T125" i="92"/>
  <c r="H105" i="10"/>
  <c r="L105" i="10"/>
  <c r="L104" i="10"/>
  <c r="P105" i="10"/>
  <c r="P104" i="10"/>
  <c r="T105" i="10"/>
  <c r="T104" i="10"/>
  <c r="X105" i="10"/>
  <c r="X104" i="10"/>
  <c r="AB105" i="10"/>
  <c r="AB104" i="10"/>
  <c r="AF105" i="10"/>
  <c r="AF104" i="10"/>
  <c r="AJ105" i="10"/>
  <c r="AJ104" i="10"/>
  <c r="AB45" i="103"/>
  <c r="AB51" i="103"/>
  <c r="J14" i="1"/>
  <c r="J15" i="1"/>
  <c r="AM14" i="1"/>
  <c r="AM15" i="1"/>
  <c r="Y28" i="1"/>
  <c r="AC28" i="1"/>
  <c r="AG28" i="1"/>
  <c r="AK28" i="1"/>
  <c r="X31" i="1"/>
  <c r="AB31" i="1"/>
  <c r="AF31" i="1"/>
  <c r="AJ31" i="1"/>
  <c r="W34" i="1"/>
  <c r="AA34" i="1"/>
  <c r="AE34" i="1"/>
  <c r="AI34" i="1"/>
  <c r="AN36" i="1"/>
  <c r="U15" i="103"/>
  <c r="Z37" i="1"/>
  <c r="AD37" i="1"/>
  <c r="AH37" i="1"/>
  <c r="AM39" i="1"/>
  <c r="T20" i="103"/>
  <c r="Y40" i="1"/>
  <c r="AC40" i="1"/>
  <c r="AG40" i="1"/>
  <c r="AK40" i="1"/>
  <c r="AN44" i="1"/>
  <c r="O10" i="2"/>
  <c r="S10" i="2"/>
  <c r="G11" i="2"/>
  <c r="K11" i="2"/>
  <c r="I15" i="2"/>
  <c r="G16" i="2"/>
  <c r="K16" i="2"/>
  <c r="O18" i="2"/>
  <c r="AN13" i="10"/>
  <c r="S18" i="2"/>
  <c r="AR13" i="10"/>
  <c r="O24" i="2"/>
  <c r="S24" i="2"/>
  <c r="G25" i="2"/>
  <c r="K25" i="2"/>
  <c r="I29" i="2"/>
  <c r="G30" i="2"/>
  <c r="K30" i="2"/>
  <c r="O32" i="2"/>
  <c r="AN17" i="10"/>
  <c r="S32" i="2"/>
  <c r="AR17" i="10"/>
  <c r="O19" i="8"/>
  <c r="I39" i="2"/>
  <c r="G40" i="2"/>
  <c r="K40" i="2"/>
  <c r="O42" i="2"/>
  <c r="S42" i="2"/>
  <c r="G43" i="2"/>
  <c r="K43" i="2"/>
  <c r="AP31" i="12"/>
  <c r="AT31" i="12"/>
  <c r="O49" i="2"/>
  <c r="AN55" i="10"/>
  <c r="AN34" i="12"/>
  <c r="S49" i="2"/>
  <c r="AR55" i="10"/>
  <c r="AR34" i="12"/>
  <c r="AP32" i="12"/>
  <c r="AT32" i="12"/>
  <c r="O55" i="2"/>
  <c r="AN57" i="10"/>
  <c r="AN33" i="12"/>
  <c r="S55" i="2"/>
  <c r="AR57" i="10"/>
  <c r="AR33" i="12"/>
  <c r="F68" i="2"/>
  <c r="J68" i="2"/>
  <c r="L75" i="2"/>
  <c r="L83" i="2"/>
  <c r="L91" i="2"/>
  <c r="L108" i="2"/>
  <c r="H123" i="2"/>
  <c r="L123" i="2"/>
  <c r="L172" i="2"/>
  <c r="L171" i="2"/>
  <c r="P172" i="2"/>
  <c r="P171" i="2"/>
  <c r="T172" i="2"/>
  <c r="T171" i="2"/>
  <c r="L207" i="2"/>
  <c r="H4" i="92"/>
  <c r="H166" i="92"/>
  <c r="L4" i="92"/>
  <c r="H16" i="92"/>
  <c r="J2" i="103"/>
  <c r="J33" i="103"/>
  <c r="I2" i="103"/>
  <c r="I33" i="103"/>
  <c r="H2" i="103"/>
  <c r="H33" i="103"/>
  <c r="G2" i="103"/>
  <c r="G33" i="103"/>
  <c r="N2" i="103"/>
  <c r="N33" i="103"/>
  <c r="M2" i="103"/>
  <c r="M33" i="103"/>
  <c r="L2" i="103"/>
  <c r="L33" i="103"/>
  <c r="K2" i="103"/>
  <c r="K33" i="103"/>
  <c r="R2" i="103"/>
  <c r="R33" i="103"/>
  <c r="Q2" i="103"/>
  <c r="Q33" i="103"/>
  <c r="P2" i="103"/>
  <c r="P33" i="103"/>
  <c r="O2" i="103"/>
  <c r="O33" i="103"/>
  <c r="I108" i="10"/>
  <c r="M108" i="10"/>
  <c r="C24" i="53"/>
  <c r="Q108" i="10"/>
  <c r="D24" i="53"/>
  <c r="K55" i="8"/>
  <c r="U108" i="10"/>
  <c r="E24" i="53"/>
  <c r="L55" i="8"/>
  <c r="K49" i="8"/>
  <c r="Y108" i="10"/>
  <c r="K17" i="8"/>
  <c r="F24" i="53"/>
  <c r="AC108" i="10"/>
  <c r="L49" i="8"/>
  <c r="L17" i="8"/>
  <c r="M55" i="8"/>
  <c r="G24" i="53"/>
  <c r="AG108" i="10"/>
  <c r="M17" i="8"/>
  <c r="M49" i="8"/>
  <c r="AK41" i="10"/>
  <c r="AK57" i="12"/>
  <c r="E105" i="10"/>
  <c r="E104" i="10"/>
  <c r="I105" i="10"/>
  <c r="M105" i="10"/>
  <c r="C28" i="53"/>
  <c r="Q105" i="10"/>
  <c r="D28" i="53"/>
  <c r="U105" i="10"/>
  <c r="E28" i="53"/>
  <c r="Y105" i="10"/>
  <c r="F28" i="53"/>
  <c r="AC105" i="10"/>
  <c r="G28" i="53"/>
  <c r="B38" i="95"/>
  <c r="AG105" i="10"/>
  <c r="AK64" i="12"/>
  <c r="AL60" i="10"/>
  <c r="AK68" i="12"/>
  <c r="AL68" i="10"/>
  <c r="N26" i="8"/>
  <c r="AK22" i="12"/>
  <c r="AL71" i="10"/>
  <c r="I102" i="10"/>
  <c r="M102" i="10"/>
  <c r="U102" i="10"/>
  <c r="D49" i="53"/>
  <c r="AC102" i="10"/>
  <c r="F49" i="53"/>
  <c r="L57" i="8"/>
  <c r="AK83" i="10"/>
  <c r="AL83" i="10"/>
  <c r="AK71" i="12"/>
  <c r="F59" i="8"/>
  <c r="AL84" i="10"/>
  <c r="X45" i="103"/>
  <c r="X51" i="103"/>
  <c r="T53" i="103"/>
  <c r="S8" i="103"/>
  <c r="AK19" i="11"/>
  <c r="W14" i="1"/>
  <c r="W15" i="1"/>
  <c r="AE14" i="1"/>
  <c r="AE15" i="1"/>
  <c r="S9" i="104"/>
  <c r="S10" i="104"/>
  <c r="AN5" i="1"/>
  <c r="U3" i="103"/>
  <c r="Y51" i="103"/>
  <c r="AC51" i="103"/>
  <c r="AC45" i="103"/>
  <c r="S4" i="103"/>
  <c r="S37" i="103"/>
  <c r="AK8" i="11"/>
  <c r="F29" i="7"/>
  <c r="AL9" i="1"/>
  <c r="U53" i="103"/>
  <c r="K14" i="1"/>
  <c r="K15" i="1"/>
  <c r="X14" i="1"/>
  <c r="X15" i="1"/>
  <c r="AB14" i="1"/>
  <c r="AB15" i="1"/>
  <c r="AF14" i="1"/>
  <c r="AF15" i="1"/>
  <c r="AJ14" i="1"/>
  <c r="AJ15" i="1"/>
  <c r="AN14" i="1"/>
  <c r="AN15" i="1"/>
  <c r="AL20" i="1"/>
  <c r="AP20" i="1"/>
  <c r="AT20" i="1"/>
  <c r="AL21" i="1"/>
  <c r="S9" i="103"/>
  <c r="S36" i="103"/>
  <c r="AF22" i="1"/>
  <c r="AJ22" i="1"/>
  <c r="L24" i="1"/>
  <c r="AK29" i="11"/>
  <c r="AN27" i="1"/>
  <c r="U11" i="103"/>
  <c r="U38" i="103"/>
  <c r="AM30" i="1"/>
  <c r="T12" i="103"/>
  <c r="T39" i="103"/>
  <c r="AK31" i="1"/>
  <c r="AL33" i="1"/>
  <c r="S14" i="103"/>
  <c r="AB34" i="1"/>
  <c r="AF34" i="1"/>
  <c r="AJ34" i="1"/>
  <c r="L36" i="1"/>
  <c r="AK51" i="11"/>
  <c r="AN39" i="1"/>
  <c r="U20" i="103"/>
  <c r="P10" i="2"/>
  <c r="T10" i="2"/>
  <c r="H11" i="2"/>
  <c r="N14" i="2"/>
  <c r="R14" i="2"/>
  <c r="P18" i="2"/>
  <c r="AO13" i="10"/>
  <c r="T18" i="2"/>
  <c r="AS13" i="10"/>
  <c r="N21" i="2"/>
  <c r="AM14" i="10"/>
  <c r="O21" i="2"/>
  <c r="AN14" i="10"/>
  <c r="AN27" i="12"/>
  <c r="R21" i="2"/>
  <c r="AQ14" i="10"/>
  <c r="AQ27" i="12"/>
  <c r="P24" i="2"/>
  <c r="T24" i="2"/>
  <c r="N28" i="2"/>
  <c r="R28" i="2"/>
  <c r="F29" i="2"/>
  <c r="J29" i="2"/>
  <c r="P32" i="2"/>
  <c r="AO17" i="10"/>
  <c r="T32" i="2"/>
  <c r="AS17" i="10"/>
  <c r="N38" i="2"/>
  <c r="R38" i="2"/>
  <c r="P49" i="2"/>
  <c r="AO55" i="10"/>
  <c r="AO34" i="12"/>
  <c r="T49" i="2"/>
  <c r="AS55" i="10"/>
  <c r="AS34" i="12"/>
  <c r="N52" i="2"/>
  <c r="AM56" i="10"/>
  <c r="AM32" i="12"/>
  <c r="R52" i="2"/>
  <c r="AQ56" i="10"/>
  <c r="AQ32" i="12"/>
  <c r="L115" i="2"/>
  <c r="I123" i="2"/>
  <c r="M123" i="2"/>
  <c r="L128" i="2"/>
  <c r="M137" i="2"/>
  <c r="M141" i="2"/>
  <c r="L23" i="92"/>
  <c r="J56" i="92"/>
  <c r="L62" i="92"/>
  <c r="L106" i="92"/>
  <c r="L108" i="92"/>
  <c r="M106" i="92"/>
  <c r="M108" i="92"/>
  <c r="N106" i="92"/>
  <c r="N108" i="92"/>
  <c r="O106" i="92"/>
  <c r="O108" i="92"/>
  <c r="P106" i="92"/>
  <c r="P108" i="92"/>
  <c r="Q106" i="92"/>
  <c r="Q108" i="92"/>
  <c r="R106" i="92"/>
  <c r="R108" i="92"/>
  <c r="S106" i="92"/>
  <c r="S108" i="92"/>
  <c r="T106" i="92"/>
  <c r="T108" i="92"/>
  <c r="U106" i="92"/>
  <c r="U108" i="92"/>
  <c r="T51" i="103"/>
  <c r="AA14" i="1"/>
  <c r="AA15" i="1"/>
  <c r="AI14" i="1"/>
  <c r="AI15" i="1"/>
  <c r="Y5" i="1"/>
  <c r="AC5" i="1"/>
  <c r="AG5" i="1"/>
  <c r="AK5" i="1"/>
  <c r="V51" i="103"/>
  <c r="Z45" i="103"/>
  <c r="Z51" i="103"/>
  <c r="AD45" i="103"/>
  <c r="AD51" i="103"/>
  <c r="T52" i="103"/>
  <c r="T35" i="103"/>
  <c r="AN7" i="1"/>
  <c r="AR7" i="1"/>
  <c r="S5" i="103"/>
  <c r="AK10" i="11"/>
  <c r="AM9" i="1"/>
  <c r="AL11" i="1"/>
  <c r="AP11" i="1"/>
  <c r="AM20" i="1"/>
  <c r="AQ20" i="1"/>
  <c r="AU20" i="1"/>
  <c r="AM28" i="11"/>
  <c r="H9" i="8"/>
  <c r="S23" i="103"/>
  <c r="S25" i="103"/>
  <c r="AK77" i="11"/>
  <c r="AK81" i="11"/>
  <c r="AL44" i="1"/>
  <c r="M10" i="2"/>
  <c r="Q10" i="2"/>
  <c r="U10" i="2"/>
  <c r="I11" i="2"/>
  <c r="O14" i="2"/>
  <c r="S14" i="2"/>
  <c r="M16" i="2"/>
  <c r="Q16" i="2"/>
  <c r="U16" i="2"/>
  <c r="M18" i="2"/>
  <c r="AL13" i="10"/>
  <c r="Q18" i="2"/>
  <c r="AP13" i="10"/>
  <c r="U18" i="2"/>
  <c r="AT13" i="10"/>
  <c r="AO27" i="12"/>
  <c r="S21" i="2"/>
  <c r="AR14" i="10"/>
  <c r="AS27" i="12"/>
  <c r="M24" i="2"/>
  <c r="Q24" i="2"/>
  <c r="U24" i="2"/>
  <c r="O28" i="2"/>
  <c r="S28" i="2"/>
  <c r="G29" i="2"/>
  <c r="K29" i="2"/>
  <c r="M30" i="2"/>
  <c r="Q30" i="2"/>
  <c r="U30" i="2"/>
  <c r="M32" i="2"/>
  <c r="AL17" i="10"/>
  <c r="Q32" i="2"/>
  <c r="AP17" i="10"/>
  <c r="U32" i="2"/>
  <c r="AT17" i="10"/>
  <c r="O38" i="2"/>
  <c r="S38" i="2"/>
  <c r="M40" i="2"/>
  <c r="Q40" i="2"/>
  <c r="U40" i="2"/>
  <c r="M49" i="2"/>
  <c r="AL55" i="10"/>
  <c r="Q49" i="2"/>
  <c r="AP55" i="10"/>
  <c r="AP34" i="12"/>
  <c r="U49" i="2"/>
  <c r="AT55" i="10"/>
  <c r="AT34" i="12"/>
  <c r="O52" i="2"/>
  <c r="AN56" i="10"/>
  <c r="AN32" i="12"/>
  <c r="S52" i="2"/>
  <c r="AR56" i="10"/>
  <c r="AR32" i="12"/>
  <c r="L71" i="2"/>
  <c r="L87" i="2"/>
  <c r="L99" i="2"/>
  <c r="L105" i="2"/>
  <c r="L111" i="2"/>
  <c r="F123" i="2"/>
  <c r="J123" i="2"/>
  <c r="N123" i="2"/>
  <c r="L127" i="2"/>
  <c r="L132" i="2"/>
  <c r="AE20" i="10"/>
  <c r="AE106" i="10"/>
  <c r="K95" i="10"/>
  <c r="K97" i="10"/>
  <c r="U124" i="92"/>
  <c r="G4" i="7"/>
  <c r="C7" i="7"/>
  <c r="C16" i="7"/>
  <c r="C20" i="7"/>
  <c r="E23" i="7"/>
  <c r="E25" i="7"/>
  <c r="C29" i="7"/>
  <c r="G29" i="7"/>
  <c r="M2" i="8"/>
  <c r="L38" i="8"/>
  <c r="P38" i="8"/>
  <c r="F43" i="8"/>
  <c r="F4" i="12"/>
  <c r="F4" i="11"/>
  <c r="J4" i="12"/>
  <c r="J4" i="11"/>
  <c r="N4" i="12"/>
  <c r="N4" i="11"/>
  <c r="R4" i="12"/>
  <c r="R4" i="11"/>
  <c r="V4" i="12"/>
  <c r="V4" i="11"/>
  <c r="Z4" i="12"/>
  <c r="Z4" i="11"/>
  <c r="AD4" i="12"/>
  <c r="AD4" i="11"/>
  <c r="AH4" i="12"/>
  <c r="AH4" i="11"/>
  <c r="I3" i="53"/>
  <c r="AL4" i="12"/>
  <c r="AL4" i="11"/>
  <c r="E20" i="10"/>
  <c r="E106" i="10"/>
  <c r="I20" i="10"/>
  <c r="M20" i="10"/>
  <c r="Q20" i="10"/>
  <c r="U20" i="10"/>
  <c r="Y20" i="10"/>
  <c r="F79" i="2"/>
  <c r="AC20" i="10"/>
  <c r="G79" i="2"/>
  <c r="AG20" i="10"/>
  <c r="H79" i="2"/>
  <c r="AK37" i="10"/>
  <c r="AK52" i="12"/>
  <c r="AK40" i="10"/>
  <c r="E107" i="10"/>
  <c r="I107" i="10"/>
  <c r="M107" i="10"/>
  <c r="Q107" i="10"/>
  <c r="U107" i="10"/>
  <c r="Y107" i="10"/>
  <c r="AC107" i="10"/>
  <c r="AG107" i="10"/>
  <c r="AK59" i="10"/>
  <c r="K102" i="10"/>
  <c r="O45" i="10"/>
  <c r="O102" i="10"/>
  <c r="S102" i="10"/>
  <c r="AA102" i="10"/>
  <c r="AI102" i="10"/>
  <c r="G95" i="10"/>
  <c r="J99" i="10"/>
  <c r="J101" i="10"/>
  <c r="R99" i="10"/>
  <c r="R101" i="10"/>
  <c r="Z99" i="10"/>
  <c r="Z101" i="10"/>
  <c r="AH99" i="10"/>
  <c r="AH101" i="10"/>
  <c r="R104" i="10"/>
  <c r="Z104" i="10"/>
  <c r="AH104" i="10"/>
  <c r="J106" i="10"/>
  <c r="R106" i="10"/>
  <c r="Z106" i="10"/>
  <c r="AH106" i="10"/>
  <c r="I4" i="11"/>
  <c r="J7" i="11"/>
  <c r="N7" i="11"/>
  <c r="C3" i="103"/>
  <c r="R7" i="11"/>
  <c r="G3" i="103"/>
  <c r="V7" i="11"/>
  <c r="K3" i="103"/>
  <c r="Z7" i="11"/>
  <c r="O3" i="103"/>
  <c r="AD7" i="11"/>
  <c r="AH7" i="11"/>
  <c r="Q23" i="11"/>
  <c r="C8" i="53"/>
  <c r="U23" i="11"/>
  <c r="D8" i="53"/>
  <c r="U24" i="11"/>
  <c r="Y23" i="11"/>
  <c r="Y24" i="11"/>
  <c r="AC23" i="11"/>
  <c r="AC24" i="11"/>
  <c r="AG23" i="11"/>
  <c r="AG24" i="11"/>
  <c r="AT23" i="11"/>
  <c r="Q8" i="53"/>
  <c r="I44" i="11"/>
  <c r="I43" i="11"/>
  <c r="M44" i="11"/>
  <c r="M43" i="11"/>
  <c r="C47" i="53"/>
  <c r="C23" i="53"/>
  <c r="Q44" i="11"/>
  <c r="Q43" i="11"/>
  <c r="C9" i="53"/>
  <c r="L158" i="92"/>
  <c r="AK34" i="10"/>
  <c r="L168" i="92"/>
  <c r="AK63" i="11"/>
  <c r="P168" i="92"/>
  <c r="AO63" i="11"/>
  <c r="T168" i="92"/>
  <c r="AS63" i="11"/>
  <c r="D7" i="7"/>
  <c r="C15" i="7"/>
  <c r="D20" i="7"/>
  <c r="C24" i="7"/>
  <c r="C26" i="7"/>
  <c r="C28" i="7"/>
  <c r="D29" i="7"/>
  <c r="H29" i="7"/>
  <c r="N2" i="8"/>
  <c r="M38" i="8"/>
  <c r="C43" i="8"/>
  <c r="G43" i="8"/>
  <c r="G4" i="12"/>
  <c r="G4" i="11"/>
  <c r="K4" i="12"/>
  <c r="K4" i="11"/>
  <c r="O4" i="12"/>
  <c r="O4" i="11"/>
  <c r="S4" i="12"/>
  <c r="S4" i="11"/>
  <c r="W4" i="12"/>
  <c r="W4" i="11"/>
  <c r="AA4" i="12"/>
  <c r="AA4" i="11"/>
  <c r="AE4" i="12"/>
  <c r="AE4" i="11"/>
  <c r="AI4" i="12"/>
  <c r="AI4" i="11"/>
  <c r="J3" i="53"/>
  <c r="AM4" i="12"/>
  <c r="AM4" i="11"/>
  <c r="F20" i="10"/>
  <c r="F106" i="10"/>
  <c r="N20" i="10"/>
  <c r="N106" i="10"/>
  <c r="V20" i="10"/>
  <c r="V106" i="10"/>
  <c r="AD20" i="10"/>
  <c r="AD106" i="10"/>
  <c r="H99" i="10"/>
  <c r="L99" i="10"/>
  <c r="P99" i="10"/>
  <c r="T99" i="10"/>
  <c r="X99" i="10"/>
  <c r="AB99" i="10"/>
  <c r="AF99" i="10"/>
  <c r="AJ99" i="10"/>
  <c r="F45" i="10"/>
  <c r="N45" i="10"/>
  <c r="N97" i="10"/>
  <c r="V45" i="10"/>
  <c r="V97" i="10"/>
  <c r="AD45" i="10"/>
  <c r="AD97" i="10"/>
  <c r="F61" i="10"/>
  <c r="F107" i="10"/>
  <c r="J61" i="10"/>
  <c r="J107" i="10"/>
  <c r="N61" i="10"/>
  <c r="N107" i="10"/>
  <c r="R61" i="10"/>
  <c r="R107" i="10"/>
  <c r="V61" i="10"/>
  <c r="V107" i="10"/>
  <c r="Z61" i="10"/>
  <c r="Z107" i="10"/>
  <c r="AD61" i="10"/>
  <c r="AD107" i="10"/>
  <c r="AH61" i="10"/>
  <c r="I91" i="2"/>
  <c r="H100" i="10"/>
  <c r="L100" i="10"/>
  <c r="P100" i="10"/>
  <c r="T100" i="10"/>
  <c r="X100" i="10"/>
  <c r="AB100" i="10"/>
  <c r="AF100" i="10"/>
  <c r="AJ100" i="10"/>
  <c r="H95" i="10"/>
  <c r="H104" i="10"/>
  <c r="M95" i="10"/>
  <c r="M97" i="10"/>
  <c r="S95" i="10"/>
  <c r="S104" i="10"/>
  <c r="AA95" i="10"/>
  <c r="AA97" i="10"/>
  <c r="AI95" i="10"/>
  <c r="AI97" i="10"/>
  <c r="K99" i="10"/>
  <c r="K101" i="10"/>
  <c r="S99" i="10"/>
  <c r="S101" i="10"/>
  <c r="AA99" i="10"/>
  <c r="AA101" i="10"/>
  <c r="AI99" i="10"/>
  <c r="AI101" i="10"/>
  <c r="E102" i="10"/>
  <c r="K104" i="10"/>
  <c r="AI104" i="10"/>
  <c r="K106" i="10"/>
  <c r="S106" i="10"/>
  <c r="AA106" i="10"/>
  <c r="AI106" i="10"/>
  <c r="M4" i="11"/>
  <c r="AQ23" i="11"/>
  <c r="N8" i="53"/>
  <c r="J46" i="11"/>
  <c r="J42" i="11"/>
  <c r="J136" i="92"/>
  <c r="J141" i="92"/>
  <c r="H141" i="92"/>
  <c r="E7" i="7"/>
  <c r="D15" i="7"/>
  <c r="E16" i="7"/>
  <c r="E20" i="7"/>
  <c r="C23" i="7"/>
  <c r="C25" i="7"/>
  <c r="D24" i="7"/>
  <c r="D26" i="7"/>
  <c r="D28" i="7"/>
  <c r="E29" i="7"/>
  <c r="D43" i="8"/>
  <c r="H43" i="8"/>
  <c r="H4" i="12"/>
  <c r="H4" i="11"/>
  <c r="L4" i="12"/>
  <c r="L4" i="11"/>
  <c r="P4" i="12"/>
  <c r="P4" i="11"/>
  <c r="T4" i="12"/>
  <c r="T4" i="11"/>
  <c r="X4" i="12"/>
  <c r="X4" i="11"/>
  <c r="AB4" i="12"/>
  <c r="AB4" i="11"/>
  <c r="AF4" i="12"/>
  <c r="AF4" i="11"/>
  <c r="AJ4" i="12"/>
  <c r="AJ4" i="11"/>
  <c r="AN4" i="10"/>
  <c r="I106" i="10"/>
  <c r="M106" i="10"/>
  <c r="C45" i="53"/>
  <c r="Q106" i="10"/>
  <c r="D45" i="53"/>
  <c r="U106" i="10"/>
  <c r="E45" i="53"/>
  <c r="Y106" i="10"/>
  <c r="F45" i="53"/>
  <c r="AC106" i="10"/>
  <c r="G45" i="53"/>
  <c r="AG106" i="10"/>
  <c r="G20" i="10"/>
  <c r="G106" i="10"/>
  <c r="O20" i="10"/>
  <c r="O106" i="10"/>
  <c r="W20" i="10"/>
  <c r="W106" i="10"/>
  <c r="E99" i="10"/>
  <c r="I99" i="10"/>
  <c r="I100" i="10"/>
  <c r="E100" i="10"/>
  <c r="I101" i="10"/>
  <c r="M99" i="10"/>
  <c r="C44" i="53"/>
  <c r="C43" i="53"/>
  <c r="Q99" i="10"/>
  <c r="D44" i="53"/>
  <c r="D43" i="53"/>
  <c r="U99" i="10"/>
  <c r="E44" i="53"/>
  <c r="K60" i="8"/>
  <c r="E43" i="53"/>
  <c r="K59" i="8"/>
  <c r="Y99" i="10"/>
  <c r="F43" i="53"/>
  <c r="L59" i="8"/>
  <c r="F44" i="53"/>
  <c r="L60" i="8"/>
  <c r="AC99" i="10"/>
  <c r="AC100" i="10"/>
  <c r="Y100" i="10"/>
  <c r="AC101" i="10"/>
  <c r="G44" i="53"/>
  <c r="M60" i="8"/>
  <c r="G43" i="53"/>
  <c r="M59" i="8"/>
  <c r="AG99" i="10"/>
  <c r="G45" i="10"/>
  <c r="G97" i="10"/>
  <c r="W45" i="10"/>
  <c r="AE45" i="10"/>
  <c r="AE95" i="10"/>
  <c r="AE97" i="10"/>
  <c r="G61" i="10"/>
  <c r="G107" i="10"/>
  <c r="K61" i="10"/>
  <c r="K107" i="10"/>
  <c r="O61" i="10"/>
  <c r="O107" i="10"/>
  <c r="S61" i="10"/>
  <c r="S107" i="10"/>
  <c r="W61" i="10"/>
  <c r="W107" i="10"/>
  <c r="AA61" i="10"/>
  <c r="AA107" i="10"/>
  <c r="AE61" i="10"/>
  <c r="AE107" i="10"/>
  <c r="AI61" i="10"/>
  <c r="J91" i="2"/>
  <c r="M100" i="10"/>
  <c r="Q100" i="10"/>
  <c r="U100" i="10"/>
  <c r="AG100" i="10"/>
  <c r="C25" i="53"/>
  <c r="C48" i="53"/>
  <c r="Q95" i="10"/>
  <c r="Q97" i="10"/>
  <c r="D25" i="53"/>
  <c r="D48" i="53"/>
  <c r="U95" i="10"/>
  <c r="U104" i="10"/>
  <c r="E48" i="53"/>
  <c r="K58" i="8"/>
  <c r="E25" i="53"/>
  <c r="Y95" i="10"/>
  <c r="K35" i="8"/>
  <c r="F25" i="53"/>
  <c r="F48" i="53"/>
  <c r="L58" i="8"/>
  <c r="AC95" i="10"/>
  <c r="L35" i="8"/>
  <c r="G25" i="53"/>
  <c r="G48" i="53"/>
  <c r="M58" i="8"/>
  <c r="AG95" i="10"/>
  <c r="M35" i="8"/>
  <c r="C50" i="53"/>
  <c r="C26" i="53"/>
  <c r="D26" i="53"/>
  <c r="D50" i="53"/>
  <c r="E26" i="53"/>
  <c r="E50" i="53"/>
  <c r="F50" i="53"/>
  <c r="F26" i="53"/>
  <c r="G50" i="53"/>
  <c r="G26" i="53"/>
  <c r="B172" i="95"/>
  <c r="B39" i="95"/>
  <c r="I95" i="10"/>
  <c r="I104" i="10"/>
  <c r="F95" i="10"/>
  <c r="F104" i="10"/>
  <c r="N104" i="10"/>
  <c r="V104" i="10"/>
  <c r="AD104" i="10"/>
  <c r="AN23" i="11"/>
  <c r="K8" i="53"/>
  <c r="AR23" i="11"/>
  <c r="O8" i="53"/>
  <c r="AR24" i="11"/>
  <c r="I18" i="11"/>
  <c r="G8" i="104"/>
  <c r="M18" i="11"/>
  <c r="I8" i="104"/>
  <c r="Q18" i="11"/>
  <c r="K8" i="104"/>
  <c r="U18" i="11"/>
  <c r="M8" i="104"/>
  <c r="Y18" i="11"/>
  <c r="O8" i="104"/>
  <c r="AC18" i="11"/>
  <c r="Q8" i="104"/>
  <c r="AG18" i="11"/>
  <c r="S8" i="104"/>
  <c r="K44" i="11"/>
  <c r="K43" i="11"/>
  <c r="O44" i="11"/>
  <c r="O43" i="11"/>
  <c r="AI43" i="11"/>
  <c r="E15" i="7"/>
  <c r="F20" i="7"/>
  <c r="D23" i="7"/>
  <c r="D25" i="7"/>
  <c r="E24" i="7"/>
  <c r="E26" i="7"/>
  <c r="E28" i="7"/>
  <c r="C3" i="53"/>
  <c r="Q4" i="12"/>
  <c r="D3" i="53"/>
  <c r="U4" i="12"/>
  <c r="E3" i="53"/>
  <c r="Y4" i="12"/>
  <c r="F3" i="53"/>
  <c r="AC4" i="12"/>
  <c r="G3" i="53"/>
  <c r="AG4" i="12"/>
  <c r="H3" i="53"/>
  <c r="AK4" i="12"/>
  <c r="H20" i="10"/>
  <c r="H106" i="10"/>
  <c r="L20" i="10"/>
  <c r="L106" i="10"/>
  <c r="P20" i="10"/>
  <c r="P106" i="10"/>
  <c r="T20" i="10"/>
  <c r="T106" i="10"/>
  <c r="X20" i="10"/>
  <c r="X106" i="10"/>
  <c r="AB20" i="10"/>
  <c r="AB106" i="10"/>
  <c r="AF20" i="10"/>
  <c r="AF106" i="10"/>
  <c r="AJ20" i="10"/>
  <c r="K79" i="2"/>
  <c r="H45" i="10"/>
  <c r="H97" i="10"/>
  <c r="L45" i="10"/>
  <c r="L97" i="10"/>
  <c r="P45" i="10"/>
  <c r="P97" i="10"/>
  <c r="T45" i="10"/>
  <c r="T97" i="10"/>
  <c r="X45" i="10"/>
  <c r="X97" i="10"/>
  <c r="AB45" i="10"/>
  <c r="AB97" i="10"/>
  <c r="AF45" i="10"/>
  <c r="AF97" i="10"/>
  <c r="AJ45" i="10"/>
  <c r="AJ97" i="10"/>
  <c r="H61" i="10"/>
  <c r="H107" i="10"/>
  <c r="L61" i="10"/>
  <c r="L107" i="10"/>
  <c r="P61" i="10"/>
  <c r="P107" i="10"/>
  <c r="T61" i="10"/>
  <c r="T107" i="10"/>
  <c r="X61" i="10"/>
  <c r="X107" i="10"/>
  <c r="AB61" i="10"/>
  <c r="AB107" i="10"/>
  <c r="AF61" i="10"/>
  <c r="AF107" i="10"/>
  <c r="AJ61" i="10"/>
  <c r="K91" i="2"/>
  <c r="F102" i="10"/>
  <c r="J102" i="10"/>
  <c r="N102" i="10"/>
  <c r="R102" i="10"/>
  <c r="V102" i="10"/>
  <c r="Z102" i="10"/>
  <c r="AD102" i="10"/>
  <c r="AH102" i="10"/>
  <c r="J95" i="10"/>
  <c r="J97" i="10"/>
  <c r="O95" i="10"/>
  <c r="W95" i="10"/>
  <c r="Q102" i="10"/>
  <c r="C49" i="53"/>
  <c r="Y102" i="10"/>
  <c r="E49" i="53"/>
  <c r="K57" i="8"/>
  <c r="AG102" i="10"/>
  <c r="G49" i="53"/>
  <c r="M57" i="8"/>
  <c r="G104" i="10"/>
  <c r="O104" i="10"/>
  <c r="W104" i="10"/>
  <c r="AE104" i="10"/>
  <c r="E4" i="11"/>
  <c r="U4" i="11"/>
  <c r="AK4" i="11"/>
  <c r="E15" i="101"/>
  <c r="AM7" i="11"/>
  <c r="AQ7" i="11"/>
  <c r="N17" i="53"/>
  <c r="AP7" i="11"/>
  <c r="M17" i="53"/>
  <c r="F14" i="11"/>
  <c r="J14" i="11"/>
  <c r="N14" i="11"/>
  <c r="R14" i="11"/>
  <c r="V14" i="11"/>
  <c r="Z14" i="11"/>
  <c r="AD14" i="11"/>
  <c r="AH14" i="11"/>
  <c r="J18" i="11"/>
  <c r="N18" i="11"/>
  <c r="X46" i="11"/>
  <c r="X42" i="11"/>
  <c r="AB47" i="11"/>
  <c r="AB46" i="11"/>
  <c r="AB42" i="11"/>
  <c r="C4" i="103"/>
  <c r="C35" i="103"/>
  <c r="R72" i="11"/>
  <c r="G4" i="103"/>
  <c r="V72" i="11"/>
  <c r="K4" i="103"/>
  <c r="Z72" i="11"/>
  <c r="O4" i="103"/>
  <c r="AD72" i="11"/>
  <c r="E16" i="101"/>
  <c r="C105" i="101"/>
  <c r="F186" i="95"/>
  <c r="F18" i="101"/>
  <c r="E18" i="101"/>
  <c r="G47" i="103"/>
  <c r="G6" i="103"/>
  <c r="K47" i="103"/>
  <c r="K6" i="103"/>
  <c r="O47" i="103"/>
  <c r="O6" i="103"/>
  <c r="E20" i="101"/>
  <c r="C107" i="101"/>
  <c r="M33" i="53"/>
  <c r="M38" i="53"/>
  <c r="Q33" i="53"/>
  <c r="Q38" i="53"/>
  <c r="H17" i="11"/>
  <c r="L17" i="11"/>
  <c r="L18" i="11"/>
  <c r="P17" i="11"/>
  <c r="T17" i="11"/>
  <c r="X17" i="11"/>
  <c r="X18" i="11"/>
  <c r="AB17" i="11"/>
  <c r="AB18" i="11"/>
  <c r="AF17" i="11"/>
  <c r="AJ17" i="11"/>
  <c r="AN17" i="11"/>
  <c r="AR17" i="11"/>
  <c r="AL18" i="11"/>
  <c r="E21" i="101"/>
  <c r="D4" i="101"/>
  <c r="E4" i="101"/>
  <c r="AP18" i="11"/>
  <c r="AT18" i="11"/>
  <c r="E8" i="103"/>
  <c r="I8" i="103"/>
  <c r="M8" i="103"/>
  <c r="Q8" i="103"/>
  <c r="F20" i="11"/>
  <c r="J20" i="11"/>
  <c r="N20" i="11"/>
  <c r="R20" i="11"/>
  <c r="V20" i="11"/>
  <c r="Z20" i="11"/>
  <c r="AD20" i="11"/>
  <c r="AH20" i="11"/>
  <c r="AL20" i="11"/>
  <c r="AP20" i="11"/>
  <c r="AT20" i="11"/>
  <c r="H22" i="11"/>
  <c r="H23" i="11"/>
  <c r="L22" i="11"/>
  <c r="P22" i="11"/>
  <c r="T22" i="11"/>
  <c r="X22" i="11"/>
  <c r="AB22" i="11"/>
  <c r="AF22" i="11"/>
  <c r="AJ22" i="11"/>
  <c r="C36" i="103"/>
  <c r="G36" i="103"/>
  <c r="K36" i="103"/>
  <c r="H28" i="11"/>
  <c r="L28" i="11"/>
  <c r="P28" i="11"/>
  <c r="AJ28" i="11"/>
  <c r="I4" i="103"/>
  <c r="I37" i="103"/>
  <c r="F30" i="11"/>
  <c r="J30" i="11"/>
  <c r="N30" i="11"/>
  <c r="R30" i="11"/>
  <c r="V30" i="11"/>
  <c r="Z30" i="11"/>
  <c r="AD30" i="11"/>
  <c r="AH30" i="11"/>
  <c r="C38" i="103"/>
  <c r="G38" i="103"/>
  <c r="K38" i="103"/>
  <c r="R32" i="11"/>
  <c r="V32" i="11"/>
  <c r="Z32" i="11"/>
  <c r="AD32" i="11"/>
  <c r="C39" i="103"/>
  <c r="G39" i="103"/>
  <c r="K39" i="103"/>
  <c r="R34" i="11"/>
  <c r="V34" i="11"/>
  <c r="Z34" i="11"/>
  <c r="AD34" i="11"/>
  <c r="C40" i="103"/>
  <c r="G40" i="103"/>
  <c r="K40" i="103"/>
  <c r="AH46" i="11"/>
  <c r="E37" i="11"/>
  <c r="I37" i="11"/>
  <c r="M37" i="11"/>
  <c r="Q37" i="11"/>
  <c r="U37" i="11"/>
  <c r="Y37" i="11"/>
  <c r="C18" i="8"/>
  <c r="AC37" i="11"/>
  <c r="D18" i="8"/>
  <c r="AG37" i="11"/>
  <c r="E18" i="8"/>
  <c r="E40" i="11"/>
  <c r="I40" i="11"/>
  <c r="M40" i="11"/>
  <c r="Q40" i="11"/>
  <c r="U40" i="11"/>
  <c r="Y40" i="11"/>
  <c r="AC40" i="11"/>
  <c r="AG40" i="11"/>
  <c r="F45" i="11"/>
  <c r="N45" i="11"/>
  <c r="Y74" i="11"/>
  <c r="E78" i="11"/>
  <c r="I78" i="11"/>
  <c r="M78" i="11"/>
  <c r="Q78" i="11"/>
  <c r="D3" i="103"/>
  <c r="D51" i="103"/>
  <c r="S80" i="11"/>
  <c r="H3" i="103"/>
  <c r="W78" i="11"/>
  <c r="L3" i="103"/>
  <c r="AA80" i="11"/>
  <c r="P3" i="103"/>
  <c r="T45" i="103"/>
  <c r="AE80" i="11"/>
  <c r="D4" i="103"/>
  <c r="S72" i="11"/>
  <c r="H4" i="103"/>
  <c r="W72" i="11"/>
  <c r="L4" i="103"/>
  <c r="AA72" i="11"/>
  <c r="P4" i="103"/>
  <c r="AE72" i="11"/>
  <c r="G186" i="95"/>
  <c r="H16" i="101"/>
  <c r="D105" i="101"/>
  <c r="I9" i="11"/>
  <c r="G6" i="104"/>
  <c r="M9" i="11"/>
  <c r="I6" i="104"/>
  <c r="Q9" i="11"/>
  <c r="U9" i="11"/>
  <c r="Y9" i="11"/>
  <c r="AC9" i="11"/>
  <c r="AG9" i="11"/>
  <c r="AO9" i="11"/>
  <c r="L18" i="53"/>
  <c r="AS9" i="11"/>
  <c r="P18" i="53"/>
  <c r="D5" i="103"/>
  <c r="H5" i="103"/>
  <c r="L5" i="103"/>
  <c r="P5" i="103"/>
  <c r="I18" i="101"/>
  <c r="H18" i="101"/>
  <c r="U11" i="11"/>
  <c r="Y11" i="11"/>
  <c r="AC11" i="11"/>
  <c r="AG11" i="11"/>
  <c r="D7" i="103"/>
  <c r="H7" i="103"/>
  <c r="L7" i="103"/>
  <c r="P7" i="103"/>
  <c r="T47" i="103"/>
  <c r="H20" i="101"/>
  <c r="D107" i="101"/>
  <c r="AM18" i="11"/>
  <c r="H21" i="101"/>
  <c r="F4" i="101"/>
  <c r="G4" i="101"/>
  <c r="I21" i="101"/>
  <c r="J21" i="101"/>
  <c r="AQ18" i="11"/>
  <c r="F8" i="103"/>
  <c r="J8" i="103"/>
  <c r="N8" i="103"/>
  <c r="R8" i="103"/>
  <c r="S20" i="11"/>
  <c r="W20" i="11"/>
  <c r="AA20" i="11"/>
  <c r="AE20" i="11"/>
  <c r="E22" i="11"/>
  <c r="E23" i="11"/>
  <c r="I22" i="11"/>
  <c r="M22" i="11"/>
  <c r="AO22" i="11"/>
  <c r="AS22" i="11"/>
  <c r="AT24" i="11"/>
  <c r="D9" i="103"/>
  <c r="H9" i="103"/>
  <c r="H36" i="103"/>
  <c r="L9" i="103"/>
  <c r="L36" i="103"/>
  <c r="P9" i="103"/>
  <c r="P36" i="103"/>
  <c r="U28" i="11"/>
  <c r="Y28" i="11"/>
  <c r="C10" i="8"/>
  <c r="AC28" i="11"/>
  <c r="D10" i="8"/>
  <c r="AG28" i="11"/>
  <c r="E10" i="8"/>
  <c r="C14" i="53"/>
  <c r="F10" i="103"/>
  <c r="D14" i="53"/>
  <c r="J10" i="103"/>
  <c r="E14" i="53"/>
  <c r="N10" i="103"/>
  <c r="F14" i="53"/>
  <c r="R10" i="103"/>
  <c r="G14" i="53"/>
  <c r="S30" i="11"/>
  <c r="W30" i="11"/>
  <c r="AA30" i="11"/>
  <c r="AE30" i="11"/>
  <c r="D11" i="103"/>
  <c r="D38" i="103"/>
  <c r="H11" i="103"/>
  <c r="H38" i="103"/>
  <c r="L11" i="103"/>
  <c r="L38" i="103"/>
  <c r="P11" i="103"/>
  <c r="S32" i="11"/>
  <c r="W32" i="11"/>
  <c r="AA32" i="11"/>
  <c r="AE32" i="11"/>
  <c r="D12" i="103"/>
  <c r="D39" i="103"/>
  <c r="H12" i="103"/>
  <c r="H39" i="103"/>
  <c r="L12" i="103"/>
  <c r="L39" i="103"/>
  <c r="P12" i="103"/>
  <c r="S34" i="11"/>
  <c r="W34" i="11"/>
  <c r="AA34" i="11"/>
  <c r="AE34" i="11"/>
  <c r="G46" i="11"/>
  <c r="K47" i="11"/>
  <c r="K46" i="11"/>
  <c r="O47" i="11"/>
  <c r="O46" i="11"/>
  <c r="D13" i="103"/>
  <c r="D40" i="103"/>
  <c r="H13" i="103"/>
  <c r="H40" i="103"/>
  <c r="L13" i="103"/>
  <c r="L40" i="103"/>
  <c r="P13" i="103"/>
  <c r="AI46" i="11"/>
  <c r="F37" i="11"/>
  <c r="J37" i="11"/>
  <c r="N37" i="11"/>
  <c r="R37" i="11"/>
  <c r="V37" i="11"/>
  <c r="Z37" i="11"/>
  <c r="AD37" i="11"/>
  <c r="AH37" i="11"/>
  <c r="J40" i="11"/>
  <c r="R40" i="11"/>
  <c r="V40" i="11"/>
  <c r="Z40" i="11"/>
  <c r="AD40" i="11"/>
  <c r="AH40" i="11"/>
  <c r="H84" i="11"/>
  <c r="H50" i="11"/>
  <c r="H52" i="11"/>
  <c r="H55" i="11"/>
  <c r="Z74" i="11"/>
  <c r="H78" i="11"/>
  <c r="H80" i="11"/>
  <c r="L80" i="11"/>
  <c r="L78" i="11"/>
  <c r="P80" i="11"/>
  <c r="P78" i="11"/>
  <c r="E3" i="103"/>
  <c r="E51" i="103"/>
  <c r="T78" i="11"/>
  <c r="T80" i="11"/>
  <c r="I3" i="103"/>
  <c r="X78" i="11"/>
  <c r="X80" i="11"/>
  <c r="M3" i="103"/>
  <c r="AB80" i="11"/>
  <c r="AB78" i="11"/>
  <c r="Q3" i="103"/>
  <c r="AF80" i="11"/>
  <c r="AF78" i="11"/>
  <c r="AJ78" i="11"/>
  <c r="AJ80" i="11"/>
  <c r="E4" i="103"/>
  <c r="E37" i="103"/>
  <c r="T72" i="11"/>
  <c r="X72" i="11"/>
  <c r="M4" i="103"/>
  <c r="AB72" i="11"/>
  <c r="Q4" i="103"/>
  <c r="AF72" i="11"/>
  <c r="J9" i="11"/>
  <c r="N9" i="11"/>
  <c r="R9" i="11"/>
  <c r="V9" i="11"/>
  <c r="Z9" i="11"/>
  <c r="AD9" i="11"/>
  <c r="AH9" i="11"/>
  <c r="AL9" i="11"/>
  <c r="AP9" i="11"/>
  <c r="M18" i="53"/>
  <c r="AT9" i="11"/>
  <c r="Q18" i="53"/>
  <c r="E5" i="103"/>
  <c r="I5" i="103"/>
  <c r="M5" i="103"/>
  <c r="Q5" i="103"/>
  <c r="R11" i="11"/>
  <c r="V11" i="11"/>
  <c r="Z11" i="11"/>
  <c r="AD11" i="11"/>
  <c r="AL11" i="11"/>
  <c r="AP11" i="11"/>
  <c r="E7" i="103"/>
  <c r="I7" i="103"/>
  <c r="M7" i="103"/>
  <c r="Q7" i="103"/>
  <c r="R17" i="11"/>
  <c r="R18" i="11"/>
  <c r="V17" i="11"/>
  <c r="V18" i="11"/>
  <c r="Z17" i="11"/>
  <c r="AD17" i="11"/>
  <c r="AL17" i="11"/>
  <c r="AP17" i="11"/>
  <c r="AT17" i="11"/>
  <c r="AN18" i="11"/>
  <c r="AR18" i="11"/>
  <c r="F22" i="101"/>
  <c r="E22" i="101"/>
  <c r="T20" i="11"/>
  <c r="X20" i="11"/>
  <c r="AB20" i="11"/>
  <c r="AF20" i="11"/>
  <c r="F22" i="11"/>
  <c r="F23" i="11"/>
  <c r="J22" i="11"/>
  <c r="N22" i="11"/>
  <c r="R22" i="11"/>
  <c r="V22" i="11"/>
  <c r="Z22" i="11"/>
  <c r="AD22" i="11"/>
  <c r="AH22" i="11"/>
  <c r="AL22" i="11"/>
  <c r="AP22" i="11"/>
  <c r="E9" i="103"/>
  <c r="E36" i="103"/>
  <c r="I9" i="103"/>
  <c r="I36" i="103"/>
  <c r="M9" i="103"/>
  <c r="Q9" i="103"/>
  <c r="Q36" i="103"/>
  <c r="R28" i="11"/>
  <c r="V28" i="11"/>
  <c r="Z28" i="11"/>
  <c r="AD28" i="11"/>
  <c r="C37" i="103"/>
  <c r="G37" i="103"/>
  <c r="K37" i="103"/>
  <c r="O37" i="103"/>
  <c r="T30" i="11"/>
  <c r="X30" i="11"/>
  <c r="AB30" i="11"/>
  <c r="AF30" i="11"/>
  <c r="E11" i="103"/>
  <c r="E38" i="103"/>
  <c r="I11" i="103"/>
  <c r="I38" i="103"/>
  <c r="M11" i="103"/>
  <c r="Q11" i="103"/>
  <c r="Q38" i="103"/>
  <c r="T32" i="11"/>
  <c r="X32" i="11"/>
  <c r="AB32" i="11"/>
  <c r="AF32" i="11"/>
  <c r="E12" i="103"/>
  <c r="E39" i="103"/>
  <c r="I12" i="103"/>
  <c r="I39" i="103"/>
  <c r="M12" i="103"/>
  <c r="Q12" i="103"/>
  <c r="Q39" i="103"/>
  <c r="T34" i="11"/>
  <c r="X34" i="11"/>
  <c r="AB34" i="11"/>
  <c r="AF34" i="11"/>
  <c r="E13" i="103"/>
  <c r="E40" i="103"/>
  <c r="I13" i="103"/>
  <c r="I40" i="103"/>
  <c r="M13" i="103"/>
  <c r="Q13" i="103"/>
  <c r="Q40" i="103"/>
  <c r="AF45" i="11"/>
  <c r="G37" i="11"/>
  <c r="K37" i="11"/>
  <c r="O37" i="11"/>
  <c r="S37" i="11"/>
  <c r="W37" i="11"/>
  <c r="AA37" i="11"/>
  <c r="AE37" i="11"/>
  <c r="AI37" i="11"/>
  <c r="G40" i="11"/>
  <c r="K40" i="11"/>
  <c r="O40" i="11"/>
  <c r="S40" i="11"/>
  <c r="W40" i="11"/>
  <c r="AA40" i="11"/>
  <c r="AE40" i="11"/>
  <c r="AI40" i="11"/>
  <c r="AA74" i="11"/>
  <c r="G78" i="11"/>
  <c r="K78" i="11"/>
  <c r="O78" i="11"/>
  <c r="AI78" i="11"/>
  <c r="C34" i="53"/>
  <c r="C39" i="53"/>
  <c r="C35" i="53"/>
  <c r="C40" i="53"/>
  <c r="F3" i="103"/>
  <c r="F51" i="103"/>
  <c r="D35" i="53"/>
  <c r="D40" i="53"/>
  <c r="D34" i="53"/>
  <c r="D39" i="53"/>
  <c r="J3" i="103"/>
  <c r="E35" i="53"/>
  <c r="E40" i="53"/>
  <c r="E34" i="53"/>
  <c r="E39" i="53"/>
  <c r="N3" i="103"/>
  <c r="F35" i="53"/>
  <c r="F40" i="53"/>
  <c r="F34" i="53"/>
  <c r="F39" i="53"/>
  <c r="R3" i="103"/>
  <c r="V45" i="103"/>
  <c r="G34" i="53"/>
  <c r="G39" i="53"/>
  <c r="G35" i="53"/>
  <c r="G40" i="53"/>
  <c r="AG78" i="11"/>
  <c r="C31" i="53"/>
  <c r="C36" i="53"/>
  <c r="Q74" i="11"/>
  <c r="Q72" i="11"/>
  <c r="F4" i="103"/>
  <c r="D31" i="53"/>
  <c r="D36" i="53"/>
  <c r="U72" i="11"/>
  <c r="J4" i="103"/>
  <c r="B186" i="95"/>
  <c r="E31" i="53"/>
  <c r="E36" i="53"/>
  <c r="Y72" i="11"/>
  <c r="N4" i="103"/>
  <c r="C186" i="95"/>
  <c r="F31" i="53"/>
  <c r="F36" i="53"/>
  <c r="AC72" i="11"/>
  <c r="R4" i="103"/>
  <c r="G31" i="53"/>
  <c r="G36" i="53"/>
  <c r="D186" i="95"/>
  <c r="AG74" i="11"/>
  <c r="AG72" i="11"/>
  <c r="AM9" i="11"/>
  <c r="AM11" i="11"/>
  <c r="C32" i="53"/>
  <c r="C37" i="53"/>
  <c r="C33" i="53"/>
  <c r="C38" i="53"/>
  <c r="F7" i="103"/>
  <c r="D33" i="53"/>
  <c r="D38" i="53"/>
  <c r="D32" i="53"/>
  <c r="D37" i="53"/>
  <c r="J7" i="103"/>
  <c r="E33" i="53"/>
  <c r="E38" i="53"/>
  <c r="E32" i="53"/>
  <c r="E37" i="53"/>
  <c r="N7" i="103"/>
  <c r="F33" i="53"/>
  <c r="F38" i="53"/>
  <c r="F32" i="53"/>
  <c r="F37" i="53"/>
  <c r="R7" i="103"/>
  <c r="G32" i="53"/>
  <c r="G37" i="53"/>
  <c r="G33" i="53"/>
  <c r="G38" i="53"/>
  <c r="G17" i="11"/>
  <c r="K17" i="11"/>
  <c r="O17" i="11"/>
  <c r="O18" i="11"/>
  <c r="J8" i="104"/>
  <c r="S17" i="11"/>
  <c r="S18" i="11"/>
  <c r="L8" i="104"/>
  <c r="W17" i="11"/>
  <c r="AA17" i="11"/>
  <c r="AE17" i="11"/>
  <c r="AE18" i="11"/>
  <c r="R8" i="104"/>
  <c r="AI17" i="11"/>
  <c r="AI18" i="11"/>
  <c r="T8" i="104"/>
  <c r="AM17" i="11"/>
  <c r="H6" i="8"/>
  <c r="AQ17" i="11"/>
  <c r="AO18" i="11"/>
  <c r="AS18" i="11"/>
  <c r="I22" i="101"/>
  <c r="H22" i="101"/>
  <c r="E20" i="11"/>
  <c r="I20" i="11"/>
  <c r="M20" i="11"/>
  <c r="Q20" i="11"/>
  <c r="U20" i="11"/>
  <c r="Y20" i="11"/>
  <c r="C6" i="8"/>
  <c r="AC20" i="11"/>
  <c r="D6" i="8"/>
  <c r="AG20" i="11"/>
  <c r="E6" i="8"/>
  <c r="G22" i="11"/>
  <c r="G23" i="11"/>
  <c r="K22" i="11"/>
  <c r="O22" i="11"/>
  <c r="S22" i="11"/>
  <c r="W22" i="11"/>
  <c r="AA22" i="11"/>
  <c r="AE22" i="11"/>
  <c r="AI22" i="11"/>
  <c r="AM22" i="11"/>
  <c r="F36" i="103"/>
  <c r="J36" i="103"/>
  <c r="R36" i="103"/>
  <c r="G28" i="11"/>
  <c r="K28" i="11"/>
  <c r="O28" i="11"/>
  <c r="S28" i="11"/>
  <c r="W28" i="11"/>
  <c r="AA28" i="11"/>
  <c r="AE28" i="11"/>
  <c r="AI28" i="11"/>
  <c r="D37" i="103"/>
  <c r="H37" i="103"/>
  <c r="L37" i="103"/>
  <c r="P37" i="103"/>
  <c r="I30" i="11"/>
  <c r="M30" i="11"/>
  <c r="Q30" i="11"/>
  <c r="U30" i="11"/>
  <c r="Y30" i="11"/>
  <c r="C12" i="8"/>
  <c r="AC30" i="11"/>
  <c r="D12" i="8"/>
  <c r="AG30" i="11"/>
  <c r="E12" i="8"/>
  <c r="J38" i="103"/>
  <c r="N38" i="103"/>
  <c r="R38" i="103"/>
  <c r="U32" i="11"/>
  <c r="Y32" i="11"/>
  <c r="C14" i="8"/>
  <c r="AC32" i="11"/>
  <c r="D14" i="8"/>
  <c r="AG32" i="11"/>
  <c r="E14" i="8"/>
  <c r="J39" i="103"/>
  <c r="N39" i="103"/>
  <c r="R39" i="103"/>
  <c r="U34" i="11"/>
  <c r="Y34" i="11"/>
  <c r="C16" i="8"/>
  <c r="AC34" i="11"/>
  <c r="D16" i="8"/>
  <c r="AG34" i="11"/>
  <c r="E16" i="8"/>
  <c r="E46" i="11"/>
  <c r="I47" i="11"/>
  <c r="I46" i="11"/>
  <c r="M87" i="11"/>
  <c r="M100" i="11"/>
  <c r="M47" i="11"/>
  <c r="M46" i="11"/>
  <c r="C46" i="53"/>
  <c r="Q87" i="11"/>
  <c r="C6" i="53"/>
  <c r="Q100" i="11"/>
  <c r="Q47" i="11"/>
  <c r="C22" i="53"/>
  <c r="Q46" i="11"/>
  <c r="C10" i="53"/>
  <c r="F40" i="103"/>
  <c r="J40" i="103"/>
  <c r="N40" i="103"/>
  <c r="R40" i="103"/>
  <c r="H37" i="11"/>
  <c r="L37" i="11"/>
  <c r="P37" i="11"/>
  <c r="T37" i="11"/>
  <c r="X37" i="11"/>
  <c r="AB37" i="11"/>
  <c r="AF37" i="11"/>
  <c r="AJ37" i="11"/>
  <c r="T40" i="11"/>
  <c r="X40" i="11"/>
  <c r="AB40" i="11"/>
  <c r="AF40" i="11"/>
  <c r="AH42" i="11"/>
  <c r="T45" i="11"/>
  <c r="X47" i="11"/>
  <c r="G80" i="11"/>
  <c r="O80" i="11"/>
  <c r="T50" i="11"/>
  <c r="X50" i="11"/>
  <c r="AB50" i="11"/>
  <c r="AF50" i="11"/>
  <c r="T52" i="11"/>
  <c r="X52" i="11"/>
  <c r="AB52" i="11"/>
  <c r="AF52" i="11"/>
  <c r="S84" i="11"/>
  <c r="S58" i="11"/>
  <c r="S61" i="11"/>
  <c r="S64" i="11"/>
  <c r="U84" i="11"/>
  <c r="U67" i="11"/>
  <c r="AK69" i="11"/>
  <c r="H74" i="11"/>
  <c r="L75" i="11"/>
  <c r="L74" i="11"/>
  <c r="L84" i="11"/>
  <c r="L58" i="11"/>
  <c r="P75" i="11"/>
  <c r="T88" i="11"/>
  <c r="T85" i="11"/>
  <c r="X88" i="11"/>
  <c r="X85" i="11"/>
  <c r="AB88" i="11"/>
  <c r="AB85" i="11"/>
  <c r="AE84" i="11"/>
  <c r="Q26" i="103"/>
  <c r="AF88" i="11"/>
  <c r="AF85" i="11"/>
  <c r="I74" i="11"/>
  <c r="N74" i="11"/>
  <c r="S74" i="11"/>
  <c r="AD74" i="11"/>
  <c r="AI74" i="11"/>
  <c r="M75" i="11"/>
  <c r="AH75" i="11"/>
  <c r="D23" i="103"/>
  <c r="H23" i="103"/>
  <c r="L23" i="103"/>
  <c r="P23" i="103"/>
  <c r="U78" i="11"/>
  <c r="AA78" i="11"/>
  <c r="G82" i="11"/>
  <c r="K82" i="11"/>
  <c r="O82" i="11"/>
  <c r="AI82" i="11"/>
  <c r="G87" i="11"/>
  <c r="G100" i="11"/>
  <c r="K87" i="11"/>
  <c r="K100" i="11"/>
  <c r="O87" i="11"/>
  <c r="O100" i="11"/>
  <c r="AI87" i="11"/>
  <c r="AI100" i="11"/>
  <c r="G88" i="11"/>
  <c r="G92" i="11"/>
  <c r="D14" i="103"/>
  <c r="H14" i="103"/>
  <c r="L14" i="103"/>
  <c r="P14" i="103"/>
  <c r="F15" i="103"/>
  <c r="J15" i="103"/>
  <c r="N15" i="103"/>
  <c r="R15" i="103"/>
  <c r="U52" i="11"/>
  <c r="F16" i="103"/>
  <c r="J16" i="103"/>
  <c r="N16" i="103"/>
  <c r="R16" i="103"/>
  <c r="AK54" i="11"/>
  <c r="T55" i="11"/>
  <c r="X55" i="11"/>
  <c r="AB55" i="11"/>
  <c r="AF55" i="11"/>
  <c r="E17" i="103"/>
  <c r="I17" i="103"/>
  <c r="M17" i="103"/>
  <c r="Q17" i="103"/>
  <c r="T58" i="11"/>
  <c r="X58" i="11"/>
  <c r="AB58" i="11"/>
  <c r="AF58" i="11"/>
  <c r="E18" i="103"/>
  <c r="I18" i="103"/>
  <c r="M18" i="103"/>
  <c r="Q18" i="103"/>
  <c r="T61" i="11"/>
  <c r="X61" i="11"/>
  <c r="AB61" i="11"/>
  <c r="AF61" i="11"/>
  <c r="E19" i="103"/>
  <c r="I19" i="103"/>
  <c r="M19" i="103"/>
  <c r="Q19" i="103"/>
  <c r="T64" i="11"/>
  <c r="X64" i="11"/>
  <c r="AB64" i="11"/>
  <c r="AF64" i="11"/>
  <c r="E20" i="103"/>
  <c r="I20" i="103"/>
  <c r="M20" i="103"/>
  <c r="Q20" i="103"/>
  <c r="AD84" i="11"/>
  <c r="AD67" i="11"/>
  <c r="U70" i="11"/>
  <c r="AC84" i="11"/>
  <c r="AC70" i="11"/>
  <c r="E88" i="11"/>
  <c r="E85" i="11"/>
  <c r="I88" i="11"/>
  <c r="I85" i="11"/>
  <c r="M88" i="11"/>
  <c r="M85" i="11"/>
  <c r="Q88" i="11"/>
  <c r="Q85" i="11"/>
  <c r="C11" i="53"/>
  <c r="F22" i="103"/>
  <c r="J22" i="103"/>
  <c r="Y84" i="11"/>
  <c r="N22" i="103"/>
  <c r="AC50" i="11"/>
  <c r="R22" i="103"/>
  <c r="AG84" i="11"/>
  <c r="E74" i="11"/>
  <c r="J74" i="11"/>
  <c r="O74" i="11"/>
  <c r="U74" i="11"/>
  <c r="AE74" i="11"/>
  <c r="I75" i="11"/>
  <c r="N75" i="11"/>
  <c r="Y75" i="11"/>
  <c r="AI75" i="11"/>
  <c r="E80" i="11"/>
  <c r="I80" i="11"/>
  <c r="M80" i="11"/>
  <c r="Q80" i="11"/>
  <c r="F24" i="103"/>
  <c r="U80" i="11"/>
  <c r="J24" i="103"/>
  <c r="Y80" i="11"/>
  <c r="N24" i="103"/>
  <c r="AC80" i="11"/>
  <c r="R24" i="103"/>
  <c r="AG80" i="11"/>
  <c r="AO80" i="11"/>
  <c r="AS80" i="11"/>
  <c r="H82" i="11"/>
  <c r="L82" i="11"/>
  <c r="E25" i="103"/>
  <c r="T82" i="11"/>
  <c r="AJ84" i="11"/>
  <c r="AJ82" i="11"/>
  <c r="H87" i="11"/>
  <c r="L87" i="11"/>
  <c r="P84" i="11"/>
  <c r="P87" i="11"/>
  <c r="AJ87" i="11"/>
  <c r="Z84" i="11"/>
  <c r="Z50" i="11"/>
  <c r="Z52" i="11"/>
  <c r="U55" i="11"/>
  <c r="U58" i="11"/>
  <c r="Y58" i="11"/>
  <c r="AC58" i="11"/>
  <c r="U61" i="11"/>
  <c r="Y61" i="11"/>
  <c r="AC61" i="11"/>
  <c r="U64" i="11"/>
  <c r="Y64" i="11"/>
  <c r="AC64" i="11"/>
  <c r="W84" i="11"/>
  <c r="W67" i="11"/>
  <c r="F88" i="11"/>
  <c r="F85" i="11"/>
  <c r="J88" i="11"/>
  <c r="J85" i="11"/>
  <c r="N88" i="11"/>
  <c r="N85" i="11"/>
  <c r="C22" i="103"/>
  <c r="C42" i="103"/>
  <c r="R84" i="11"/>
  <c r="G22" i="103"/>
  <c r="V84" i="11"/>
  <c r="V67" i="11"/>
  <c r="K22" i="103"/>
  <c r="O22" i="103"/>
  <c r="AH88" i="11"/>
  <c r="AH85" i="11"/>
  <c r="F74" i="11"/>
  <c r="K74" i="11"/>
  <c r="V74" i="11"/>
  <c r="J75" i="11"/>
  <c r="O75" i="11"/>
  <c r="U75" i="11"/>
  <c r="D19" i="53"/>
  <c r="Z75" i="11"/>
  <c r="S78" i="11"/>
  <c r="AC78" i="11"/>
  <c r="F80" i="11"/>
  <c r="J80" i="11"/>
  <c r="N80" i="11"/>
  <c r="C24" i="103"/>
  <c r="R80" i="11"/>
  <c r="G24" i="103"/>
  <c r="V80" i="11"/>
  <c r="K24" i="103"/>
  <c r="Z80" i="11"/>
  <c r="O24" i="103"/>
  <c r="AD80" i="11"/>
  <c r="AH80" i="11"/>
  <c r="AP80" i="11"/>
  <c r="AT80" i="11"/>
  <c r="E82" i="11"/>
  <c r="I82" i="11"/>
  <c r="M82" i="11"/>
  <c r="Q82" i="11"/>
  <c r="E87" i="11"/>
  <c r="E100" i="11"/>
  <c r="I87" i="11"/>
  <c r="I100" i="11"/>
  <c r="E92" i="11"/>
  <c r="I92" i="11"/>
  <c r="M92" i="11"/>
  <c r="F14" i="103"/>
  <c r="J14" i="103"/>
  <c r="N14" i="103"/>
  <c r="R14" i="103"/>
  <c r="AA84" i="11"/>
  <c r="AA50" i="11"/>
  <c r="D15" i="103"/>
  <c r="H15" i="103"/>
  <c r="L15" i="103"/>
  <c r="P15" i="103"/>
  <c r="AA52" i="11"/>
  <c r="D16" i="103"/>
  <c r="H16" i="103"/>
  <c r="L16" i="103"/>
  <c r="P16" i="103"/>
  <c r="V55" i="11"/>
  <c r="Z55" i="11"/>
  <c r="AD55" i="11"/>
  <c r="V58" i="11"/>
  <c r="Z58" i="11"/>
  <c r="AD58" i="11"/>
  <c r="V61" i="11"/>
  <c r="Z61" i="11"/>
  <c r="AD61" i="11"/>
  <c r="V64" i="11"/>
  <c r="Z64" i="11"/>
  <c r="AD64" i="11"/>
  <c r="T67" i="11"/>
  <c r="X67" i="11"/>
  <c r="AB67" i="11"/>
  <c r="AF67" i="11"/>
  <c r="E21" i="103"/>
  <c r="I21" i="103"/>
  <c r="M21" i="103"/>
  <c r="Q21" i="103"/>
  <c r="AA70" i="11"/>
  <c r="AE70" i="11"/>
  <c r="G85" i="11"/>
  <c r="K88" i="11"/>
  <c r="K85" i="11"/>
  <c r="O88" i="11"/>
  <c r="O85" i="11"/>
  <c r="D22" i="103"/>
  <c r="S50" i="11"/>
  <c r="H22" i="103"/>
  <c r="L22" i="103"/>
  <c r="AA58" i="11"/>
  <c r="P22" i="103"/>
  <c r="AF48" i="1"/>
  <c r="AI88" i="11"/>
  <c r="AI85" i="11"/>
  <c r="G74" i="11"/>
  <c r="M74" i="11"/>
  <c r="R74" i="11"/>
  <c r="W74" i="11"/>
  <c r="AC74" i="11"/>
  <c r="AH74" i="11"/>
  <c r="K75" i="11"/>
  <c r="Q75" i="11"/>
  <c r="C19" i="53"/>
  <c r="V75" i="11"/>
  <c r="AA75" i="11"/>
  <c r="AG75" i="11"/>
  <c r="F78" i="11"/>
  <c r="J78" i="11"/>
  <c r="N78" i="11"/>
  <c r="C23" i="103"/>
  <c r="R78" i="11"/>
  <c r="G23" i="103"/>
  <c r="V78" i="11"/>
  <c r="K23" i="103"/>
  <c r="Z78" i="11"/>
  <c r="O23" i="103"/>
  <c r="AD78" i="11"/>
  <c r="AH78" i="11"/>
  <c r="Y78" i="11"/>
  <c r="AE78" i="11"/>
  <c r="D24" i="103"/>
  <c r="H24" i="103"/>
  <c r="L24" i="103"/>
  <c r="W80" i="11"/>
  <c r="F82" i="11"/>
  <c r="J82" i="11"/>
  <c r="N82" i="11"/>
  <c r="AH82" i="11"/>
  <c r="F87" i="11"/>
  <c r="J87" i="11"/>
  <c r="J100" i="11"/>
  <c r="N87" i="11"/>
  <c r="AH87" i="11"/>
  <c r="AH100" i="11"/>
  <c r="J92" i="11"/>
  <c r="AH92" i="11"/>
  <c r="W82" i="11"/>
  <c r="AA82" i="11"/>
  <c r="AE82" i="11"/>
  <c r="W87" i="11"/>
  <c r="AA87" i="11"/>
  <c r="AE87" i="11"/>
  <c r="C43" i="103"/>
  <c r="C30" i="103"/>
  <c r="G49" i="103"/>
  <c r="G43" i="103"/>
  <c r="G30" i="103"/>
  <c r="K49" i="103"/>
  <c r="K43" i="103"/>
  <c r="K30" i="103"/>
  <c r="O49" i="103"/>
  <c r="O43" i="103"/>
  <c r="O30" i="103"/>
  <c r="F95" i="11"/>
  <c r="J95" i="11"/>
  <c r="N95" i="11"/>
  <c r="R95" i="11"/>
  <c r="V95" i="11"/>
  <c r="Z95" i="11"/>
  <c r="AD95" i="11"/>
  <c r="AH95" i="11"/>
  <c r="J96" i="11"/>
  <c r="N96" i="11"/>
  <c r="R96" i="11"/>
  <c r="V96" i="11"/>
  <c r="Z96" i="11"/>
  <c r="AD96" i="11"/>
  <c r="AH96" i="11"/>
  <c r="R98" i="11"/>
  <c r="V98" i="11"/>
  <c r="Z98" i="11"/>
  <c r="AD98" i="11"/>
  <c r="C21" i="53"/>
  <c r="C13" i="53"/>
  <c r="D21" i="53"/>
  <c r="D13" i="53"/>
  <c r="E13" i="53"/>
  <c r="E21" i="53"/>
  <c r="F13" i="53"/>
  <c r="F21" i="53"/>
  <c r="G21" i="53"/>
  <c r="G13" i="53"/>
  <c r="E82" i="12"/>
  <c r="I82" i="12"/>
  <c r="M82" i="12"/>
  <c r="Q82" i="12"/>
  <c r="C55" i="53"/>
  <c r="C27" i="53"/>
  <c r="C53" i="53"/>
  <c r="D55" i="53"/>
  <c r="D27" i="53"/>
  <c r="U82" i="12"/>
  <c r="D53" i="53"/>
  <c r="Y82" i="12"/>
  <c r="E53" i="53"/>
  <c r="B187" i="95"/>
  <c r="E55" i="53"/>
  <c r="E27" i="53"/>
  <c r="F53" i="53"/>
  <c r="AC82" i="12"/>
  <c r="C187" i="95"/>
  <c r="F55" i="53"/>
  <c r="F27" i="53"/>
  <c r="AG82" i="12"/>
  <c r="D187" i="95"/>
  <c r="G55" i="53"/>
  <c r="G27" i="53"/>
  <c r="G53" i="53"/>
  <c r="C54" i="53"/>
  <c r="D54" i="53"/>
  <c r="E54" i="53"/>
  <c r="F54" i="53"/>
  <c r="B74" i="95"/>
  <c r="B27" i="95"/>
  <c r="G54" i="53"/>
  <c r="X82" i="11"/>
  <c r="AB82" i="11"/>
  <c r="AF82" i="11"/>
  <c r="P50" i="11"/>
  <c r="AJ50" i="11"/>
  <c r="T87" i="11"/>
  <c r="X87" i="11"/>
  <c r="X100" i="11"/>
  <c r="AB87" i="11"/>
  <c r="AB100" i="11"/>
  <c r="AF87" i="11"/>
  <c r="X92" i="11"/>
  <c r="AB92" i="11"/>
  <c r="AF92" i="11"/>
  <c r="D43" i="103"/>
  <c r="D55" i="103"/>
  <c r="D30" i="103"/>
  <c r="H49" i="103"/>
  <c r="H43" i="103"/>
  <c r="H55" i="103"/>
  <c r="H30" i="103"/>
  <c r="L49" i="103"/>
  <c r="L43" i="103"/>
  <c r="L55" i="103"/>
  <c r="L30" i="103"/>
  <c r="P49" i="103"/>
  <c r="P43" i="103"/>
  <c r="P55" i="103"/>
  <c r="P30" i="103"/>
  <c r="G95" i="11"/>
  <c r="K95" i="11"/>
  <c r="O95" i="11"/>
  <c r="S95" i="11"/>
  <c r="W95" i="11"/>
  <c r="AA95" i="11"/>
  <c r="AE95" i="11"/>
  <c r="AI95" i="11"/>
  <c r="K96" i="11"/>
  <c r="O96" i="11"/>
  <c r="S96" i="11"/>
  <c r="W96" i="11"/>
  <c r="AA96" i="11"/>
  <c r="AE96" i="11"/>
  <c r="AI96" i="11"/>
  <c r="S98" i="11"/>
  <c r="W98" i="11"/>
  <c r="AA98" i="11"/>
  <c r="AE98" i="11"/>
  <c r="F82" i="12"/>
  <c r="J82" i="12"/>
  <c r="N82" i="12"/>
  <c r="R82" i="12"/>
  <c r="V82" i="12"/>
  <c r="Z82" i="12"/>
  <c r="AD82" i="12"/>
  <c r="AH82" i="12"/>
  <c r="P24" i="103"/>
  <c r="AQ80" i="11"/>
  <c r="F25" i="103"/>
  <c r="J25" i="103"/>
  <c r="N25" i="103"/>
  <c r="R25" i="103"/>
  <c r="U82" i="11"/>
  <c r="Y82" i="11"/>
  <c r="AC82" i="11"/>
  <c r="F27" i="103"/>
  <c r="F41" i="103"/>
  <c r="J27" i="103"/>
  <c r="J41" i="103"/>
  <c r="N27" i="103"/>
  <c r="N41" i="103"/>
  <c r="R27" i="103"/>
  <c r="R41" i="103"/>
  <c r="U87" i="11"/>
  <c r="Y87" i="11"/>
  <c r="AC87" i="11"/>
  <c r="F28" i="103"/>
  <c r="J28" i="103"/>
  <c r="N28" i="103"/>
  <c r="R28" i="103"/>
  <c r="E29" i="103"/>
  <c r="I29" i="103"/>
  <c r="M29" i="103"/>
  <c r="Q29" i="103"/>
  <c r="H95" i="11"/>
  <c r="L95" i="11"/>
  <c r="P95" i="11"/>
  <c r="T95" i="11"/>
  <c r="X95" i="11"/>
  <c r="AB95" i="11"/>
  <c r="AF95" i="11"/>
  <c r="AJ95" i="11"/>
  <c r="L96" i="11"/>
  <c r="P96" i="11"/>
  <c r="T96" i="11"/>
  <c r="X96" i="11"/>
  <c r="AB96" i="11"/>
  <c r="AF96" i="11"/>
  <c r="AJ96" i="11"/>
  <c r="T98" i="11"/>
  <c r="X98" i="11"/>
  <c r="AB98" i="11"/>
  <c r="AF98" i="11"/>
  <c r="G82" i="12"/>
  <c r="K82" i="12"/>
  <c r="O82" i="12"/>
  <c r="S82" i="12"/>
  <c r="W82" i="12"/>
  <c r="AA82" i="12"/>
  <c r="AE82" i="12"/>
  <c r="AI82" i="12"/>
  <c r="E22" i="103"/>
  <c r="I22" i="103"/>
  <c r="M22" i="103"/>
  <c r="Q22" i="103"/>
  <c r="P74" i="11"/>
  <c r="T74" i="11"/>
  <c r="X74" i="11"/>
  <c r="AB74" i="11"/>
  <c r="AF74" i="11"/>
  <c r="AJ74" i="11"/>
  <c r="T75" i="11"/>
  <c r="X75" i="11"/>
  <c r="AB75" i="11"/>
  <c r="AF75" i="11"/>
  <c r="E23" i="103"/>
  <c r="I23" i="103"/>
  <c r="M23" i="103"/>
  <c r="Q23" i="103"/>
  <c r="AR78" i="11"/>
  <c r="E24" i="103"/>
  <c r="I24" i="103"/>
  <c r="M24" i="103"/>
  <c r="Q24" i="103"/>
  <c r="AN80" i="11"/>
  <c r="AR80" i="11"/>
  <c r="R82" i="11"/>
  <c r="V82" i="11"/>
  <c r="Z82" i="11"/>
  <c r="AD82" i="11"/>
  <c r="R87" i="11"/>
  <c r="V87" i="11"/>
  <c r="W48" i="1"/>
  <c r="Z87" i="11"/>
  <c r="AA48" i="1"/>
  <c r="AD87" i="11"/>
  <c r="AE48" i="1"/>
  <c r="C5" i="53"/>
  <c r="F29" i="103"/>
  <c r="D5" i="53"/>
  <c r="J29" i="103"/>
  <c r="E5" i="53"/>
  <c r="C10" i="7"/>
  <c r="N29" i="103"/>
  <c r="F5" i="53"/>
  <c r="D10" i="7"/>
  <c r="R29" i="103"/>
  <c r="G5" i="53"/>
  <c r="E10" i="7"/>
  <c r="B71" i="95"/>
  <c r="E95" i="11"/>
  <c r="I95" i="11"/>
  <c r="M95" i="11"/>
  <c r="Q95" i="11"/>
  <c r="U95" i="11"/>
  <c r="Y95" i="11"/>
  <c r="C40" i="8"/>
  <c r="AC95" i="11"/>
  <c r="D40" i="8"/>
  <c r="AG95" i="11"/>
  <c r="E40" i="8"/>
  <c r="I96" i="11"/>
  <c r="M96" i="11"/>
  <c r="Q96" i="11"/>
  <c r="C20" i="53"/>
  <c r="U96" i="11"/>
  <c r="D20" i="53"/>
  <c r="Y96" i="11"/>
  <c r="AC96" i="11"/>
  <c r="AG96" i="11"/>
  <c r="Q98" i="11"/>
  <c r="U98" i="11"/>
  <c r="Y98" i="11"/>
  <c r="AC98" i="11"/>
  <c r="AG98" i="11"/>
  <c r="AK98" i="11"/>
  <c r="H82" i="12"/>
  <c r="L82" i="12"/>
  <c r="P82" i="12"/>
  <c r="T82" i="12"/>
  <c r="X82" i="12"/>
  <c r="AB82" i="12"/>
  <c r="AF82" i="12"/>
  <c r="AJ82" i="12"/>
  <c r="E65" i="95"/>
  <c r="I65" i="95"/>
  <c r="F66" i="95"/>
  <c r="J66" i="95"/>
  <c r="G67" i="95"/>
  <c r="K67" i="95"/>
  <c r="I77" i="95"/>
  <c r="G110" i="95"/>
  <c r="K110" i="95"/>
  <c r="H111" i="95"/>
  <c r="E112" i="95"/>
  <c r="I112" i="95"/>
  <c r="C116" i="95"/>
  <c r="B151" i="95"/>
  <c r="H117" i="95"/>
  <c r="L117" i="95"/>
  <c r="F152" i="95"/>
  <c r="J152" i="95"/>
  <c r="G153" i="95"/>
  <c r="K153" i="95"/>
  <c r="H154" i="95"/>
  <c r="B158" i="95"/>
  <c r="G163" i="95"/>
  <c r="K163" i="95"/>
  <c r="H178" i="95"/>
  <c r="E179" i="95"/>
  <c r="I179" i="95"/>
  <c r="F180" i="95"/>
  <c r="J180" i="95"/>
  <c r="I28" i="95"/>
  <c r="F65" i="95"/>
  <c r="J65" i="95"/>
  <c r="G66" i="95"/>
  <c r="K66" i="95"/>
  <c r="H67" i="95"/>
  <c r="B70" i="95"/>
  <c r="F77" i="95"/>
  <c r="J77" i="95"/>
  <c r="H110" i="95"/>
  <c r="E111" i="95"/>
  <c r="I111" i="95"/>
  <c r="F112" i="95"/>
  <c r="J112" i="95"/>
  <c r="D116" i="95"/>
  <c r="C151" i="95"/>
  <c r="I117" i="95"/>
  <c r="G152" i="95"/>
  <c r="K152" i="95"/>
  <c r="H153" i="95"/>
  <c r="E154" i="95"/>
  <c r="I154" i="95"/>
  <c r="C158" i="95"/>
  <c r="B177" i="95"/>
  <c r="H163" i="95"/>
  <c r="L163" i="95"/>
  <c r="E178" i="95"/>
  <c r="I178" i="95"/>
  <c r="F179" i="95"/>
  <c r="J179" i="95"/>
  <c r="G180" i="95"/>
  <c r="K180" i="95"/>
  <c r="F28" i="95"/>
  <c r="J28" i="95"/>
  <c r="B64" i="95"/>
  <c r="G65" i="95"/>
  <c r="K65" i="95"/>
  <c r="H66" i="95"/>
  <c r="E67" i="95"/>
  <c r="I67" i="95"/>
  <c r="G77" i="95"/>
  <c r="K77" i="95"/>
  <c r="E110" i="95"/>
  <c r="I110" i="95"/>
  <c r="F111" i="95"/>
  <c r="J111" i="95"/>
  <c r="G112" i="95"/>
  <c r="K112" i="95"/>
  <c r="F117" i="95"/>
  <c r="J117" i="95"/>
  <c r="H152" i="95"/>
  <c r="E153" i="95"/>
  <c r="I153" i="95"/>
  <c r="F154" i="95"/>
  <c r="J154" i="95"/>
  <c r="D158" i="95"/>
  <c r="C177" i="95"/>
  <c r="I163" i="95"/>
  <c r="F178" i="95"/>
  <c r="J178" i="95"/>
  <c r="G179" i="95"/>
  <c r="K179" i="95"/>
  <c r="H180" i="95"/>
  <c r="E20" i="95"/>
  <c r="E158" i="95"/>
  <c r="G28" i="95"/>
  <c r="K28" i="95"/>
  <c r="C64" i="95"/>
  <c r="H65" i="95"/>
  <c r="E66" i="95"/>
  <c r="I66" i="95"/>
  <c r="F67" i="95"/>
  <c r="J67" i="95"/>
  <c r="H77" i="95"/>
  <c r="L77" i="95"/>
  <c r="F110" i="95"/>
  <c r="J110" i="95"/>
  <c r="G111" i="95"/>
  <c r="K111" i="95"/>
  <c r="H112" i="95"/>
  <c r="G117" i="95"/>
  <c r="K117" i="95"/>
  <c r="E152" i="95"/>
  <c r="I152" i="95"/>
  <c r="F153" i="95"/>
  <c r="J153" i="95"/>
  <c r="G154" i="95"/>
  <c r="K154" i="95"/>
  <c r="F163" i="95"/>
  <c r="J163" i="95"/>
  <c r="G178" i="95"/>
  <c r="K178" i="95"/>
  <c r="H179" i="95"/>
  <c r="E180" i="95"/>
  <c r="W46" i="103"/>
  <c r="W52" i="103"/>
  <c r="W35" i="103"/>
  <c r="AA46" i="103"/>
  <c r="AA52" i="103"/>
  <c r="AA35" i="103"/>
  <c r="Y53" i="103"/>
  <c r="Y47" i="103"/>
  <c r="AC53" i="103"/>
  <c r="AC47" i="103"/>
  <c r="X46" i="103"/>
  <c r="X52" i="103"/>
  <c r="X35" i="103"/>
  <c r="AB46" i="103"/>
  <c r="AB52" i="103"/>
  <c r="AB35" i="103"/>
  <c r="V53" i="103"/>
  <c r="V47" i="103"/>
  <c r="Z53" i="103"/>
  <c r="Z47" i="103"/>
  <c r="AD53" i="103"/>
  <c r="AD47" i="103"/>
  <c r="Y52" i="103"/>
  <c r="Y46" i="103"/>
  <c r="Y35" i="103"/>
  <c r="AC52" i="103"/>
  <c r="AC35" i="103"/>
  <c r="AC46" i="103"/>
  <c r="W53" i="103"/>
  <c r="W47" i="103"/>
  <c r="AA53" i="103"/>
  <c r="AA47" i="103"/>
  <c r="V52" i="103"/>
  <c r="V46" i="103"/>
  <c r="V35" i="103"/>
  <c r="Z52" i="103"/>
  <c r="Z46" i="103"/>
  <c r="Z35" i="103"/>
  <c r="AD52" i="103"/>
  <c r="AD46" i="103"/>
  <c r="AD35" i="103"/>
  <c r="X47" i="103"/>
  <c r="X53" i="103"/>
  <c r="AB47" i="103"/>
  <c r="AB53" i="103"/>
  <c r="B51" i="95"/>
  <c r="B59" i="95"/>
  <c r="B58" i="95"/>
  <c r="B102" i="95"/>
  <c r="B93" i="95"/>
  <c r="B103" i="95"/>
  <c r="B96" i="95"/>
  <c r="B104" i="95"/>
  <c r="B145" i="95"/>
  <c r="B136" i="95"/>
  <c r="D64" i="95"/>
  <c r="AK27" i="10"/>
  <c r="N10" i="8"/>
  <c r="M86" i="92"/>
  <c r="M90" i="92"/>
  <c r="G129" i="92"/>
  <c r="T129" i="92"/>
  <c r="U168" i="92"/>
  <c r="AT63" i="11"/>
  <c r="AT10" i="12"/>
  <c r="L76" i="95"/>
  <c r="G160" i="92"/>
  <c r="S125" i="92"/>
  <c r="O7" i="8"/>
  <c r="AN28" i="12"/>
  <c r="AR28" i="12"/>
  <c r="L46" i="92"/>
  <c r="AK32" i="10"/>
  <c r="N12" i="8"/>
  <c r="L13" i="92"/>
  <c r="M10" i="92"/>
  <c r="F160" i="92"/>
  <c r="G125" i="92"/>
  <c r="P125" i="92"/>
  <c r="S124" i="92"/>
  <c r="O168" i="92"/>
  <c r="AN63" i="11"/>
  <c r="S168" i="92"/>
  <c r="AR63" i="11"/>
  <c r="AR10" i="12"/>
  <c r="AO28" i="12"/>
  <c r="AS28" i="12"/>
  <c r="G74" i="92"/>
  <c r="S75" i="92"/>
  <c r="R123" i="92"/>
  <c r="U123" i="92"/>
  <c r="Q123" i="92"/>
  <c r="T123" i="92"/>
  <c r="AB19" i="103"/>
  <c r="AA19" i="103"/>
  <c r="I39" i="101"/>
  <c r="AD19" i="103"/>
  <c r="H39" i="101"/>
  <c r="AC19" i="103"/>
  <c r="H26" i="8"/>
  <c r="M27" i="92"/>
  <c r="N27" i="92"/>
  <c r="G70" i="92"/>
  <c r="G77" i="92"/>
  <c r="U77" i="92"/>
  <c r="G73" i="92"/>
  <c r="T73" i="92"/>
  <c r="G69" i="92"/>
  <c r="T69" i="92"/>
  <c r="H160" i="92"/>
  <c r="L66" i="92"/>
  <c r="M66" i="92"/>
  <c r="G71" i="92"/>
  <c r="T71" i="92"/>
  <c r="G76" i="92"/>
  <c r="U76" i="92"/>
  <c r="P71" i="92"/>
  <c r="U74" i="92"/>
  <c r="AK30" i="10"/>
  <c r="M93" i="92"/>
  <c r="M101" i="92"/>
  <c r="S123" i="92"/>
  <c r="W17" i="103"/>
  <c r="Z17" i="103"/>
  <c r="E37" i="101"/>
  <c r="Y17" i="103"/>
  <c r="X17" i="103"/>
  <c r="F37" i="101"/>
  <c r="AL18" i="12"/>
  <c r="G24" i="8"/>
  <c r="G29" i="92"/>
  <c r="O29" i="92"/>
  <c r="AD17" i="103"/>
  <c r="AC17" i="103"/>
  <c r="I37" i="101"/>
  <c r="AB17" i="103"/>
  <c r="H37" i="101"/>
  <c r="AM18" i="12"/>
  <c r="AA17" i="103"/>
  <c r="H24" i="8"/>
  <c r="S17" i="103"/>
  <c r="T17" i="103"/>
  <c r="U17" i="103"/>
  <c r="AK18" i="12"/>
  <c r="C37" i="101"/>
  <c r="B37" i="101"/>
  <c r="F24" i="8"/>
  <c r="G68" i="92"/>
  <c r="T68" i="92"/>
  <c r="G72" i="92"/>
  <c r="R72" i="92"/>
  <c r="M80" i="92"/>
  <c r="M83" i="92"/>
  <c r="AL27" i="10"/>
  <c r="O10" i="8"/>
  <c r="N86" i="92"/>
  <c r="N90" i="92"/>
  <c r="AK33" i="10"/>
  <c r="M136" i="92"/>
  <c r="M144" i="92"/>
  <c r="AN10" i="12"/>
  <c r="P69" i="92"/>
  <c r="R73" i="92"/>
  <c r="U75" i="92"/>
  <c r="M121" i="92"/>
  <c r="G123" i="92"/>
  <c r="P123" i="92"/>
  <c r="G126" i="92"/>
  <c r="P126" i="92"/>
  <c r="G130" i="92"/>
  <c r="U130" i="92"/>
  <c r="R124" i="92"/>
  <c r="U126" i="92"/>
  <c r="S129" i="92"/>
  <c r="M158" i="92"/>
  <c r="S19" i="103"/>
  <c r="U19" i="103"/>
  <c r="T19" i="103"/>
  <c r="C39" i="101"/>
  <c r="B39" i="101"/>
  <c r="S18" i="103"/>
  <c r="U18" i="103"/>
  <c r="T18" i="103"/>
  <c r="B38" i="101"/>
  <c r="AK10" i="12"/>
  <c r="C38" i="101"/>
  <c r="AO10" i="12"/>
  <c r="AS10" i="12"/>
  <c r="F26" i="8"/>
  <c r="N121" i="92"/>
  <c r="O121" i="92"/>
  <c r="G127" i="92"/>
  <c r="Q127" i="92"/>
  <c r="G131" i="92"/>
  <c r="T131" i="92"/>
  <c r="W19" i="103"/>
  <c r="X19" i="103"/>
  <c r="E39" i="101"/>
  <c r="Z19" i="103"/>
  <c r="Y19" i="103"/>
  <c r="F39" i="101"/>
  <c r="AL10" i="12"/>
  <c r="AP10" i="12"/>
  <c r="G26" i="8"/>
  <c r="Q70" i="92"/>
  <c r="G124" i="92"/>
  <c r="P124" i="92"/>
  <c r="G128" i="92"/>
  <c r="T128" i="92"/>
  <c r="M157" i="92"/>
  <c r="AA18" i="103"/>
  <c r="H38" i="101"/>
  <c r="AD18" i="103"/>
  <c r="AC18" i="103"/>
  <c r="AM10" i="12"/>
  <c r="AB18" i="103"/>
  <c r="I38" i="101"/>
  <c r="H25" i="8"/>
  <c r="AQ10" i="12"/>
  <c r="W18" i="103"/>
  <c r="Z18" i="103"/>
  <c r="F38" i="101"/>
  <c r="Y18" i="103"/>
  <c r="E38" i="101"/>
  <c r="X18" i="103"/>
  <c r="AM28" i="12"/>
  <c r="AQ28" i="12"/>
  <c r="B48" i="95"/>
  <c r="E70" i="95"/>
  <c r="D109" i="95"/>
  <c r="B139" i="95"/>
  <c r="B146" i="95"/>
  <c r="D177" i="95"/>
  <c r="B164" i="95"/>
  <c r="C164" i="95"/>
  <c r="D164" i="95"/>
  <c r="E164" i="95"/>
  <c r="F164" i="95"/>
  <c r="G164" i="95"/>
  <c r="H164" i="95"/>
  <c r="I164" i="95"/>
  <c r="J164" i="95"/>
  <c r="K164" i="95"/>
  <c r="L164" i="95"/>
  <c r="B30" i="95"/>
  <c r="C30" i="95"/>
  <c r="D30" i="95"/>
  <c r="E30" i="95"/>
  <c r="F30" i="95"/>
  <c r="G30" i="95"/>
  <c r="H30" i="95"/>
  <c r="I30" i="95"/>
  <c r="J30" i="95"/>
  <c r="K30" i="95"/>
  <c r="L30" i="95"/>
  <c r="B97" i="95"/>
  <c r="AM83" i="10"/>
  <c r="AN83" i="10"/>
  <c r="AO83" i="10"/>
  <c r="AP83" i="10"/>
  <c r="AQ83" i="10"/>
  <c r="AR83" i="10"/>
  <c r="AS83" i="10"/>
  <c r="AT83" i="10"/>
  <c r="B31" i="101"/>
  <c r="AK34" i="11"/>
  <c r="F15" i="8"/>
  <c r="E31" i="101"/>
  <c r="AL34" i="11"/>
  <c r="G15" i="8"/>
  <c r="AM34" i="11"/>
  <c r="H15" i="8"/>
  <c r="H31" i="101"/>
  <c r="AO78" i="11"/>
  <c r="AS78" i="11"/>
  <c r="F45" i="101"/>
  <c r="C46" i="101"/>
  <c r="I46" i="101"/>
  <c r="F47" i="101"/>
  <c r="AL78" i="11"/>
  <c r="AP78" i="11"/>
  <c r="AT78" i="11"/>
  <c r="AL80" i="11"/>
  <c r="B45" i="101"/>
  <c r="H45" i="101"/>
  <c r="E46" i="101"/>
  <c r="B47" i="101"/>
  <c r="H47" i="101"/>
  <c r="AM78" i="11"/>
  <c r="AQ78" i="11"/>
  <c r="AM80" i="11"/>
  <c r="C45" i="101"/>
  <c r="I45" i="101"/>
  <c r="E45" i="101"/>
  <c r="AQ17" i="12"/>
  <c r="AQ55" i="12"/>
  <c r="H40" i="101"/>
  <c r="AM55" i="12"/>
  <c r="I40" i="101"/>
  <c r="AM17" i="12"/>
  <c r="H27" i="8"/>
  <c r="B40" i="101"/>
  <c r="C40" i="101"/>
  <c r="AK55" i="12"/>
  <c r="AK47" i="12"/>
  <c r="AK17" i="12"/>
  <c r="F27" i="8"/>
  <c r="AO17" i="12"/>
  <c r="AO55" i="12"/>
  <c r="AS17" i="12"/>
  <c r="AS55" i="12"/>
  <c r="AL17" i="12"/>
  <c r="G27" i="8"/>
  <c r="F40" i="101"/>
  <c r="E40" i="101"/>
  <c r="AL55" i="12"/>
  <c r="AP17" i="12"/>
  <c r="AP55" i="12"/>
  <c r="AT17" i="12"/>
  <c r="AT55" i="12"/>
  <c r="AN17" i="12"/>
  <c r="AR17" i="12"/>
  <c r="AN56" i="12"/>
  <c r="AN20" i="12"/>
  <c r="AR56" i="12"/>
  <c r="AR20" i="12"/>
  <c r="C35" i="101"/>
  <c r="AK56" i="12"/>
  <c r="AK20" i="12"/>
  <c r="B35" i="101"/>
  <c r="F22" i="8"/>
  <c r="AO56" i="12"/>
  <c r="AO20" i="12"/>
  <c r="AS56" i="12"/>
  <c r="AS20" i="12"/>
  <c r="E35" i="101"/>
  <c r="AL56" i="12"/>
  <c r="AL20" i="12"/>
  <c r="G22" i="8"/>
  <c r="F35" i="101"/>
  <c r="AP56" i="12"/>
  <c r="AP20" i="12"/>
  <c r="AT56" i="12"/>
  <c r="AT20" i="12"/>
  <c r="I35" i="101"/>
  <c r="H22" i="8"/>
  <c r="H35" i="101"/>
  <c r="AM56" i="12"/>
  <c r="AM20" i="12"/>
  <c r="AQ56" i="12"/>
  <c r="AQ20" i="12"/>
  <c r="G21" i="8"/>
  <c r="F34" i="101"/>
  <c r="E34" i="101"/>
  <c r="H34" i="101"/>
  <c r="I34" i="101"/>
  <c r="H21" i="8"/>
  <c r="B34" i="101"/>
  <c r="F21" i="8"/>
  <c r="C34" i="101"/>
  <c r="F13" i="8"/>
  <c r="AK32" i="11"/>
  <c r="B29" i="101"/>
  <c r="E29" i="101"/>
  <c r="G13" i="8"/>
  <c r="AL32" i="11"/>
  <c r="H29" i="101"/>
  <c r="AM32" i="11"/>
  <c r="H13" i="8"/>
  <c r="B27" i="101"/>
  <c r="AK30" i="11"/>
  <c r="F11" i="8"/>
  <c r="E27" i="101"/>
  <c r="G11" i="8"/>
  <c r="AL30" i="11"/>
  <c r="H11" i="8"/>
  <c r="H27" i="101"/>
  <c r="AM30" i="11"/>
  <c r="G9" i="8"/>
  <c r="E25" i="101"/>
  <c r="AL28" i="11"/>
  <c r="B25" i="101"/>
  <c r="AK28" i="11"/>
  <c r="F9" i="8"/>
  <c r="H26" i="101"/>
  <c r="F5" i="101"/>
  <c r="G5" i="101"/>
  <c r="I26" i="101"/>
  <c r="H10" i="8"/>
  <c r="H25" i="101"/>
  <c r="G133" i="95"/>
  <c r="F141" i="95"/>
  <c r="E133" i="95"/>
  <c r="F91" i="95"/>
  <c r="L133" i="2"/>
  <c r="H164" i="2"/>
  <c r="P127" i="92"/>
  <c r="B14" i="95"/>
  <c r="H28" i="53"/>
  <c r="F43" i="103"/>
  <c r="F55" i="103"/>
  <c r="F30" i="103"/>
  <c r="M54" i="103"/>
  <c r="M42" i="103"/>
  <c r="M48" i="103"/>
  <c r="G19" i="53"/>
  <c r="E30" i="8"/>
  <c r="AI93" i="11"/>
  <c r="AI89" i="11"/>
  <c r="L54" i="103"/>
  <c r="L48" i="103"/>
  <c r="L42" i="103"/>
  <c r="D54" i="103"/>
  <c r="D42" i="103"/>
  <c r="K93" i="11"/>
  <c r="K90" i="11"/>
  <c r="K89" i="11"/>
  <c r="O54" i="103"/>
  <c r="O48" i="103"/>
  <c r="O42" i="103"/>
  <c r="G54" i="103"/>
  <c r="G48" i="103"/>
  <c r="G42" i="103"/>
  <c r="N93" i="11"/>
  <c r="N90" i="11"/>
  <c r="N89" i="11"/>
  <c r="F93" i="11"/>
  <c r="F89" i="11"/>
  <c r="E19" i="53"/>
  <c r="C30" i="8"/>
  <c r="R26" i="103"/>
  <c r="AG88" i="11"/>
  <c r="AG85" i="11"/>
  <c r="G11" i="53"/>
  <c r="AG45" i="11"/>
  <c r="AG55" i="11"/>
  <c r="E32" i="8"/>
  <c r="J26" i="103"/>
  <c r="Y88" i="11"/>
  <c r="Y85" i="11"/>
  <c r="E11" i="53"/>
  <c r="Y45" i="11"/>
  <c r="Y55" i="11"/>
  <c r="C32" i="8"/>
  <c r="C33" i="8"/>
  <c r="AG70" i="11"/>
  <c r="T16" i="103"/>
  <c r="S16" i="103"/>
  <c r="U16" i="103"/>
  <c r="V16" i="103"/>
  <c r="C36" i="101"/>
  <c r="B36" i="101"/>
  <c r="F23" i="8"/>
  <c r="T93" i="11"/>
  <c r="T89" i="11"/>
  <c r="U21" i="103"/>
  <c r="T21" i="103"/>
  <c r="S21" i="103"/>
  <c r="V21" i="103"/>
  <c r="C41" i="101"/>
  <c r="B41" i="101"/>
  <c r="F28" i="8"/>
  <c r="AH43" i="11"/>
  <c r="AA24" i="11"/>
  <c r="AA23" i="11"/>
  <c r="K24" i="11"/>
  <c r="K23" i="11"/>
  <c r="N53" i="103"/>
  <c r="N47" i="103"/>
  <c r="N6" i="103"/>
  <c r="F52" i="103"/>
  <c r="F35" i="103"/>
  <c r="AJ70" i="11"/>
  <c r="AJ67" i="11"/>
  <c r="AJ64" i="11"/>
  <c r="AJ61" i="11"/>
  <c r="AJ58" i="11"/>
  <c r="AG50" i="11"/>
  <c r="AF100" i="11"/>
  <c r="AF47" i="11"/>
  <c r="AF46" i="11"/>
  <c r="AF42" i="11"/>
  <c r="AD24" i="11"/>
  <c r="AD23" i="11"/>
  <c r="N24" i="11"/>
  <c r="N23" i="11"/>
  <c r="Q53" i="103"/>
  <c r="Q47" i="103"/>
  <c r="Q6" i="103"/>
  <c r="I18" i="53"/>
  <c r="E17" i="101"/>
  <c r="D3" i="101"/>
  <c r="E3" i="101"/>
  <c r="Q51" i="103"/>
  <c r="Q45" i="103"/>
  <c r="AO23" i="11"/>
  <c r="L8" i="53"/>
  <c r="AO24" i="11"/>
  <c r="D53" i="103"/>
  <c r="D6" i="103"/>
  <c r="D18" i="53"/>
  <c r="M6" i="104"/>
  <c r="J113" i="101"/>
  <c r="D112" i="101"/>
  <c r="J112" i="101"/>
  <c r="D113" i="101"/>
  <c r="S55" i="11"/>
  <c r="AB23" i="11"/>
  <c r="AB24" i="11"/>
  <c r="L23" i="11"/>
  <c r="L24" i="11"/>
  <c r="O53" i="103"/>
  <c r="O46" i="103"/>
  <c r="O52" i="103"/>
  <c r="O35" i="103"/>
  <c r="G46" i="103"/>
  <c r="G52" i="103"/>
  <c r="G35" i="103"/>
  <c r="F2" i="103"/>
  <c r="F33" i="103"/>
  <c r="E2" i="103"/>
  <c r="E33" i="103"/>
  <c r="D2" i="103"/>
  <c r="D33" i="103"/>
  <c r="C2" i="103"/>
  <c r="C33" i="103"/>
  <c r="AG101" i="10"/>
  <c r="Q101" i="10"/>
  <c r="C185" i="95"/>
  <c r="D17" i="7"/>
  <c r="AB101" i="10"/>
  <c r="L101" i="10"/>
  <c r="G8" i="53"/>
  <c r="M44" i="8"/>
  <c r="E8" i="8"/>
  <c r="E8" i="53"/>
  <c r="C8" i="8"/>
  <c r="K44" i="8"/>
  <c r="J104" i="10"/>
  <c r="L102" i="10"/>
  <c r="AE102" i="10"/>
  <c r="AL40" i="10"/>
  <c r="AL21" i="12"/>
  <c r="W101" i="10"/>
  <c r="AK29" i="10"/>
  <c r="M111" i="2"/>
  <c r="AK9" i="10"/>
  <c r="M71" i="2"/>
  <c r="AN16" i="10"/>
  <c r="O30" i="2"/>
  <c r="AR12" i="10"/>
  <c r="S16" i="2"/>
  <c r="AP11" i="10"/>
  <c r="Q12" i="2"/>
  <c r="N101" i="10"/>
  <c r="AK39" i="10"/>
  <c r="M115" i="2"/>
  <c r="AP28" i="12"/>
  <c r="AM16" i="10"/>
  <c r="N30" i="2"/>
  <c r="AM12" i="10"/>
  <c r="N16" i="2"/>
  <c r="U51" i="103"/>
  <c r="U45" i="103"/>
  <c r="C22" i="101"/>
  <c r="B22" i="101"/>
  <c r="AK20" i="11"/>
  <c r="Y104" i="10"/>
  <c r="Y97" i="10"/>
  <c r="U97" i="10"/>
  <c r="I97" i="10"/>
  <c r="B13" i="95"/>
  <c r="B16" i="95"/>
  <c r="F46" i="95"/>
  <c r="AK38" i="11"/>
  <c r="AK19" i="12"/>
  <c r="L215" i="2"/>
  <c r="AK36" i="11"/>
  <c r="AK28" i="10"/>
  <c r="M108" i="2"/>
  <c r="AK10" i="10"/>
  <c r="M75" i="2"/>
  <c r="AN53" i="10"/>
  <c r="L33" i="53"/>
  <c r="L38" i="53"/>
  <c r="O44" i="2"/>
  <c r="AR15" i="10"/>
  <c r="S26" i="2"/>
  <c r="AN11" i="10"/>
  <c r="O12" i="2"/>
  <c r="AS32" i="12"/>
  <c r="AQ53" i="10"/>
  <c r="R44" i="2"/>
  <c r="AO52" i="10"/>
  <c r="P40" i="2"/>
  <c r="AS16" i="10"/>
  <c r="T30" i="2"/>
  <c r="AQ15" i="10"/>
  <c r="R26" i="2"/>
  <c r="AO12" i="10"/>
  <c r="M31" i="53"/>
  <c r="M36" i="53"/>
  <c r="P16" i="2"/>
  <c r="AM11" i="10"/>
  <c r="N12" i="2"/>
  <c r="B20" i="101"/>
  <c r="B107" i="101"/>
  <c r="AK18" i="11"/>
  <c r="B21" i="101"/>
  <c r="B4" i="101"/>
  <c r="C4" i="101"/>
  <c r="AK17" i="11"/>
  <c r="F6" i="8"/>
  <c r="F5" i="8"/>
  <c r="L6" i="2"/>
  <c r="AL66" i="10"/>
  <c r="N180" i="2"/>
  <c r="N185" i="2"/>
  <c r="O20" i="8"/>
  <c r="M207" i="2"/>
  <c r="AL38" i="11"/>
  <c r="AL19" i="12"/>
  <c r="M204" i="2"/>
  <c r="AL49" i="10"/>
  <c r="I55" i="103"/>
  <c r="I49" i="103"/>
  <c r="I43" i="103"/>
  <c r="I30" i="103"/>
  <c r="C35" i="8"/>
  <c r="I48" i="1"/>
  <c r="G20" i="53"/>
  <c r="E39" i="8"/>
  <c r="E9" i="7"/>
  <c r="M48" i="8"/>
  <c r="I54" i="103"/>
  <c r="I48" i="103"/>
  <c r="I42" i="103"/>
  <c r="E55" i="103"/>
  <c r="E30" i="103"/>
  <c r="E43" i="103"/>
  <c r="T92" i="11"/>
  <c r="F92" i="11"/>
  <c r="P26" i="103"/>
  <c r="AE88" i="11"/>
  <c r="AI90" i="11"/>
  <c r="AE85" i="11"/>
  <c r="AE45" i="11"/>
  <c r="AE55" i="11"/>
  <c r="AG48" i="1"/>
  <c r="H26" i="103"/>
  <c r="W88" i="11"/>
  <c r="W85" i="11"/>
  <c r="W45" i="11"/>
  <c r="Y48" i="1"/>
  <c r="W70" i="11"/>
  <c r="W52" i="11"/>
  <c r="W50" i="11"/>
  <c r="K26" i="103"/>
  <c r="Z88" i="11"/>
  <c r="Z85" i="11"/>
  <c r="Z70" i="11"/>
  <c r="Z45" i="11"/>
  <c r="C26" i="103"/>
  <c r="R88" i="11"/>
  <c r="R85" i="11"/>
  <c r="R45" i="11"/>
  <c r="R70" i="11"/>
  <c r="S67" i="11"/>
  <c r="V52" i="11"/>
  <c r="V50" i="11"/>
  <c r="R54" i="103"/>
  <c r="R48" i="103"/>
  <c r="R42" i="103"/>
  <c r="J54" i="103"/>
  <c r="J48" i="103"/>
  <c r="J42" i="103"/>
  <c r="C7" i="53"/>
  <c r="Q93" i="11"/>
  <c r="Q90" i="11"/>
  <c r="Q89" i="11"/>
  <c r="C12" i="53"/>
  <c r="I93" i="11"/>
  <c r="I90" i="11"/>
  <c r="I89" i="11"/>
  <c r="Z67" i="11"/>
  <c r="AG52" i="11"/>
  <c r="AI92" i="11"/>
  <c r="X93" i="11"/>
  <c r="X90" i="11"/>
  <c r="X89" i="11"/>
  <c r="E26" i="103"/>
  <c r="AG67" i="11"/>
  <c r="AE64" i="11"/>
  <c r="AE61" i="11"/>
  <c r="AE58" i="11"/>
  <c r="F39" i="103"/>
  <c r="F38" i="103"/>
  <c r="H23" i="101"/>
  <c r="AM24" i="11"/>
  <c r="AM23" i="11"/>
  <c r="H7" i="8"/>
  <c r="W24" i="11"/>
  <c r="W23" i="11"/>
  <c r="R6" i="103"/>
  <c r="R53" i="103"/>
  <c r="R47" i="103"/>
  <c r="R52" i="103"/>
  <c r="R46" i="103"/>
  <c r="R35" i="103"/>
  <c r="N52" i="103"/>
  <c r="N46" i="103"/>
  <c r="N35" i="103"/>
  <c r="J52" i="103"/>
  <c r="J46" i="103"/>
  <c r="J35" i="103"/>
  <c r="J45" i="103"/>
  <c r="J51" i="103"/>
  <c r="P70" i="11"/>
  <c r="P67" i="11"/>
  <c r="P64" i="11"/>
  <c r="P61" i="11"/>
  <c r="P58" i="11"/>
  <c r="AP24" i="11"/>
  <c r="AP23" i="11"/>
  <c r="M8" i="53"/>
  <c r="Z24" i="11"/>
  <c r="Z23" i="11"/>
  <c r="J24" i="11"/>
  <c r="J23" i="11"/>
  <c r="G6" i="8"/>
  <c r="M53" i="103"/>
  <c r="M47" i="103"/>
  <c r="M6" i="103"/>
  <c r="Q52" i="103"/>
  <c r="Q35" i="103"/>
  <c r="Q46" i="103"/>
  <c r="I52" i="103"/>
  <c r="I46" i="103"/>
  <c r="I35" i="103"/>
  <c r="AJ55" i="11"/>
  <c r="AJ52" i="11"/>
  <c r="N37" i="103"/>
  <c r="F37" i="103"/>
  <c r="M23" i="11"/>
  <c r="M24" i="11"/>
  <c r="P47" i="103"/>
  <c r="P53" i="103"/>
  <c r="P6" i="103"/>
  <c r="G18" i="53"/>
  <c r="S6" i="104"/>
  <c r="C18" i="53"/>
  <c r="K6" i="104"/>
  <c r="L46" i="103"/>
  <c r="L52" i="103"/>
  <c r="L35" i="103"/>
  <c r="D52" i="103"/>
  <c r="D35" i="103"/>
  <c r="L45" i="103"/>
  <c r="L51" i="103"/>
  <c r="N100" i="11"/>
  <c r="N47" i="11"/>
  <c r="N46" i="11"/>
  <c r="N42" i="11"/>
  <c r="X23" i="11"/>
  <c r="X24" i="11"/>
  <c r="I114" i="101"/>
  <c r="N114" i="101"/>
  <c r="N113" i="101"/>
  <c r="I115" i="101"/>
  <c r="J17" i="53"/>
  <c r="P46" i="8"/>
  <c r="H4" i="8"/>
  <c r="H8" i="7"/>
  <c r="AF102" i="10"/>
  <c r="W97" i="10"/>
  <c r="U101" i="10"/>
  <c r="J43" i="11"/>
  <c r="AA104" i="10"/>
  <c r="F97" i="10"/>
  <c r="X101" i="10"/>
  <c r="K45" i="103"/>
  <c r="K51" i="103"/>
  <c r="AJ102" i="10"/>
  <c r="AK21" i="12"/>
  <c r="H80" i="2"/>
  <c r="L79" i="2"/>
  <c r="AI107" i="10"/>
  <c r="S97" i="10"/>
  <c r="AK26" i="10"/>
  <c r="M105" i="2"/>
  <c r="AR52" i="10"/>
  <c r="S40" i="2"/>
  <c r="AT15" i="10"/>
  <c r="U26" i="2"/>
  <c r="AN12" i="10"/>
  <c r="L31" i="53"/>
  <c r="L36" i="53"/>
  <c r="O16" i="2"/>
  <c r="AL11" i="10"/>
  <c r="M12" i="2"/>
  <c r="C18" i="101"/>
  <c r="B18" i="101"/>
  <c r="AK11" i="11"/>
  <c r="AQ52" i="10"/>
  <c r="AQ30" i="12"/>
  <c r="R40" i="2"/>
  <c r="AS15" i="10"/>
  <c r="T26" i="2"/>
  <c r="AL68" i="12"/>
  <c r="O26" i="8"/>
  <c r="AM68" i="10"/>
  <c r="AG104" i="10"/>
  <c r="AC104" i="10"/>
  <c r="M104" i="10"/>
  <c r="AN15" i="10"/>
  <c r="O26" i="2"/>
  <c r="M228" i="2"/>
  <c r="M232" i="2"/>
  <c r="AO32" i="12"/>
  <c r="AM53" i="10"/>
  <c r="P53" i="8"/>
  <c r="N44" i="2"/>
  <c r="AO16" i="10"/>
  <c r="P30" i="2"/>
  <c r="AM15" i="10"/>
  <c r="P6" i="8"/>
  <c r="N26" i="2"/>
  <c r="S53" i="103"/>
  <c r="S47" i="103"/>
  <c r="U46" i="103"/>
  <c r="AK66" i="12"/>
  <c r="N25" i="8"/>
  <c r="AS33" i="12"/>
  <c r="AB48" i="1"/>
  <c r="AL67" i="10"/>
  <c r="AL67" i="12"/>
  <c r="N189" i="2"/>
  <c r="N191" i="2"/>
  <c r="AH48" i="1"/>
  <c r="N49" i="103"/>
  <c r="N43" i="103"/>
  <c r="N55" i="103"/>
  <c r="N30" i="103"/>
  <c r="F52" i="8"/>
  <c r="F20" i="95"/>
  <c r="F158" i="95"/>
  <c r="E177" i="95"/>
  <c r="E116" i="95"/>
  <c r="Q125" i="92"/>
  <c r="M42" i="92"/>
  <c r="R129" i="92"/>
  <c r="U129" i="92"/>
  <c r="F20" i="53"/>
  <c r="D39" i="8"/>
  <c r="D9" i="7"/>
  <c r="D18" i="7"/>
  <c r="L48" i="8"/>
  <c r="R49" i="103"/>
  <c r="R43" i="103"/>
  <c r="R55" i="103"/>
  <c r="R30" i="103"/>
  <c r="J49" i="103"/>
  <c r="J43" i="103"/>
  <c r="J55" i="103"/>
  <c r="J30" i="103"/>
  <c r="E54" i="103"/>
  <c r="E42" i="103"/>
  <c r="Q55" i="103"/>
  <c r="Q30" i="103"/>
  <c r="Q49" i="103"/>
  <c r="Q43" i="103"/>
  <c r="AG87" i="11"/>
  <c r="AG82" i="11"/>
  <c r="AJ88" i="11"/>
  <c r="AJ85" i="11"/>
  <c r="AJ45" i="11"/>
  <c r="O55" i="103"/>
  <c r="K55" i="103"/>
  <c r="G55" i="103"/>
  <c r="S87" i="11"/>
  <c r="S82" i="11"/>
  <c r="P54" i="103"/>
  <c r="P48" i="103"/>
  <c r="P42" i="103"/>
  <c r="H54" i="103"/>
  <c r="H48" i="103"/>
  <c r="H42" i="103"/>
  <c r="O93" i="11"/>
  <c r="O90" i="11"/>
  <c r="O89" i="11"/>
  <c r="G93" i="11"/>
  <c r="G89" i="11"/>
  <c r="S70" i="11"/>
  <c r="R64" i="11"/>
  <c r="R61" i="11"/>
  <c r="R58" i="11"/>
  <c r="R55" i="11"/>
  <c r="S52" i="11"/>
  <c r="Q92" i="11"/>
  <c r="AH93" i="11"/>
  <c r="AH89" i="11"/>
  <c r="K54" i="103"/>
  <c r="K48" i="103"/>
  <c r="K42" i="103"/>
  <c r="J93" i="11"/>
  <c r="J90" i="11"/>
  <c r="J89" i="11"/>
  <c r="AE67" i="11"/>
  <c r="AG64" i="11"/>
  <c r="AG61" i="11"/>
  <c r="AG58" i="11"/>
  <c r="R52" i="11"/>
  <c r="R50" i="11"/>
  <c r="P82" i="11"/>
  <c r="N26" i="103"/>
  <c r="AC88" i="11"/>
  <c r="AC85" i="11"/>
  <c r="F11" i="53"/>
  <c r="AC45" i="11"/>
  <c r="AC55" i="11"/>
  <c r="D32" i="8"/>
  <c r="D33" i="8"/>
  <c r="F26" i="103"/>
  <c r="U88" i="11"/>
  <c r="U85" i="11"/>
  <c r="D11" i="53"/>
  <c r="U45" i="11"/>
  <c r="Y70" i="11"/>
  <c r="AC52" i="11"/>
  <c r="O92" i="11"/>
  <c r="AB93" i="11"/>
  <c r="AB90" i="11"/>
  <c r="AB89" i="11"/>
  <c r="I26" i="103"/>
  <c r="H88" i="11"/>
  <c r="H85" i="11"/>
  <c r="H45" i="11"/>
  <c r="AC67" i="11"/>
  <c r="AA64" i="11"/>
  <c r="AA61" i="11"/>
  <c r="N36" i="103"/>
  <c r="AI24" i="11"/>
  <c r="AI23" i="11"/>
  <c r="S24" i="11"/>
  <c r="S23" i="11"/>
  <c r="AA18" i="11"/>
  <c r="P8" i="104"/>
  <c r="K18" i="11"/>
  <c r="H8" i="104"/>
  <c r="F53" i="103"/>
  <c r="F6" i="103"/>
  <c r="H17" i="101"/>
  <c r="F3" i="101"/>
  <c r="G3" i="101"/>
  <c r="I17" i="101"/>
  <c r="J17" i="101"/>
  <c r="J18" i="53"/>
  <c r="N45" i="103"/>
  <c r="N51" i="103"/>
  <c r="L70" i="11"/>
  <c r="L67" i="11"/>
  <c r="L64" i="11"/>
  <c r="L61" i="11"/>
  <c r="Y50" i="11"/>
  <c r="M40" i="103"/>
  <c r="M39" i="103"/>
  <c r="M38" i="103"/>
  <c r="M36" i="103"/>
  <c r="E23" i="101"/>
  <c r="AL23" i="11"/>
  <c r="G7" i="8"/>
  <c r="V24" i="11"/>
  <c r="V23" i="11"/>
  <c r="AD18" i="11"/>
  <c r="I53" i="103"/>
  <c r="I47" i="103"/>
  <c r="I6" i="103"/>
  <c r="I51" i="103"/>
  <c r="I45" i="103"/>
  <c r="P55" i="11"/>
  <c r="P52" i="11"/>
  <c r="P40" i="103"/>
  <c r="P39" i="103"/>
  <c r="P38" i="103"/>
  <c r="D36" i="103"/>
  <c r="I23" i="11"/>
  <c r="I24" i="11"/>
  <c r="L47" i="103"/>
  <c r="L53" i="103"/>
  <c r="L6" i="103"/>
  <c r="F18" i="53"/>
  <c r="Q6" i="104"/>
  <c r="F100" i="11"/>
  <c r="F46" i="11"/>
  <c r="F42" i="11"/>
  <c r="F43" i="11"/>
  <c r="O40" i="103"/>
  <c r="O39" i="103"/>
  <c r="O38" i="103"/>
  <c r="Q37" i="103"/>
  <c r="O36" i="103"/>
  <c r="AJ23" i="11"/>
  <c r="AJ24" i="11"/>
  <c r="T23" i="11"/>
  <c r="T24" i="11"/>
  <c r="AJ18" i="11"/>
  <c r="T18" i="11"/>
  <c r="G53" i="103"/>
  <c r="C113" i="101"/>
  <c r="I113" i="101"/>
  <c r="C112" i="101"/>
  <c r="I112" i="101"/>
  <c r="I116" i="101"/>
  <c r="K46" i="103"/>
  <c r="K52" i="103"/>
  <c r="K35" i="103"/>
  <c r="AJ107" i="10"/>
  <c r="D185" i="95"/>
  <c r="E17" i="7"/>
  <c r="X102" i="10"/>
  <c r="O97" i="10"/>
  <c r="Y101" i="10"/>
  <c r="B37" i="95"/>
  <c r="AQ24" i="11"/>
  <c r="AJ101" i="10"/>
  <c r="T101" i="10"/>
  <c r="AJ106" i="10"/>
  <c r="F2" i="101"/>
  <c r="D103" i="101"/>
  <c r="H13" i="101"/>
  <c r="B185" i="95"/>
  <c r="C17" i="7"/>
  <c r="F8" i="53"/>
  <c r="L44" i="8"/>
  <c r="D8" i="8"/>
  <c r="AB102" i="10"/>
  <c r="W102" i="10"/>
  <c r="G102" i="10"/>
  <c r="AL37" i="10"/>
  <c r="G80" i="2"/>
  <c r="D2" i="101"/>
  <c r="E13" i="101"/>
  <c r="AE101" i="10"/>
  <c r="O101" i="10"/>
  <c r="AK24" i="10"/>
  <c r="M99" i="2"/>
  <c r="AN52" i="10"/>
  <c r="O40" i="2"/>
  <c r="AP15" i="10"/>
  <c r="Q26" i="2"/>
  <c r="AH107" i="10"/>
  <c r="AD101" i="10"/>
  <c r="AM52" i="10"/>
  <c r="N40" i="2"/>
  <c r="AO15" i="10"/>
  <c r="P26" i="2"/>
  <c r="AS11" i="10"/>
  <c r="T12" i="2"/>
  <c r="E186" i="95"/>
  <c r="B16" i="101"/>
  <c r="B105" i="101"/>
  <c r="AK6" i="11"/>
  <c r="AK22" i="11"/>
  <c r="AK9" i="11"/>
  <c r="L5" i="2"/>
  <c r="Y45" i="103"/>
  <c r="AL22" i="12"/>
  <c r="AL16" i="12"/>
  <c r="G47" i="8"/>
  <c r="AM71" i="10"/>
  <c r="B171" i="95"/>
  <c r="B162" i="95"/>
  <c r="Q104" i="10"/>
  <c r="AC97" i="10"/>
  <c r="L166" i="92"/>
  <c r="L120" i="92"/>
  <c r="L65" i="92"/>
  <c r="L26" i="92"/>
  <c r="AK61" i="10"/>
  <c r="M91" i="2"/>
  <c r="L140" i="2"/>
  <c r="L137" i="2"/>
  <c r="L141" i="2"/>
  <c r="AK82" i="10"/>
  <c r="AQ34" i="12"/>
  <c r="S38" i="103"/>
  <c r="AL65" i="10"/>
  <c r="N195" i="2"/>
  <c r="N197" i="2"/>
  <c r="AO33" i="12"/>
  <c r="X48" i="1"/>
  <c r="AD48" i="1"/>
  <c r="AK16" i="12"/>
  <c r="F47" i="8"/>
  <c r="B52" i="95"/>
  <c r="B53" i="95"/>
  <c r="O125" i="92"/>
  <c r="E20" i="53"/>
  <c r="C39" i="8"/>
  <c r="C9" i="7"/>
  <c r="C27" i="7"/>
  <c r="K48" i="8"/>
  <c r="Q54" i="103"/>
  <c r="Q48" i="103"/>
  <c r="Q42" i="103"/>
  <c r="M55" i="103"/>
  <c r="M49" i="103"/>
  <c r="M43" i="103"/>
  <c r="M30" i="103"/>
  <c r="D35" i="8"/>
  <c r="J48" i="1"/>
  <c r="P88" i="11"/>
  <c r="T90" i="11"/>
  <c r="P85" i="11"/>
  <c r="P45" i="11"/>
  <c r="N92" i="11"/>
  <c r="L26" i="103"/>
  <c r="AA88" i="11"/>
  <c r="AA85" i="11"/>
  <c r="AA45" i="11"/>
  <c r="AA55" i="11"/>
  <c r="AC48" i="1"/>
  <c r="D26" i="103"/>
  <c r="S88" i="11"/>
  <c r="S85" i="11"/>
  <c r="S45" i="11"/>
  <c r="AE52" i="11"/>
  <c r="AE50" i="11"/>
  <c r="O26" i="103"/>
  <c r="AD88" i="11"/>
  <c r="AH90" i="11"/>
  <c r="AD85" i="11"/>
  <c r="AD70" i="11"/>
  <c r="AD45" i="11"/>
  <c r="G26" i="103"/>
  <c r="V88" i="11"/>
  <c r="V85" i="11"/>
  <c r="V70" i="11"/>
  <c r="V45" i="11"/>
  <c r="AA67" i="11"/>
  <c r="AD52" i="11"/>
  <c r="AD50" i="11"/>
  <c r="N54" i="103"/>
  <c r="N48" i="103"/>
  <c r="N42" i="103"/>
  <c r="F54" i="103"/>
  <c r="F42" i="103"/>
  <c r="M93" i="11"/>
  <c r="M90" i="11"/>
  <c r="M89" i="11"/>
  <c r="E93" i="11"/>
  <c r="E89" i="11"/>
  <c r="R67" i="11"/>
  <c r="Y52" i="11"/>
  <c r="K92" i="11"/>
  <c r="AF93" i="11"/>
  <c r="AF90" i="11"/>
  <c r="AF89" i="11"/>
  <c r="AG51" i="1"/>
  <c r="M26" i="103"/>
  <c r="L88" i="11"/>
  <c r="L85" i="11"/>
  <c r="L45" i="11"/>
  <c r="Y67" i="11"/>
  <c r="W64" i="11"/>
  <c r="W61" i="11"/>
  <c r="W58" i="11"/>
  <c r="T100" i="11"/>
  <c r="T46" i="11"/>
  <c r="T42" i="11"/>
  <c r="AE24" i="11"/>
  <c r="AE23" i="11"/>
  <c r="O24" i="11"/>
  <c r="O23" i="11"/>
  <c r="W18" i="11"/>
  <c r="N8" i="104"/>
  <c r="J53" i="103"/>
  <c r="J47" i="103"/>
  <c r="J6" i="103"/>
  <c r="R45" i="103"/>
  <c r="R51" i="103"/>
  <c r="H70" i="11"/>
  <c r="H67" i="11"/>
  <c r="H64" i="11"/>
  <c r="H61" i="11"/>
  <c r="H58" i="11"/>
  <c r="U50" i="11"/>
  <c r="AH24" i="11"/>
  <c r="AH23" i="11"/>
  <c r="R24" i="11"/>
  <c r="R23" i="11"/>
  <c r="Z18" i="11"/>
  <c r="E53" i="103"/>
  <c r="E6" i="103"/>
  <c r="M52" i="103"/>
  <c r="M35" i="103"/>
  <c r="M46" i="103"/>
  <c r="E52" i="103"/>
  <c r="E35" i="103"/>
  <c r="M51" i="103"/>
  <c r="M45" i="103"/>
  <c r="L55" i="11"/>
  <c r="L52" i="11"/>
  <c r="L50" i="11"/>
  <c r="R37" i="103"/>
  <c r="J37" i="103"/>
  <c r="AS23" i="11"/>
  <c r="P8" i="53"/>
  <c r="AS24" i="11"/>
  <c r="O114" i="101"/>
  <c r="O113" i="101"/>
  <c r="J115" i="101"/>
  <c r="J114" i="101"/>
  <c r="H47" i="103"/>
  <c r="H53" i="103"/>
  <c r="H6" i="103"/>
  <c r="E18" i="53"/>
  <c r="O6" i="104"/>
  <c r="P46" i="103"/>
  <c r="P52" i="103"/>
  <c r="P35" i="103"/>
  <c r="H46" i="103"/>
  <c r="H52" i="103"/>
  <c r="H35" i="103"/>
  <c r="P45" i="103"/>
  <c r="P51" i="103"/>
  <c r="H45" i="103"/>
  <c r="H51" i="103"/>
  <c r="W55" i="11"/>
  <c r="M37" i="103"/>
  <c r="AF23" i="11"/>
  <c r="AF24" i="11"/>
  <c r="P23" i="11"/>
  <c r="P24" i="11"/>
  <c r="L94" i="101"/>
  <c r="L68" i="101"/>
  <c r="F21" i="101"/>
  <c r="G21" i="101"/>
  <c r="AF18" i="11"/>
  <c r="P18" i="11"/>
  <c r="K53" i="103"/>
  <c r="AB44" i="11"/>
  <c r="AB43" i="11"/>
  <c r="X44" i="11"/>
  <c r="X43" i="11"/>
  <c r="AH18" i="11"/>
  <c r="B2" i="101"/>
  <c r="B13" i="101"/>
  <c r="AN24" i="11"/>
  <c r="P102" i="10"/>
  <c r="M101" i="10"/>
  <c r="K3" i="53"/>
  <c r="AN4" i="12"/>
  <c r="AN4" i="11"/>
  <c r="AO4" i="10"/>
  <c r="O4" i="1"/>
  <c r="O4" i="2"/>
  <c r="E18" i="7"/>
  <c r="J47" i="11"/>
  <c r="AF101" i="10"/>
  <c r="P101" i="10"/>
  <c r="Q24" i="11"/>
  <c r="O45" i="103"/>
  <c r="O51" i="103"/>
  <c r="G45" i="103"/>
  <c r="G51" i="103"/>
  <c r="T102" i="10"/>
  <c r="AK107" i="10"/>
  <c r="AL59" i="10"/>
  <c r="F80" i="2"/>
  <c r="E27" i="7"/>
  <c r="H4" i="7"/>
  <c r="H20" i="7"/>
  <c r="G20" i="7"/>
  <c r="AK51" i="10"/>
  <c r="M87" i="2"/>
  <c r="AR16" i="10"/>
  <c r="S30" i="2"/>
  <c r="AL15" i="10"/>
  <c r="O6" i="8"/>
  <c r="M26" i="2"/>
  <c r="AT11" i="10"/>
  <c r="U12" i="2"/>
  <c r="C47" i="101"/>
  <c r="F31" i="8"/>
  <c r="T46" i="103"/>
  <c r="V101" i="10"/>
  <c r="AT28" i="12"/>
  <c r="AQ16" i="10"/>
  <c r="R30" i="2"/>
  <c r="AR27" i="12"/>
  <c r="AQ12" i="10"/>
  <c r="R16" i="2"/>
  <c r="AO11" i="10"/>
  <c r="AP26" i="12"/>
  <c r="AP25" i="12"/>
  <c r="P12" i="2"/>
  <c r="U47" i="103"/>
  <c r="S46" i="103"/>
  <c r="S52" i="103"/>
  <c r="S35" i="103"/>
  <c r="AL71" i="12"/>
  <c r="G59" i="8"/>
  <c r="AM84" i="10"/>
  <c r="AL64" i="12"/>
  <c r="AM60" i="10"/>
  <c r="AL41" i="10"/>
  <c r="AL57" i="12"/>
  <c r="G52" i="8"/>
  <c r="AG97" i="10"/>
  <c r="AK50" i="10"/>
  <c r="M83" i="2"/>
  <c r="AR53" i="10"/>
  <c r="P33" i="53"/>
  <c r="P38" i="53"/>
  <c r="S44" i="2"/>
  <c r="AM27" i="12"/>
  <c r="AR11" i="10"/>
  <c r="S12" i="2"/>
  <c r="H102" i="10"/>
  <c r="AM34" i="12"/>
  <c r="AS52" i="10"/>
  <c r="T40" i="2"/>
  <c r="AS12" i="10"/>
  <c r="Q31" i="53"/>
  <c r="Q36" i="53"/>
  <c r="T16" i="2"/>
  <c r="AQ11" i="10"/>
  <c r="AR26" i="12"/>
  <c r="R12" i="2"/>
  <c r="S45" i="103"/>
  <c r="S51" i="103"/>
  <c r="AK65" i="12"/>
  <c r="AK62" i="12"/>
  <c r="F55" i="8"/>
  <c r="AK73" i="10"/>
  <c r="N28" i="8"/>
  <c r="F56" i="8"/>
  <c r="N24" i="8"/>
  <c r="S39" i="103"/>
  <c r="Z48" i="1"/>
  <c r="B79" i="95"/>
  <c r="C79" i="95"/>
  <c r="D79" i="95"/>
  <c r="E79" i="95"/>
  <c r="F79" i="95"/>
  <c r="G79" i="95"/>
  <c r="H79" i="95"/>
  <c r="I79" i="95"/>
  <c r="J79" i="95"/>
  <c r="K79" i="95"/>
  <c r="L79" i="95"/>
  <c r="B144" i="95"/>
  <c r="B135" i="95"/>
  <c r="B101" i="95"/>
  <c r="B92" i="95"/>
  <c r="B100" i="95"/>
  <c r="R71" i="92"/>
  <c r="N125" i="92"/>
  <c r="N68" i="92"/>
  <c r="R125" i="92"/>
  <c r="O71" i="92"/>
  <c r="AR25" i="12"/>
  <c r="Q68" i="92"/>
  <c r="N123" i="92"/>
  <c r="R68" i="92"/>
  <c r="T72" i="92"/>
  <c r="U131" i="92"/>
  <c r="R70" i="92"/>
  <c r="P70" i="92"/>
  <c r="N70" i="92"/>
  <c r="T70" i="92"/>
  <c r="S74" i="92"/>
  <c r="R74" i="92"/>
  <c r="T74" i="92"/>
  <c r="O124" i="92"/>
  <c r="Q124" i="92"/>
  <c r="M124" i="92"/>
  <c r="C76" i="95"/>
  <c r="V18" i="103"/>
  <c r="R127" i="92"/>
  <c r="S70" i="92"/>
  <c r="AL33" i="10"/>
  <c r="N136" i="92"/>
  <c r="N144" i="92"/>
  <c r="T127" i="92"/>
  <c r="AL38" i="10"/>
  <c r="O14" i="8"/>
  <c r="N80" i="92"/>
  <c r="N83" i="92"/>
  <c r="S130" i="92"/>
  <c r="AL30" i="10"/>
  <c r="N93" i="92"/>
  <c r="N101" i="92"/>
  <c r="S72" i="92"/>
  <c r="R69" i="92"/>
  <c r="N69" i="92"/>
  <c r="U69" i="92"/>
  <c r="M69" i="92"/>
  <c r="S69" i="92"/>
  <c r="Q69" i="92"/>
  <c r="O69" i="92"/>
  <c r="O123" i="92"/>
  <c r="Q72" i="92"/>
  <c r="S71" i="92"/>
  <c r="S126" i="92"/>
  <c r="M123" i="92"/>
  <c r="N66" i="92"/>
  <c r="R128" i="92"/>
  <c r="U128" i="92"/>
  <c r="Q128" i="92"/>
  <c r="S128" i="92"/>
  <c r="O126" i="92"/>
  <c r="O133" i="92"/>
  <c r="O110" i="92"/>
  <c r="AN15" i="12"/>
  <c r="H76" i="95"/>
  <c r="S127" i="92"/>
  <c r="K76" i="95"/>
  <c r="V19" i="103"/>
  <c r="N124" i="92"/>
  <c r="P121" i="92"/>
  <c r="O70" i="92"/>
  <c r="O68" i="92"/>
  <c r="U68" i="92"/>
  <c r="M68" i="92"/>
  <c r="S68" i="92"/>
  <c r="L68" i="92"/>
  <c r="L78" i="92"/>
  <c r="L55" i="92"/>
  <c r="T130" i="92"/>
  <c r="O27" i="92"/>
  <c r="S73" i="92"/>
  <c r="U73" i="92"/>
  <c r="Q73" i="92"/>
  <c r="U72" i="92"/>
  <c r="Q71" i="92"/>
  <c r="L123" i="92"/>
  <c r="L133" i="92"/>
  <c r="L110" i="92"/>
  <c r="M44" i="92"/>
  <c r="M12" i="92"/>
  <c r="F76" i="95"/>
  <c r="R29" i="92"/>
  <c r="M29" i="92"/>
  <c r="T29" i="92"/>
  <c r="Q29" i="92"/>
  <c r="L29" i="92"/>
  <c r="L39" i="92"/>
  <c r="L15" i="92"/>
  <c r="U29" i="92"/>
  <c r="P29" i="92"/>
  <c r="N29" i="92"/>
  <c r="I76" i="95"/>
  <c r="E76" i="95"/>
  <c r="D76" i="95"/>
  <c r="R126" i="92"/>
  <c r="G76" i="95"/>
  <c r="AL34" i="10"/>
  <c r="N158" i="92"/>
  <c r="N157" i="92"/>
  <c r="Q126" i="92"/>
  <c r="J76" i="95"/>
  <c r="AM27" i="10"/>
  <c r="O86" i="92"/>
  <c r="O90" i="92"/>
  <c r="P68" i="92"/>
  <c r="V17" i="103"/>
  <c r="T76" i="92"/>
  <c r="P72" i="92"/>
  <c r="U71" i="92"/>
  <c r="S29" i="92"/>
  <c r="U70" i="92"/>
  <c r="B56" i="95"/>
  <c r="B47" i="95"/>
  <c r="B55" i="95"/>
  <c r="B105" i="95"/>
  <c r="B98" i="95"/>
  <c r="B106" i="95"/>
  <c r="B147" i="95"/>
  <c r="B140" i="95"/>
  <c r="B148" i="95"/>
  <c r="H16" i="8"/>
  <c r="H32" i="101"/>
  <c r="F8" i="101"/>
  <c r="G8" i="101"/>
  <c r="I32" i="101"/>
  <c r="F16" i="8"/>
  <c r="B32" i="101"/>
  <c r="B8" i="101"/>
  <c r="C8" i="101"/>
  <c r="C32" i="101"/>
  <c r="E32" i="101"/>
  <c r="D8" i="101"/>
  <c r="E8" i="101"/>
  <c r="F32" i="101"/>
  <c r="G16" i="8"/>
  <c r="C27" i="95"/>
  <c r="F50" i="8"/>
  <c r="C74" i="95"/>
  <c r="H30" i="101"/>
  <c r="F7" i="101"/>
  <c r="G7" i="101"/>
  <c r="I30" i="101"/>
  <c r="H14" i="8"/>
  <c r="E30" i="101"/>
  <c r="D7" i="101"/>
  <c r="E7" i="101"/>
  <c r="F30" i="101"/>
  <c r="G14" i="8"/>
  <c r="F14" i="8"/>
  <c r="B30" i="101"/>
  <c r="B7" i="101"/>
  <c r="C7" i="101"/>
  <c r="C30" i="101"/>
  <c r="E28" i="101"/>
  <c r="D6" i="101"/>
  <c r="E6" i="101"/>
  <c r="F28" i="101"/>
  <c r="G12" i="8"/>
  <c r="B28" i="101"/>
  <c r="B6" i="101"/>
  <c r="C6" i="101"/>
  <c r="C28" i="101"/>
  <c r="F12" i="8"/>
  <c r="H28" i="101"/>
  <c r="F6" i="101"/>
  <c r="G6" i="101"/>
  <c r="I28" i="101"/>
  <c r="H12" i="8"/>
  <c r="E26" i="101"/>
  <c r="D5" i="101"/>
  <c r="E5" i="101"/>
  <c r="F26" i="101"/>
  <c r="G10" i="8"/>
  <c r="F10" i="8"/>
  <c r="B26" i="101"/>
  <c r="B5" i="101"/>
  <c r="C5" i="101"/>
  <c r="C26" i="101"/>
  <c r="J26" i="101"/>
  <c r="F99" i="95"/>
  <c r="E91" i="95"/>
  <c r="G91" i="95"/>
  <c r="E141" i="95"/>
  <c r="D133" i="95"/>
  <c r="H133" i="95"/>
  <c r="G141" i="95"/>
  <c r="AS26" i="12"/>
  <c r="AS25" i="12"/>
  <c r="E64" i="95"/>
  <c r="G20" i="95"/>
  <c r="F70" i="95"/>
  <c r="E109" i="95"/>
  <c r="B60" i="95"/>
  <c r="F116" i="95"/>
  <c r="E151" i="95"/>
  <c r="B61" i="95"/>
  <c r="AL82" i="10"/>
  <c r="N31" i="8"/>
  <c r="V93" i="11"/>
  <c r="V90" i="11"/>
  <c r="V89" i="11"/>
  <c r="V92" i="11"/>
  <c r="W51" i="1"/>
  <c r="P100" i="11"/>
  <c r="P47" i="11"/>
  <c r="P46" i="11"/>
  <c r="P42" i="11"/>
  <c r="AL65" i="12"/>
  <c r="AL73" i="10"/>
  <c r="O28" i="8"/>
  <c r="G56" i="8"/>
  <c r="O24" i="8"/>
  <c r="H112" i="101"/>
  <c r="B113" i="101"/>
  <c r="H113" i="101"/>
  <c r="B112" i="101"/>
  <c r="AT26" i="12"/>
  <c r="AT25" i="12"/>
  <c r="AM30" i="12"/>
  <c r="AM29" i="12"/>
  <c r="P19" i="8"/>
  <c r="AK45" i="12"/>
  <c r="C103" i="101"/>
  <c r="K60" i="101"/>
  <c r="I117" i="101"/>
  <c r="I118" i="101"/>
  <c r="D46" i="53"/>
  <c r="D6" i="53"/>
  <c r="U100" i="11"/>
  <c r="U47" i="11"/>
  <c r="D22" i="53"/>
  <c r="U46" i="11"/>
  <c r="D10" i="53"/>
  <c r="U42" i="11"/>
  <c r="F7" i="53"/>
  <c r="D11" i="7"/>
  <c r="AC93" i="11"/>
  <c r="AC90" i="11"/>
  <c r="AC89" i="11"/>
  <c r="L41" i="8"/>
  <c r="D36" i="8"/>
  <c r="AC92" i="11"/>
  <c r="J51" i="1"/>
  <c r="AD51" i="1"/>
  <c r="D151" i="95"/>
  <c r="B118" i="95"/>
  <c r="C118" i="95"/>
  <c r="D118" i="95"/>
  <c r="E118" i="95"/>
  <c r="F118" i="95"/>
  <c r="G118" i="95"/>
  <c r="H118" i="95"/>
  <c r="I118" i="95"/>
  <c r="J118" i="95"/>
  <c r="K118" i="95"/>
  <c r="L118" i="95"/>
  <c r="M32" i="53"/>
  <c r="M37" i="53"/>
  <c r="AP24" i="12"/>
  <c r="N232" i="2"/>
  <c r="N228" i="2"/>
  <c r="O4" i="8"/>
  <c r="AM26" i="12"/>
  <c r="AM25" i="12"/>
  <c r="AL26" i="10"/>
  <c r="N105" i="2"/>
  <c r="C18" i="7"/>
  <c r="J8" i="53"/>
  <c r="P44" i="8"/>
  <c r="H8" i="8"/>
  <c r="R93" i="11"/>
  <c r="R90" i="11"/>
  <c r="R89" i="11"/>
  <c r="R92" i="11"/>
  <c r="L42" i="2"/>
  <c r="L58" i="2"/>
  <c r="AK58" i="10"/>
  <c r="N21" i="8"/>
  <c r="L52" i="2"/>
  <c r="AK56" i="10"/>
  <c r="L38" i="2"/>
  <c r="L28" i="2"/>
  <c r="L21" i="2"/>
  <c r="AK14" i="10"/>
  <c r="B94" i="101"/>
  <c r="B68" i="101"/>
  <c r="C21" i="101"/>
  <c r="D21" i="101"/>
  <c r="C20" i="101"/>
  <c r="P4" i="8"/>
  <c r="AN26" i="12"/>
  <c r="AN25" i="12"/>
  <c r="AO30" i="12"/>
  <c r="AO29" i="12"/>
  <c r="AP30" i="12"/>
  <c r="AP29" i="12"/>
  <c r="AL28" i="10"/>
  <c r="N108" i="2"/>
  <c r="F54" i="95"/>
  <c r="G46" i="95"/>
  <c r="E46" i="95"/>
  <c r="AL9" i="10"/>
  <c r="N71" i="2"/>
  <c r="AK78" i="10"/>
  <c r="D115" i="101"/>
  <c r="D114" i="101"/>
  <c r="D116" i="101"/>
  <c r="P90" i="101"/>
  <c r="F17" i="101"/>
  <c r="G17" i="101"/>
  <c r="P64" i="101"/>
  <c r="E7" i="53"/>
  <c r="C11" i="7"/>
  <c r="Y93" i="11"/>
  <c r="Y90" i="11"/>
  <c r="Y89" i="11"/>
  <c r="K41" i="8"/>
  <c r="C36" i="8"/>
  <c r="Z51" i="1"/>
  <c r="Y92" i="11"/>
  <c r="I51" i="1"/>
  <c r="B159" i="95"/>
  <c r="G46" i="53"/>
  <c r="M61" i="8"/>
  <c r="G6" i="53"/>
  <c r="B21" i="95"/>
  <c r="AG100" i="11"/>
  <c r="AG47" i="11"/>
  <c r="AG46" i="11"/>
  <c r="AG42" i="11"/>
  <c r="M42" i="8"/>
  <c r="E19" i="8"/>
  <c r="N133" i="92"/>
  <c r="N110" i="92"/>
  <c r="AM15" i="12"/>
  <c r="AM64" i="12"/>
  <c r="AN60" i="10"/>
  <c r="AM59" i="10"/>
  <c r="O68" i="2"/>
  <c r="O4" i="92"/>
  <c r="O123" i="2"/>
  <c r="L69" i="101"/>
  <c r="L70" i="101"/>
  <c r="L71" i="101"/>
  <c r="L67" i="101"/>
  <c r="L66" i="101"/>
  <c r="L65" i="101"/>
  <c r="T43" i="11"/>
  <c r="T44" i="11"/>
  <c r="L100" i="11"/>
  <c r="L47" i="11"/>
  <c r="L46" i="11"/>
  <c r="L42" i="11"/>
  <c r="V100" i="11"/>
  <c r="V47" i="11"/>
  <c r="V46" i="11"/>
  <c r="V42" i="11"/>
  <c r="AD93" i="11"/>
  <c r="AD90" i="11"/>
  <c r="AD89" i="11"/>
  <c r="AD92" i="11"/>
  <c r="AE51" i="1"/>
  <c r="S100" i="11"/>
  <c r="S47" i="11"/>
  <c r="S46" i="11"/>
  <c r="S42" i="11"/>
  <c r="AA93" i="11"/>
  <c r="AA90" i="11"/>
  <c r="AA89" i="11"/>
  <c r="AB51" i="1"/>
  <c r="AA92" i="11"/>
  <c r="H18" i="53"/>
  <c r="B17" i="101"/>
  <c r="B3" i="101"/>
  <c r="C3" i="101"/>
  <c r="B221" i="95"/>
  <c r="D216" i="95"/>
  <c r="B216" i="95"/>
  <c r="O110" i="101"/>
  <c r="D110" i="101"/>
  <c r="J110" i="101"/>
  <c r="I8" i="53"/>
  <c r="G8" i="8"/>
  <c r="O44" i="8"/>
  <c r="H100" i="11"/>
  <c r="H46" i="11"/>
  <c r="H42" i="11"/>
  <c r="H43" i="11"/>
  <c r="AC51" i="1"/>
  <c r="AJ100" i="11"/>
  <c r="AJ47" i="11"/>
  <c r="AJ46" i="11"/>
  <c r="AJ42" i="11"/>
  <c r="B22" i="95"/>
  <c r="B160" i="95"/>
  <c r="E35" i="8"/>
  <c r="K48" i="1"/>
  <c r="AL41" i="12"/>
  <c r="AK41" i="12"/>
  <c r="AM68" i="12"/>
  <c r="AN68" i="10"/>
  <c r="P26" i="8"/>
  <c r="AK42" i="12"/>
  <c r="AL42" i="12"/>
  <c r="AK20" i="10"/>
  <c r="M79" i="2"/>
  <c r="Z93" i="11"/>
  <c r="Z90" i="11"/>
  <c r="Z89" i="11"/>
  <c r="Z92" i="11"/>
  <c r="AA51" i="1"/>
  <c r="W93" i="11"/>
  <c r="W90" i="11"/>
  <c r="W89" i="11"/>
  <c r="X51" i="1"/>
  <c r="W92" i="11"/>
  <c r="AE100" i="11"/>
  <c r="AE47" i="11"/>
  <c r="AE46" i="11"/>
  <c r="AE42" i="11"/>
  <c r="AI47" i="11"/>
  <c r="H115" i="101"/>
  <c r="H114" i="101"/>
  <c r="M114" i="101"/>
  <c r="M113" i="101"/>
  <c r="AO26" i="12"/>
  <c r="AO25" i="12"/>
  <c r="K32" i="53"/>
  <c r="K37" i="53"/>
  <c r="J32" i="53"/>
  <c r="J37" i="53"/>
  <c r="AM24" i="12"/>
  <c r="AN24" i="12"/>
  <c r="P7" i="8"/>
  <c r="P52" i="8"/>
  <c r="P31" i="53"/>
  <c r="P36" i="53"/>
  <c r="J116" i="101"/>
  <c r="AF44" i="11"/>
  <c r="AF43" i="11"/>
  <c r="AS30" i="12"/>
  <c r="AS29" i="12"/>
  <c r="AT30" i="12"/>
  <c r="AT29" i="12"/>
  <c r="AL50" i="10"/>
  <c r="AL51" i="10"/>
  <c r="AL61" i="10"/>
  <c r="AL62" i="10"/>
  <c r="N83" i="2"/>
  <c r="O31" i="53"/>
  <c r="O36" i="53"/>
  <c r="N31" i="53"/>
  <c r="N36" i="53"/>
  <c r="P32" i="53"/>
  <c r="P37" i="53"/>
  <c r="AS24" i="12"/>
  <c r="L95" i="101"/>
  <c r="L96" i="101"/>
  <c r="L97" i="101"/>
  <c r="L93" i="101"/>
  <c r="L92" i="101"/>
  <c r="L91" i="101"/>
  <c r="AD100" i="11"/>
  <c r="AD47" i="11"/>
  <c r="AD46" i="11"/>
  <c r="AD42" i="11"/>
  <c r="AH47" i="11"/>
  <c r="P93" i="11"/>
  <c r="P90" i="11"/>
  <c r="P89" i="11"/>
  <c r="P92" i="11"/>
  <c r="AL107" i="10"/>
  <c r="N91" i="2"/>
  <c r="B23" i="101"/>
  <c r="AK23" i="11"/>
  <c r="AK24" i="11"/>
  <c r="F7" i="8"/>
  <c r="AN30" i="12"/>
  <c r="AN29" i="12"/>
  <c r="AM37" i="10"/>
  <c r="AL24" i="11"/>
  <c r="D7" i="53"/>
  <c r="U93" i="11"/>
  <c r="U90" i="11"/>
  <c r="U89" i="11"/>
  <c r="D12" i="53"/>
  <c r="U92" i="11"/>
  <c r="F46" i="53"/>
  <c r="L61" i="8"/>
  <c r="F6" i="53"/>
  <c r="AC100" i="11"/>
  <c r="AC47" i="11"/>
  <c r="AC46" i="11"/>
  <c r="AC42" i="11"/>
  <c r="D19" i="8"/>
  <c r="L42" i="8"/>
  <c r="P20" i="8"/>
  <c r="K33" i="53"/>
  <c r="K38" i="53"/>
  <c r="J33" i="53"/>
  <c r="J38" i="53"/>
  <c r="AR30" i="12"/>
  <c r="AR29" i="12"/>
  <c r="J44" i="11"/>
  <c r="N44" i="11"/>
  <c r="N43" i="11"/>
  <c r="O115" i="101"/>
  <c r="H24" i="101"/>
  <c r="Y51" i="1"/>
  <c r="R100" i="11"/>
  <c r="R47" i="11"/>
  <c r="R46" i="11"/>
  <c r="R42" i="11"/>
  <c r="Z100" i="11"/>
  <c r="Z47" i="11"/>
  <c r="Z46" i="11"/>
  <c r="Z42" i="11"/>
  <c r="AL103" i="10"/>
  <c r="I28" i="53"/>
  <c r="G57" i="8"/>
  <c r="O18" i="8"/>
  <c r="N202" i="2"/>
  <c r="AM66" i="10"/>
  <c r="O180" i="2"/>
  <c r="O185" i="2"/>
  <c r="AT24" i="12"/>
  <c r="Q32" i="53"/>
  <c r="Q37" i="53"/>
  <c r="N33" i="53"/>
  <c r="N38" i="53"/>
  <c r="O33" i="53"/>
  <c r="O38" i="53"/>
  <c r="AL10" i="10"/>
  <c r="N75" i="2"/>
  <c r="U13" i="103"/>
  <c r="S13" i="103"/>
  <c r="T13" i="103"/>
  <c r="C33" i="101"/>
  <c r="B33" i="101"/>
  <c r="AK37" i="11"/>
  <c r="F18" i="8"/>
  <c r="F17" i="8"/>
  <c r="H14" i="53"/>
  <c r="AK13" i="11"/>
  <c r="AL29" i="10"/>
  <c r="N111" i="2"/>
  <c r="AM40" i="10"/>
  <c r="AM21" i="12"/>
  <c r="B73" i="95"/>
  <c r="B77" i="95"/>
  <c r="B26" i="95"/>
  <c r="E46" i="53"/>
  <c r="K61" i="8"/>
  <c r="E6" i="53"/>
  <c r="Y100" i="11"/>
  <c r="Y47" i="11"/>
  <c r="Y46" i="11"/>
  <c r="Y42" i="11"/>
  <c r="C19" i="8"/>
  <c r="K42" i="8"/>
  <c r="E33" i="8"/>
  <c r="G7" i="53"/>
  <c r="E11" i="7"/>
  <c r="AG93" i="11"/>
  <c r="AK93" i="11"/>
  <c r="AG90" i="11"/>
  <c r="AG89" i="11"/>
  <c r="M41" i="8"/>
  <c r="E36" i="8"/>
  <c r="AH51" i="1"/>
  <c r="AG92" i="11"/>
  <c r="K51" i="1"/>
  <c r="N27" i="8"/>
  <c r="AM41" i="10"/>
  <c r="AN84" i="10"/>
  <c r="AM71" i="12"/>
  <c r="H59" i="8"/>
  <c r="O32" i="53"/>
  <c r="O37" i="53"/>
  <c r="N32" i="53"/>
  <c r="N37" i="53"/>
  <c r="AQ24" i="12"/>
  <c r="AR24" i="12"/>
  <c r="N87" i="2"/>
  <c r="L3" i="53"/>
  <c r="AO4" i="12"/>
  <c r="AO4" i="11"/>
  <c r="AP4" i="10"/>
  <c r="P4" i="1"/>
  <c r="P4" i="2"/>
  <c r="B103" i="101"/>
  <c r="A60" i="101"/>
  <c r="T47" i="11"/>
  <c r="L93" i="11"/>
  <c r="L90" i="11"/>
  <c r="L89" i="11"/>
  <c r="L92" i="11"/>
  <c r="S93" i="11"/>
  <c r="S90" i="11"/>
  <c r="S89" i="11"/>
  <c r="S92" i="11"/>
  <c r="AA100" i="11"/>
  <c r="AA47" i="11"/>
  <c r="AA46" i="11"/>
  <c r="AA42" i="11"/>
  <c r="AM65" i="10"/>
  <c r="O195" i="2"/>
  <c r="O197" i="2"/>
  <c r="AM22" i="12"/>
  <c r="AN71" i="10"/>
  <c r="L55" i="2"/>
  <c r="AK57" i="10"/>
  <c r="L49" i="2"/>
  <c r="AK55" i="10"/>
  <c r="L32" i="2"/>
  <c r="AK17" i="10"/>
  <c r="L24" i="2"/>
  <c r="L18" i="2"/>
  <c r="AK13" i="10"/>
  <c r="L10" i="2"/>
  <c r="L46" i="2"/>
  <c r="AK54" i="10"/>
  <c r="L14" i="2"/>
  <c r="B15" i="101"/>
  <c r="AK7" i="11"/>
  <c r="F3" i="8"/>
  <c r="AK80" i="11"/>
  <c r="AK78" i="11"/>
  <c r="AL7" i="11"/>
  <c r="AK73" i="11"/>
  <c r="AL24" i="10"/>
  <c r="N99" i="2"/>
  <c r="AL52" i="12"/>
  <c r="AL47" i="12"/>
  <c r="C115" i="101"/>
  <c r="C114" i="101"/>
  <c r="C116" i="101"/>
  <c r="E24" i="101"/>
  <c r="C117" i="101"/>
  <c r="N115" i="101"/>
  <c r="L82" i="101"/>
  <c r="H93" i="11"/>
  <c r="H89" i="11"/>
  <c r="H92" i="11"/>
  <c r="AJ93" i="11"/>
  <c r="AJ90" i="11"/>
  <c r="AJ89" i="11"/>
  <c r="AJ92" i="11"/>
  <c r="AM67" i="10"/>
  <c r="AM67" i="12"/>
  <c r="O189" i="2"/>
  <c r="O191" i="2"/>
  <c r="AQ29" i="12"/>
  <c r="W100" i="11"/>
  <c r="W47" i="11"/>
  <c r="W46" i="11"/>
  <c r="W42" i="11"/>
  <c r="AE93" i="11"/>
  <c r="AE90" i="11"/>
  <c r="AE89" i="11"/>
  <c r="AF51" i="1"/>
  <c r="AE92" i="11"/>
  <c r="AL66" i="12"/>
  <c r="AL62" i="12"/>
  <c r="G55" i="8"/>
  <c r="O25" i="8"/>
  <c r="P5" i="8"/>
  <c r="K31" i="53"/>
  <c r="K36" i="53"/>
  <c r="J31" i="53"/>
  <c r="J36" i="53"/>
  <c r="P51" i="8"/>
  <c r="AL39" i="10"/>
  <c r="N115" i="2"/>
  <c r="AQ26" i="12"/>
  <c r="AQ25" i="12"/>
  <c r="AO24" i="12"/>
  <c r="L32" i="53"/>
  <c r="L37" i="53"/>
  <c r="D27" i="7"/>
  <c r="B143" i="95"/>
  <c r="B134" i="95"/>
  <c r="B142" i="95"/>
  <c r="M78" i="92"/>
  <c r="M55" i="92"/>
  <c r="AL13" i="12"/>
  <c r="N78" i="92"/>
  <c r="N55" i="92"/>
  <c r="AM13" i="12"/>
  <c r="M133" i="92"/>
  <c r="M110" i="92"/>
  <c r="AL15" i="12"/>
  <c r="G30" i="92"/>
  <c r="M13" i="92"/>
  <c r="N10" i="92"/>
  <c r="P133" i="92"/>
  <c r="P110" i="92"/>
  <c r="AO15" i="12"/>
  <c r="P10" i="8"/>
  <c r="AM30" i="10"/>
  <c r="O93" i="92"/>
  <c r="O101" i="92"/>
  <c r="AK13" i="12"/>
  <c r="L63" i="92"/>
  <c r="O158" i="92"/>
  <c r="O157" i="92"/>
  <c r="AM34" i="10"/>
  <c r="AK12" i="12"/>
  <c r="L24" i="92"/>
  <c r="M46" i="92"/>
  <c r="AM33" i="10"/>
  <c r="O136" i="92"/>
  <c r="O144" i="92"/>
  <c r="Q121" i="92"/>
  <c r="AN27" i="10"/>
  <c r="P86" i="92"/>
  <c r="P90" i="92"/>
  <c r="AK15" i="12"/>
  <c r="L118" i="92"/>
  <c r="P27" i="92"/>
  <c r="AM38" i="10"/>
  <c r="P14" i="8"/>
  <c r="O80" i="92"/>
  <c r="O83" i="92"/>
  <c r="O66" i="92"/>
  <c r="G116" i="95"/>
  <c r="F151" i="95"/>
  <c r="G70" i="95"/>
  <c r="F109" i="95"/>
  <c r="F64" i="95"/>
  <c r="G158" i="95"/>
  <c r="F177" i="95"/>
  <c r="H20" i="95"/>
  <c r="D32" i="101"/>
  <c r="J32" i="101"/>
  <c r="G32" i="101"/>
  <c r="G30" i="101"/>
  <c r="D30" i="101"/>
  <c r="J30" i="101"/>
  <c r="D28" i="101"/>
  <c r="J28" i="101"/>
  <c r="G28" i="101"/>
  <c r="G26" i="101"/>
  <c r="D26" i="101"/>
  <c r="H91" i="95"/>
  <c r="G99" i="95"/>
  <c r="H141" i="95"/>
  <c r="I133" i="95"/>
  <c r="I141" i="95"/>
  <c r="D91" i="95"/>
  <c r="E99" i="95"/>
  <c r="C133" i="95"/>
  <c r="C141" i="95"/>
  <c r="D141" i="95"/>
  <c r="O31" i="8"/>
  <c r="AL76" i="10"/>
  <c r="AL100" i="10"/>
  <c r="O23" i="8"/>
  <c r="O22" i="8"/>
  <c r="W44" i="11"/>
  <c r="W43" i="11"/>
  <c r="AK12" i="10"/>
  <c r="L16" i="2"/>
  <c r="AK15" i="10"/>
  <c r="L26" i="2"/>
  <c r="AN22" i="12"/>
  <c r="AO71" i="10"/>
  <c r="AA44" i="11"/>
  <c r="AA43" i="11"/>
  <c r="AO84" i="10"/>
  <c r="AN71" i="12"/>
  <c r="G12" i="53"/>
  <c r="M43" i="8"/>
  <c r="E10" i="53"/>
  <c r="C20" i="8"/>
  <c r="AM10" i="10"/>
  <c r="O75" i="2"/>
  <c r="N207" i="2"/>
  <c r="AM38" i="11"/>
  <c r="AM19" i="12"/>
  <c r="AM16" i="12"/>
  <c r="H47" i="8"/>
  <c r="N204" i="2"/>
  <c r="AM49" i="10"/>
  <c r="M115" i="101"/>
  <c r="B24" i="101"/>
  <c r="B82" i="101"/>
  <c r="AD44" i="11"/>
  <c r="AD43" i="11"/>
  <c r="AH44" i="11"/>
  <c r="AL20" i="10"/>
  <c r="N79" i="2"/>
  <c r="B217" i="95"/>
  <c r="AN64" i="12"/>
  <c r="AO60" i="10"/>
  <c r="G10" i="53"/>
  <c r="E20" i="8"/>
  <c r="AL78" i="10"/>
  <c r="N30" i="8"/>
  <c r="H46" i="95"/>
  <c r="G54" i="95"/>
  <c r="D20" i="101"/>
  <c r="F20" i="101"/>
  <c r="AL27" i="12"/>
  <c r="AK27" i="12"/>
  <c r="I119" i="101"/>
  <c r="AL45" i="12"/>
  <c r="AL39" i="12"/>
  <c r="H116" i="101"/>
  <c r="B43" i="101"/>
  <c r="B44" i="101"/>
  <c r="AK74" i="11"/>
  <c r="AK84" i="11"/>
  <c r="AK75" i="11"/>
  <c r="F29" i="8"/>
  <c r="M3" i="53"/>
  <c r="AP4" i="12"/>
  <c r="AP4" i="11"/>
  <c r="AQ4" i="10"/>
  <c r="Q4" i="2"/>
  <c r="Q4" i="1"/>
  <c r="AM51" i="10"/>
  <c r="O87" i="2"/>
  <c r="E22" i="53"/>
  <c r="K47" i="8"/>
  <c r="Z43" i="11"/>
  <c r="Z44" i="11"/>
  <c r="R43" i="11"/>
  <c r="R44" i="11"/>
  <c r="F47" i="53"/>
  <c r="F23" i="53"/>
  <c r="AC44" i="11"/>
  <c r="AC43" i="11"/>
  <c r="F9" i="53"/>
  <c r="D6" i="7"/>
  <c r="AN37" i="10"/>
  <c r="AM61" i="10"/>
  <c r="O91" i="2"/>
  <c r="J117" i="101"/>
  <c r="J118" i="101"/>
  <c r="J119" i="101"/>
  <c r="G22" i="53"/>
  <c r="M47" i="8"/>
  <c r="Q90" i="101"/>
  <c r="R90" i="101"/>
  <c r="S90" i="101"/>
  <c r="O90" i="101"/>
  <c r="N90" i="101"/>
  <c r="M90" i="101"/>
  <c r="AM9" i="10"/>
  <c r="O71" i="2"/>
  <c r="AK16" i="10"/>
  <c r="L30" i="2"/>
  <c r="AK53" i="10"/>
  <c r="L44" i="2"/>
  <c r="O232" i="2"/>
  <c r="O228" i="2"/>
  <c r="P44" i="11"/>
  <c r="P43" i="11"/>
  <c r="AN67" i="10"/>
  <c r="AN67" i="12"/>
  <c r="P189" i="2"/>
  <c r="P191" i="2"/>
  <c r="AK31" i="12"/>
  <c r="AL31" i="12"/>
  <c r="AN41" i="10"/>
  <c r="AN57" i="12"/>
  <c r="AM29" i="10"/>
  <c r="O111" i="2"/>
  <c r="L83" i="101"/>
  <c r="L84" i="101"/>
  <c r="L85" i="101"/>
  <c r="L81" i="101"/>
  <c r="L80" i="101"/>
  <c r="L79" i="101"/>
  <c r="D27" i="95"/>
  <c r="G50" i="8"/>
  <c r="D74" i="95"/>
  <c r="I17" i="53"/>
  <c r="G8" i="7"/>
  <c r="O46" i="8"/>
  <c r="G4" i="8"/>
  <c r="H17" i="53"/>
  <c r="F8" i="7"/>
  <c r="N46" i="8"/>
  <c r="F4" i="8"/>
  <c r="AK11" i="10"/>
  <c r="L12" i="2"/>
  <c r="AK34" i="12"/>
  <c r="AL34" i="12"/>
  <c r="AN65" i="10"/>
  <c r="P195" i="2"/>
  <c r="P197" i="2"/>
  <c r="B110" i="101"/>
  <c r="H110" i="101"/>
  <c r="M110" i="101"/>
  <c r="AM57" i="12"/>
  <c r="H52" i="8"/>
  <c r="C54" i="101"/>
  <c r="B54" i="101"/>
  <c r="V13" i="103"/>
  <c r="S40" i="103"/>
  <c r="S6" i="103"/>
  <c r="S22" i="103"/>
  <c r="AN66" i="10"/>
  <c r="AN66" i="12"/>
  <c r="P180" i="2"/>
  <c r="P185" i="2"/>
  <c r="F10" i="53"/>
  <c r="D20" i="8"/>
  <c r="AM52" i="12"/>
  <c r="AM47" i="12"/>
  <c r="AN68" i="12"/>
  <c r="AO68" i="10"/>
  <c r="AJ44" i="11"/>
  <c r="AJ43" i="11"/>
  <c r="B222" i="95"/>
  <c r="E221" i="95"/>
  <c r="F221" i="95"/>
  <c r="C221" i="95"/>
  <c r="B220" i="95"/>
  <c r="G221" i="95"/>
  <c r="D221" i="95"/>
  <c r="S44" i="11"/>
  <c r="S43" i="11"/>
  <c r="V43" i="11"/>
  <c r="V44" i="11"/>
  <c r="L44" i="11"/>
  <c r="L43" i="11"/>
  <c r="AM107" i="10"/>
  <c r="AN59" i="10"/>
  <c r="AM35" i="12"/>
  <c r="AM23" i="12"/>
  <c r="H48" i="8"/>
  <c r="B161" i="95"/>
  <c r="B163" i="95"/>
  <c r="D117" i="101"/>
  <c r="AM28" i="10"/>
  <c r="O108" i="2"/>
  <c r="B69" i="101"/>
  <c r="B70" i="101"/>
  <c r="B71" i="101"/>
  <c r="B67" i="101"/>
  <c r="B66" i="101"/>
  <c r="B65" i="101"/>
  <c r="AK52" i="10"/>
  <c r="L40" i="2"/>
  <c r="AM26" i="10"/>
  <c r="O105" i="2"/>
  <c r="F12" i="53"/>
  <c r="L43" i="8"/>
  <c r="D47" i="53"/>
  <c r="D23" i="53"/>
  <c r="U44" i="11"/>
  <c r="U43" i="11"/>
  <c r="D9" i="53"/>
  <c r="AL61" i="12"/>
  <c r="G54" i="8"/>
  <c r="AM82" i="10"/>
  <c r="AN82" i="10"/>
  <c r="AO82" i="10"/>
  <c r="AP82" i="10"/>
  <c r="AQ82" i="10"/>
  <c r="AR82" i="10"/>
  <c r="AS82" i="10"/>
  <c r="AT82" i="10"/>
  <c r="AL28" i="12"/>
  <c r="AK28" i="12"/>
  <c r="T40" i="103"/>
  <c r="T6" i="103"/>
  <c r="T22" i="103"/>
  <c r="AM39" i="10"/>
  <c r="O115" i="2"/>
  <c r="N117" i="101"/>
  <c r="N118" i="101"/>
  <c r="N116" i="101"/>
  <c r="AM24" i="10"/>
  <c r="O99" i="2"/>
  <c r="AK33" i="12"/>
  <c r="AL33" i="12"/>
  <c r="AM65" i="12"/>
  <c r="AM66" i="12"/>
  <c r="AM62" i="12"/>
  <c r="H55" i="8"/>
  <c r="AM73" i="10"/>
  <c r="P28" i="8"/>
  <c r="H56" i="8"/>
  <c r="P24" i="8"/>
  <c r="P68" i="2"/>
  <c r="P4" i="92"/>
  <c r="P123" i="2"/>
  <c r="E47" i="53"/>
  <c r="E23" i="53"/>
  <c r="Y44" i="11"/>
  <c r="Y43" i="11"/>
  <c r="E9" i="53"/>
  <c r="C6" i="7"/>
  <c r="AN40" i="10"/>
  <c r="AK14" i="11"/>
  <c r="B19" i="101"/>
  <c r="U40" i="103"/>
  <c r="U6" i="103"/>
  <c r="U22" i="103"/>
  <c r="P25" i="8"/>
  <c r="O117" i="101"/>
  <c r="O118" i="101"/>
  <c r="O116" i="101"/>
  <c r="F22" i="53"/>
  <c r="L47" i="8"/>
  <c r="H8" i="53"/>
  <c r="F8" i="8"/>
  <c r="N44" i="8"/>
  <c r="AM50" i="10"/>
  <c r="O83" i="2"/>
  <c r="AE43" i="11"/>
  <c r="AE44" i="11"/>
  <c r="AI44" i="11"/>
  <c r="AK39" i="12"/>
  <c r="F90" i="101"/>
  <c r="C17" i="101"/>
  <c r="F64" i="101"/>
  <c r="O120" i="92"/>
  <c r="O166" i="92"/>
  <c r="O65" i="92"/>
  <c r="O26" i="92"/>
  <c r="G47" i="53"/>
  <c r="G23" i="53"/>
  <c r="AG44" i="11"/>
  <c r="AG43" i="11"/>
  <c r="G9" i="53"/>
  <c r="E6" i="7"/>
  <c r="B23" i="95"/>
  <c r="B28" i="95"/>
  <c r="E12" i="53"/>
  <c r="K43" i="8"/>
  <c r="O64" i="101"/>
  <c r="N64" i="101"/>
  <c r="M64" i="101"/>
  <c r="Q64" i="101"/>
  <c r="R64" i="101"/>
  <c r="S64" i="101"/>
  <c r="E54" i="95"/>
  <c r="D46" i="95"/>
  <c r="B93" i="101"/>
  <c r="B95" i="101"/>
  <c r="B96" i="101"/>
  <c r="B97" i="101"/>
  <c r="AK32" i="12"/>
  <c r="AL32" i="12"/>
  <c r="AM42" i="12"/>
  <c r="AM41" i="12"/>
  <c r="I110" i="101"/>
  <c r="N110" i="101"/>
  <c r="C110" i="101"/>
  <c r="B114" i="101"/>
  <c r="B116" i="101"/>
  <c r="B117" i="101"/>
  <c r="B115" i="101"/>
  <c r="O27" i="8"/>
  <c r="AK61" i="12"/>
  <c r="F54" i="8"/>
  <c r="AK36" i="10"/>
  <c r="N13" i="8"/>
  <c r="M63" i="92"/>
  <c r="M62" i="92"/>
  <c r="AN38" i="10"/>
  <c r="P80" i="92"/>
  <c r="P83" i="92"/>
  <c r="AO27" i="10"/>
  <c r="Q86" i="92"/>
  <c r="Q90" i="92"/>
  <c r="Q133" i="92"/>
  <c r="Q110" i="92"/>
  <c r="AP15" i="12"/>
  <c r="R121" i="92"/>
  <c r="AK35" i="10"/>
  <c r="M118" i="92"/>
  <c r="M117" i="92"/>
  <c r="O78" i="92"/>
  <c r="O55" i="92"/>
  <c r="AN13" i="12"/>
  <c r="P66" i="92"/>
  <c r="Q27" i="92"/>
  <c r="R27" i="92"/>
  <c r="AK11" i="12"/>
  <c r="AN33" i="10"/>
  <c r="P136" i="92"/>
  <c r="P144" i="92"/>
  <c r="AL32" i="10"/>
  <c r="O12" i="8"/>
  <c r="N42" i="92"/>
  <c r="AN30" i="10"/>
  <c r="P93" i="92"/>
  <c r="P101" i="92"/>
  <c r="AK31" i="10"/>
  <c r="M23" i="92"/>
  <c r="AN34" i="10"/>
  <c r="P158" i="92"/>
  <c r="P157" i="92"/>
  <c r="Q30" i="92"/>
  <c r="U30" i="92"/>
  <c r="O30" i="92"/>
  <c r="S30" i="92"/>
  <c r="N30" i="92"/>
  <c r="M30" i="92"/>
  <c r="M39" i="92"/>
  <c r="M15" i="92"/>
  <c r="AL12" i="12"/>
  <c r="AL11" i="12"/>
  <c r="R30" i="92"/>
  <c r="T30" i="92"/>
  <c r="P30" i="92"/>
  <c r="H116" i="95"/>
  <c r="G151" i="95"/>
  <c r="H70" i="95"/>
  <c r="G109" i="95"/>
  <c r="G64" i="95"/>
  <c r="H158" i="95"/>
  <c r="G177" i="95"/>
  <c r="I20" i="95"/>
  <c r="C91" i="95"/>
  <c r="C99" i="95"/>
  <c r="D99" i="95"/>
  <c r="I91" i="95"/>
  <c r="I99" i="95"/>
  <c r="H99" i="95"/>
  <c r="P31" i="8"/>
  <c r="AL58" i="12"/>
  <c r="G51" i="8"/>
  <c r="U42" i="103"/>
  <c r="U26" i="103"/>
  <c r="U48" i="103"/>
  <c r="U54" i="103"/>
  <c r="AO40" i="10"/>
  <c r="B219" i="95"/>
  <c r="C220" i="95"/>
  <c r="G220" i="95"/>
  <c r="D220" i="95"/>
  <c r="F220" i="95"/>
  <c r="E220" i="95"/>
  <c r="B223" i="95"/>
  <c r="G222" i="95"/>
  <c r="F222" i="95"/>
  <c r="E222" i="95"/>
  <c r="C222" i="95"/>
  <c r="D222" i="95"/>
  <c r="S48" i="103"/>
  <c r="S42" i="103"/>
  <c r="S54" i="103"/>
  <c r="S26" i="103"/>
  <c r="AN29" i="10"/>
  <c r="P111" i="2"/>
  <c r="AN9" i="10"/>
  <c r="P71" i="2"/>
  <c r="F30" i="8"/>
  <c r="H19" i="53"/>
  <c r="H118" i="101"/>
  <c r="H119" i="101"/>
  <c r="H117" i="101"/>
  <c r="H54" i="95"/>
  <c r="I46" i="95"/>
  <c r="AM20" i="10"/>
  <c r="O79" i="2"/>
  <c r="AO71" i="12"/>
  <c r="AP84" i="10"/>
  <c r="AO22" i="12"/>
  <c r="AP71" i="10"/>
  <c r="AK58" i="12"/>
  <c r="F51" i="8"/>
  <c r="AN50" i="10"/>
  <c r="P83" i="2"/>
  <c r="AN21" i="12"/>
  <c r="P166" i="92"/>
  <c r="P120" i="92"/>
  <c r="P65" i="92"/>
  <c r="P26" i="92"/>
  <c r="P27" i="8"/>
  <c r="AN24" i="10"/>
  <c r="P99" i="2"/>
  <c r="AN39" i="10"/>
  <c r="P115" i="2"/>
  <c r="AN28" i="10"/>
  <c r="P108" i="2"/>
  <c r="AO65" i="10"/>
  <c r="Q195" i="2"/>
  <c r="Q197" i="2"/>
  <c r="N20" i="8"/>
  <c r="O53" i="8"/>
  <c r="I33" i="53"/>
  <c r="I38" i="53"/>
  <c r="H33" i="53"/>
  <c r="H38" i="53"/>
  <c r="N53" i="8"/>
  <c r="AO37" i="10"/>
  <c r="AO52" i="12"/>
  <c r="AO47" i="12"/>
  <c r="AK55" i="11"/>
  <c r="AK70" i="11"/>
  <c r="AK64" i="11"/>
  <c r="AK52" i="11"/>
  <c r="B48" i="101"/>
  <c r="AK50" i="11"/>
  <c r="F32" i="8"/>
  <c r="F33" i="8"/>
  <c r="AK58" i="11"/>
  <c r="L47" i="1"/>
  <c r="AK86" i="11"/>
  <c r="AK45" i="11"/>
  <c r="AK61" i="11"/>
  <c r="AK67" i="11"/>
  <c r="AK85" i="11"/>
  <c r="H11" i="53"/>
  <c r="AK82" i="11"/>
  <c r="I20" i="101"/>
  <c r="J20" i="101"/>
  <c r="G20" i="101"/>
  <c r="AO64" i="12"/>
  <c r="AP60" i="10"/>
  <c r="B83" i="101"/>
  <c r="B84" i="101"/>
  <c r="B85" i="101"/>
  <c r="B81" i="101"/>
  <c r="B80" i="101"/>
  <c r="B79" i="101"/>
  <c r="AN10" i="10"/>
  <c r="P75" i="2"/>
  <c r="H31" i="53"/>
  <c r="H36" i="53"/>
  <c r="N5" i="8"/>
  <c r="I31" i="53"/>
  <c r="I36" i="53"/>
  <c r="O51" i="8"/>
  <c r="N51" i="8"/>
  <c r="B92" i="101"/>
  <c r="B91" i="101"/>
  <c r="G64" i="101"/>
  <c r="E64" i="101"/>
  <c r="F68" i="101"/>
  <c r="F66" i="101"/>
  <c r="F71" i="101"/>
  <c r="F67" i="101"/>
  <c r="F65" i="101"/>
  <c r="F70" i="101"/>
  <c r="F69" i="101"/>
  <c r="AN45" i="12"/>
  <c r="AN41" i="12"/>
  <c r="AK30" i="12"/>
  <c r="AK29" i="12"/>
  <c r="N19" i="8"/>
  <c r="AL30" i="12"/>
  <c r="AL29" i="12"/>
  <c r="AK62" i="10"/>
  <c r="AO59" i="10"/>
  <c r="AN35" i="12"/>
  <c r="AN23" i="12"/>
  <c r="AO66" i="10"/>
  <c r="AO66" i="12"/>
  <c r="Q180" i="2"/>
  <c r="Q185" i="2"/>
  <c r="V40" i="103"/>
  <c r="V6" i="103"/>
  <c r="V22" i="103"/>
  <c r="AN65" i="12"/>
  <c r="AN62" i="12"/>
  <c r="AN73" i="10"/>
  <c r="AL26" i="12"/>
  <c r="AL25" i="12"/>
  <c r="AK26" i="12"/>
  <c r="AK25" i="12"/>
  <c r="N4" i="8"/>
  <c r="AO41" i="10"/>
  <c r="AO67" i="10"/>
  <c r="AO67" i="12"/>
  <c r="Q189" i="2"/>
  <c r="Q191" i="2"/>
  <c r="AN52" i="12"/>
  <c r="AN47" i="12"/>
  <c r="Q4" i="92"/>
  <c r="Q123" i="2"/>
  <c r="Q68" i="2"/>
  <c r="AM78" i="10"/>
  <c r="O30" i="8"/>
  <c r="M116" i="101"/>
  <c r="M117" i="101"/>
  <c r="M118" i="101"/>
  <c r="AM45" i="12"/>
  <c r="AM39" i="12"/>
  <c r="D54" i="95"/>
  <c r="C46" i="95"/>
  <c r="D17" i="101"/>
  <c r="C16" i="101"/>
  <c r="T26" i="103"/>
  <c r="T48" i="103"/>
  <c r="T42" i="103"/>
  <c r="T54" i="103"/>
  <c r="AN26" i="10"/>
  <c r="P105" i="2"/>
  <c r="AO68" i="12"/>
  <c r="AP68" i="10"/>
  <c r="E74" i="95"/>
  <c r="H50" i="8"/>
  <c r="E27" i="95"/>
  <c r="P228" i="2"/>
  <c r="P232" i="2"/>
  <c r="N7" i="8"/>
  <c r="AK24" i="12"/>
  <c r="I32" i="53"/>
  <c r="I37" i="53"/>
  <c r="N52" i="8"/>
  <c r="O52" i="8"/>
  <c r="H32" i="53"/>
  <c r="H37" i="53"/>
  <c r="AL24" i="12"/>
  <c r="AN61" i="10"/>
  <c r="AN107" i="10"/>
  <c r="P91" i="2"/>
  <c r="AN51" i="10"/>
  <c r="P87" i="2"/>
  <c r="N3" i="53"/>
  <c r="AQ4" i="12"/>
  <c r="AQ4" i="11"/>
  <c r="AR4" i="10"/>
  <c r="R4" i="2"/>
  <c r="R4" i="1"/>
  <c r="AM103" i="10"/>
  <c r="J28" i="53"/>
  <c r="P18" i="8"/>
  <c r="AM62" i="10"/>
  <c r="H57" i="8"/>
  <c r="O202" i="2"/>
  <c r="AK35" i="12"/>
  <c r="N6" i="8"/>
  <c r="AL35" i="12"/>
  <c r="O29" i="8"/>
  <c r="M24" i="92"/>
  <c r="AL31" i="10"/>
  <c r="N44" i="92"/>
  <c r="N12" i="92"/>
  <c r="AL36" i="10"/>
  <c r="O13" i="8"/>
  <c r="N62" i="92"/>
  <c r="N63" i="92"/>
  <c r="S27" i="92"/>
  <c r="R133" i="92"/>
  <c r="R110" i="92"/>
  <c r="AQ15" i="12"/>
  <c r="S121" i="92"/>
  <c r="AO38" i="10"/>
  <c r="Q80" i="92"/>
  <c r="Q83" i="92"/>
  <c r="AO34" i="10"/>
  <c r="Q157" i="92"/>
  <c r="Q158" i="92"/>
  <c r="H35" i="53"/>
  <c r="H40" i="53"/>
  <c r="N54" i="8"/>
  <c r="N11" i="8"/>
  <c r="AK42" i="10"/>
  <c r="N16" i="8"/>
  <c r="N15" i="8"/>
  <c r="AO30" i="10"/>
  <c r="Q93" i="92"/>
  <c r="Q101" i="92"/>
  <c r="AO33" i="10"/>
  <c r="Q136" i="92"/>
  <c r="Q144" i="92"/>
  <c r="C72" i="95"/>
  <c r="AK16" i="11"/>
  <c r="AK42" i="11"/>
  <c r="AK43" i="11"/>
  <c r="H9" i="53"/>
  <c r="H54" i="53"/>
  <c r="AK9" i="12"/>
  <c r="L222" i="2"/>
  <c r="P78" i="92"/>
  <c r="P55" i="92"/>
  <c r="AO13" i="12"/>
  <c r="AL35" i="10"/>
  <c r="N118" i="92"/>
  <c r="N117" i="92"/>
  <c r="D72" i="95"/>
  <c r="AL16" i="11"/>
  <c r="I54" i="53"/>
  <c r="AL9" i="12"/>
  <c r="Q66" i="92"/>
  <c r="Q78" i="92"/>
  <c r="Q55" i="92"/>
  <c r="AP13" i="12"/>
  <c r="AP27" i="10"/>
  <c r="R86" i="92"/>
  <c r="R90" i="92"/>
  <c r="I158" i="95"/>
  <c r="H177" i="95"/>
  <c r="I70" i="95"/>
  <c r="H109" i="95"/>
  <c r="J20" i="95"/>
  <c r="I116" i="95"/>
  <c r="H151" i="95"/>
  <c r="H64" i="95"/>
  <c r="H23" i="53"/>
  <c r="I35" i="53"/>
  <c r="I40" i="53"/>
  <c r="O54" i="8"/>
  <c r="N46" i="92"/>
  <c r="N23" i="92"/>
  <c r="C54" i="95"/>
  <c r="I54" i="95"/>
  <c r="H51" i="8"/>
  <c r="AM58" i="12"/>
  <c r="AO51" i="10"/>
  <c r="Q87" i="2"/>
  <c r="AP68" i="12"/>
  <c r="AQ68" i="10"/>
  <c r="D16" i="101"/>
  <c r="C23" i="101"/>
  <c r="S71" i="101"/>
  <c r="F16" i="101"/>
  <c r="C15" i="101"/>
  <c r="C31" i="101"/>
  <c r="D31" i="101"/>
  <c r="C27" i="101"/>
  <c r="D27" i="101"/>
  <c r="C25" i="101"/>
  <c r="C29" i="101"/>
  <c r="D29" i="101"/>
  <c r="AP41" i="10"/>
  <c r="AP57" i="12"/>
  <c r="AO39" i="10"/>
  <c r="Q115" i="2"/>
  <c r="E223" i="95"/>
  <c r="F223" i="95"/>
  <c r="G223" i="95"/>
  <c r="C223" i="95"/>
  <c r="D223" i="95"/>
  <c r="AP40" i="10"/>
  <c r="U41" i="103"/>
  <c r="U29" i="103"/>
  <c r="O204" i="2"/>
  <c r="AN49" i="10"/>
  <c r="O207" i="2"/>
  <c r="AN38" i="11"/>
  <c r="AN19" i="12"/>
  <c r="AN16" i="12"/>
  <c r="AN78" i="10"/>
  <c r="P30" i="8"/>
  <c r="AM61" i="12"/>
  <c r="H54" i="8"/>
  <c r="F74" i="95"/>
  <c r="F27" i="95"/>
  <c r="AO57" i="12"/>
  <c r="AP66" i="10"/>
  <c r="AP66" i="12"/>
  <c r="R180" i="2"/>
  <c r="R185" i="2"/>
  <c r="AO10" i="10"/>
  <c r="Q75" i="2"/>
  <c r="AP64" i="12"/>
  <c r="AQ60" i="10"/>
  <c r="AK47" i="11"/>
  <c r="C21" i="95"/>
  <c r="C159" i="95"/>
  <c r="AK46" i="11"/>
  <c r="H46" i="53"/>
  <c r="N61" i="8"/>
  <c r="F19" i="8"/>
  <c r="F53" i="8"/>
  <c r="L220" i="2"/>
  <c r="AQ84" i="10"/>
  <c r="AP71" i="12"/>
  <c r="AO29" i="10"/>
  <c r="Q111" i="2"/>
  <c r="AO21" i="12"/>
  <c r="O3" i="53"/>
  <c r="AR4" i="12"/>
  <c r="AR4" i="11"/>
  <c r="AS4" i="10"/>
  <c r="S4" i="1"/>
  <c r="S4" i="2"/>
  <c r="G74" i="95"/>
  <c r="G27" i="95"/>
  <c r="AO28" i="10"/>
  <c r="Q108" i="2"/>
  <c r="AO61" i="10"/>
  <c r="Q91" i="2"/>
  <c r="AP67" i="10"/>
  <c r="AP67" i="12"/>
  <c r="R189" i="2"/>
  <c r="R191" i="2"/>
  <c r="AK100" i="10"/>
  <c r="N23" i="8"/>
  <c r="N22" i="8"/>
  <c r="AK76" i="10"/>
  <c r="AK87" i="11"/>
  <c r="AK88" i="11"/>
  <c r="B49" i="101"/>
  <c r="F34" i="8"/>
  <c r="AP65" i="10"/>
  <c r="R195" i="2"/>
  <c r="R197" i="2"/>
  <c r="AO24" i="10"/>
  <c r="Q99" i="2"/>
  <c r="AO50" i="10"/>
  <c r="Q83" i="2"/>
  <c r="C219" i="95"/>
  <c r="G219" i="95"/>
  <c r="E219" i="95"/>
  <c r="D219" i="95"/>
  <c r="F219" i="95"/>
  <c r="Q166" i="92"/>
  <c r="Q120" i="92"/>
  <c r="Q65" i="92"/>
  <c r="Q26" i="92"/>
  <c r="AL23" i="12"/>
  <c r="G48" i="8"/>
  <c r="AO107" i="10"/>
  <c r="AP59" i="10"/>
  <c r="AO35" i="12"/>
  <c r="AO23" i="12"/>
  <c r="H64" i="101"/>
  <c r="G66" i="101"/>
  <c r="G70" i="101"/>
  <c r="G68" i="101"/>
  <c r="G65" i="101"/>
  <c r="G71" i="101"/>
  <c r="G69" i="101"/>
  <c r="G67" i="101"/>
  <c r="AO26" i="10"/>
  <c r="Q105" i="2"/>
  <c r="AM100" i="10"/>
  <c r="P23" i="8"/>
  <c r="P22" i="8"/>
  <c r="AM76" i="10"/>
  <c r="R4" i="92"/>
  <c r="R123" i="2"/>
  <c r="R68" i="2"/>
  <c r="Q228" i="2"/>
  <c r="Q232" i="2"/>
  <c r="T41" i="103"/>
  <c r="T29" i="103"/>
  <c r="AK23" i="12"/>
  <c r="F48" i="8"/>
  <c r="V42" i="103"/>
  <c r="V48" i="103"/>
  <c r="V54" i="103"/>
  <c r="V26" i="103"/>
  <c r="D64" i="101"/>
  <c r="E71" i="101"/>
  <c r="E69" i="101"/>
  <c r="E67" i="101"/>
  <c r="E65" i="101"/>
  <c r="E70" i="101"/>
  <c r="E68" i="101"/>
  <c r="E66" i="101"/>
  <c r="AP37" i="10"/>
  <c r="AO65" i="12"/>
  <c r="AO62" i="12"/>
  <c r="AO73" i="10"/>
  <c r="AO41" i="12"/>
  <c r="AO45" i="12"/>
  <c r="AP22" i="12"/>
  <c r="AQ71" i="10"/>
  <c r="AN20" i="10"/>
  <c r="P79" i="2"/>
  <c r="AO9" i="10"/>
  <c r="Q71" i="2"/>
  <c r="S41" i="103"/>
  <c r="S29" i="103"/>
  <c r="AN42" i="12"/>
  <c r="AN39" i="12"/>
  <c r="AN58" i="12"/>
  <c r="O220" i="2"/>
  <c r="G53" i="8"/>
  <c r="M220" i="2"/>
  <c r="AP30" i="10"/>
  <c r="R93" i="92"/>
  <c r="R101" i="92"/>
  <c r="AP34" i="10"/>
  <c r="R157" i="92"/>
  <c r="R158" i="92"/>
  <c r="S133" i="92"/>
  <c r="S110" i="92"/>
  <c r="AR15" i="12"/>
  <c r="T121" i="92"/>
  <c r="T133" i="92"/>
  <c r="T110" i="92"/>
  <c r="AS15" i="12"/>
  <c r="AM36" i="10"/>
  <c r="P13" i="8"/>
  <c r="O63" i="92"/>
  <c r="O62" i="92"/>
  <c r="AK44" i="11"/>
  <c r="AM35" i="10"/>
  <c r="O118" i="92"/>
  <c r="O117" i="92"/>
  <c r="AP38" i="10"/>
  <c r="R80" i="92"/>
  <c r="R83" i="92"/>
  <c r="G31" i="92"/>
  <c r="N13" i="92"/>
  <c r="O10" i="92"/>
  <c r="O11" i="8"/>
  <c r="AL42" i="10"/>
  <c r="O16" i="8"/>
  <c r="T27" i="92"/>
  <c r="AM32" i="10"/>
  <c r="P12" i="8"/>
  <c r="O42" i="92"/>
  <c r="H47" i="53"/>
  <c r="C25" i="95"/>
  <c r="F46" i="8"/>
  <c r="AP33" i="10"/>
  <c r="R136" i="92"/>
  <c r="R144" i="92"/>
  <c r="AQ27" i="10"/>
  <c r="S86" i="92"/>
  <c r="S90" i="92"/>
  <c r="D25" i="95"/>
  <c r="G46" i="8"/>
  <c r="R66" i="92"/>
  <c r="K20" i="95"/>
  <c r="J158" i="95"/>
  <c r="I177" i="95"/>
  <c r="J116" i="95"/>
  <c r="I151" i="95"/>
  <c r="J70" i="95"/>
  <c r="I109" i="95"/>
  <c r="I64" i="95"/>
  <c r="AQ65" i="10"/>
  <c r="S195" i="2"/>
  <c r="S197" i="2"/>
  <c r="AP61" i="10"/>
  <c r="R91" i="2"/>
  <c r="P3" i="53"/>
  <c r="AS4" i="12"/>
  <c r="AS4" i="11"/>
  <c r="AT4" i="10"/>
  <c r="T4" i="1"/>
  <c r="T4" i="2"/>
  <c r="AR84" i="10"/>
  <c r="AQ71" i="12"/>
  <c r="P68" i="101"/>
  <c r="M70" i="101"/>
  <c r="R67" i="101"/>
  <c r="R69" i="101"/>
  <c r="R71" i="101"/>
  <c r="O67" i="101"/>
  <c r="O71" i="101"/>
  <c r="AO20" i="10"/>
  <c r="Q79" i="2"/>
  <c r="T49" i="103"/>
  <c r="T43" i="103"/>
  <c r="T55" i="103"/>
  <c r="T30" i="103"/>
  <c r="J25" i="53"/>
  <c r="P29" i="8"/>
  <c r="I64" i="101"/>
  <c r="H70" i="101"/>
  <c r="H68" i="101"/>
  <c r="H66" i="101"/>
  <c r="H65" i="101"/>
  <c r="H71" i="101"/>
  <c r="H69" i="101"/>
  <c r="H67" i="101"/>
  <c r="AP65" i="12"/>
  <c r="AP62" i="12"/>
  <c r="AP73" i="10"/>
  <c r="C22" i="95"/>
  <c r="C23" i="95"/>
  <c r="AK100" i="11"/>
  <c r="C160" i="95"/>
  <c r="C161" i="95"/>
  <c r="F35" i="8"/>
  <c r="B50" i="101"/>
  <c r="AP29" i="10"/>
  <c r="R111" i="2"/>
  <c r="H10" i="53"/>
  <c r="F20" i="8"/>
  <c r="AQ64" i="12"/>
  <c r="AR60" i="10"/>
  <c r="AN61" i="12"/>
  <c r="AO78" i="10"/>
  <c r="AP39" i="10"/>
  <c r="R115" i="2"/>
  <c r="D15" i="101"/>
  <c r="M65" i="101"/>
  <c r="O65" i="101"/>
  <c r="P69" i="101"/>
  <c r="Q66" i="101"/>
  <c r="Q68" i="101"/>
  <c r="Q70" i="101"/>
  <c r="N66" i="101"/>
  <c r="N68" i="101"/>
  <c r="N70" i="101"/>
  <c r="S65" i="101"/>
  <c r="S67" i="101"/>
  <c r="S69" i="101"/>
  <c r="V29" i="103"/>
  <c r="V41" i="103"/>
  <c r="U30" i="103"/>
  <c r="U43" i="103"/>
  <c r="U55" i="103"/>
  <c r="U49" i="103"/>
  <c r="C24" i="101"/>
  <c r="D24" i="101"/>
  <c r="D23" i="101"/>
  <c r="M68" i="101"/>
  <c r="AP51" i="10"/>
  <c r="R87" i="2"/>
  <c r="AQ37" i="10"/>
  <c r="AP50" i="10"/>
  <c r="R83" i="2"/>
  <c r="AQ67" i="10"/>
  <c r="AQ67" i="12"/>
  <c r="S189" i="2"/>
  <c r="S191" i="2"/>
  <c r="AP28" i="10"/>
  <c r="R108" i="2"/>
  <c r="S68" i="2"/>
  <c r="S4" i="92"/>
  <c r="S123" i="2"/>
  <c r="AQ66" i="10"/>
  <c r="AQ66" i="12"/>
  <c r="S180" i="2"/>
  <c r="S185" i="2"/>
  <c r="AQ40" i="10"/>
  <c r="D25" i="101"/>
  <c r="C19" i="101"/>
  <c r="D19" i="101"/>
  <c r="I16" i="101"/>
  <c r="F15" i="101"/>
  <c r="G15" i="101"/>
  <c r="G16" i="101"/>
  <c r="F23" i="101"/>
  <c r="F25" i="101"/>
  <c r="G25" i="101"/>
  <c r="F29" i="101"/>
  <c r="G29" i="101"/>
  <c r="F31" i="101"/>
  <c r="G31" i="101"/>
  <c r="F27" i="101"/>
  <c r="G27" i="101"/>
  <c r="Q65" i="101"/>
  <c r="P66" i="101"/>
  <c r="P70" i="101"/>
  <c r="M67" i="101"/>
  <c r="M69" i="101"/>
  <c r="M71" i="101"/>
  <c r="R66" i="101"/>
  <c r="R68" i="101"/>
  <c r="R70" i="101"/>
  <c r="O66" i="101"/>
  <c r="O68" i="101"/>
  <c r="O70" i="101"/>
  <c r="AQ68" i="12"/>
  <c r="AR68" i="10"/>
  <c r="H53" i="8"/>
  <c r="N220" i="2"/>
  <c r="R232" i="2"/>
  <c r="R228" i="2"/>
  <c r="R166" i="92"/>
  <c r="R120" i="92"/>
  <c r="R65" i="92"/>
  <c r="R26" i="92"/>
  <c r="AP26" i="10"/>
  <c r="R105" i="2"/>
  <c r="AP24" i="10"/>
  <c r="AP45" i="12"/>
  <c r="R99" i="2"/>
  <c r="AK90" i="11"/>
  <c r="F36" i="8"/>
  <c r="AK7" i="12"/>
  <c r="AK36" i="12"/>
  <c r="AK89" i="11"/>
  <c r="B51" i="101"/>
  <c r="L50" i="1"/>
  <c r="AK91" i="11"/>
  <c r="H22" i="53"/>
  <c r="N47" i="8"/>
  <c r="N65" i="101"/>
  <c r="M66" i="101"/>
  <c r="R65" i="101"/>
  <c r="O69" i="101"/>
  <c r="AK94" i="11"/>
  <c r="F23" i="7"/>
  <c r="F25" i="7"/>
  <c r="S49" i="103"/>
  <c r="S43" i="103"/>
  <c r="S55" i="103"/>
  <c r="S30" i="103"/>
  <c r="AP52" i="12"/>
  <c r="AP47" i="12"/>
  <c r="C64" i="101"/>
  <c r="D71" i="101"/>
  <c r="D69" i="101"/>
  <c r="D67" i="101"/>
  <c r="D70" i="101"/>
  <c r="D68" i="101"/>
  <c r="D66" i="101"/>
  <c r="D65" i="101"/>
  <c r="AP9" i="10"/>
  <c r="R71" i="2"/>
  <c r="AQ22" i="12"/>
  <c r="AR71" i="10"/>
  <c r="AO42" i="12"/>
  <c r="AO39" i="12"/>
  <c r="AO58" i="12"/>
  <c r="P220" i="2"/>
  <c r="AQ59" i="10"/>
  <c r="AP107" i="10"/>
  <c r="AP35" i="12"/>
  <c r="AP23" i="12"/>
  <c r="AP41" i="12"/>
  <c r="H25" i="53"/>
  <c r="N29" i="8"/>
  <c r="I25" i="53"/>
  <c r="AP10" i="10"/>
  <c r="R75" i="2"/>
  <c r="AN103" i="10"/>
  <c r="K28" i="53"/>
  <c r="AN62" i="10"/>
  <c r="P202" i="2"/>
  <c r="AP21" i="12"/>
  <c r="AQ41" i="10"/>
  <c r="P65" i="101"/>
  <c r="P67" i="101"/>
  <c r="P71" i="101"/>
  <c r="Q67" i="101"/>
  <c r="Q69" i="101"/>
  <c r="Q71" i="101"/>
  <c r="N67" i="101"/>
  <c r="N69" i="101"/>
  <c r="N71" i="101"/>
  <c r="S66" i="101"/>
  <c r="S68" i="101"/>
  <c r="S70" i="101"/>
  <c r="O15" i="8"/>
  <c r="R78" i="92"/>
  <c r="R55" i="92"/>
  <c r="AQ13" i="12"/>
  <c r="S66" i="92"/>
  <c r="AR27" i="10"/>
  <c r="T86" i="92"/>
  <c r="T90" i="92"/>
  <c r="AQ30" i="10"/>
  <c r="S93" i="92"/>
  <c r="S101" i="92"/>
  <c r="U121" i="92"/>
  <c r="U133" i="92"/>
  <c r="U110" i="92"/>
  <c r="AT15" i="12"/>
  <c r="U27" i="92"/>
  <c r="R31" i="92"/>
  <c r="O31" i="92"/>
  <c r="P31" i="92"/>
  <c r="N31" i="92"/>
  <c r="N39" i="92"/>
  <c r="N15" i="92"/>
  <c r="Q31" i="92"/>
  <c r="T31" i="92"/>
  <c r="U31" i="92"/>
  <c r="S31" i="92"/>
  <c r="AN35" i="10"/>
  <c r="P118" i="92"/>
  <c r="P117" i="92"/>
  <c r="AN36" i="10"/>
  <c r="P63" i="92"/>
  <c r="P62" i="92"/>
  <c r="S158" i="92"/>
  <c r="S157" i="92"/>
  <c r="AQ34" i="10"/>
  <c r="O44" i="92"/>
  <c r="O12" i="92"/>
  <c r="G32" i="92"/>
  <c r="AQ33" i="10"/>
  <c r="S136" i="92"/>
  <c r="S144" i="92"/>
  <c r="AQ38" i="10"/>
  <c r="S80" i="92"/>
  <c r="S83" i="92"/>
  <c r="K116" i="95"/>
  <c r="J151" i="95"/>
  <c r="K70" i="95"/>
  <c r="J109" i="95"/>
  <c r="J64" i="95"/>
  <c r="K158" i="95"/>
  <c r="J177" i="95"/>
  <c r="L20" i="95"/>
  <c r="G90" i="101"/>
  <c r="E90" i="101"/>
  <c r="AK105" i="11"/>
  <c r="AK86" i="10"/>
  <c r="P204" i="2"/>
  <c r="AO49" i="10"/>
  <c r="P207" i="2"/>
  <c r="AO38" i="11"/>
  <c r="AO19" i="12"/>
  <c r="AO16" i="12"/>
  <c r="AQ39" i="10"/>
  <c r="S115" i="2"/>
  <c r="AR64" i="12"/>
  <c r="AS60" i="10"/>
  <c r="AQ29" i="10"/>
  <c r="S111" i="2"/>
  <c r="AR65" i="10"/>
  <c r="T195" i="2"/>
  <c r="T197" i="2"/>
  <c r="H53" i="53"/>
  <c r="F38" i="8"/>
  <c r="F44" i="8"/>
  <c r="L164" i="2"/>
  <c r="L163" i="2"/>
  <c r="L165" i="2"/>
  <c r="AK96" i="11"/>
  <c r="O46" i="92"/>
  <c r="AN32" i="10"/>
  <c r="AR41" i="10"/>
  <c r="AR57" i="12"/>
  <c r="AN100" i="10"/>
  <c r="AN76" i="10"/>
  <c r="K25" i="53"/>
  <c r="C71" i="101"/>
  <c r="C69" i="101"/>
  <c r="C67" i="101"/>
  <c r="C70" i="101"/>
  <c r="C68" i="101"/>
  <c r="C66" i="101"/>
  <c r="C65" i="101"/>
  <c r="N43" i="8"/>
  <c r="H12" i="53"/>
  <c r="AQ24" i="10"/>
  <c r="S99" i="2"/>
  <c r="AR68" i="12"/>
  <c r="AS68" i="10"/>
  <c r="AR40" i="10"/>
  <c r="AQ28" i="10"/>
  <c r="S108" i="2"/>
  <c r="AR37" i="10"/>
  <c r="AR52" i="12"/>
  <c r="AR47" i="12"/>
  <c r="V30" i="103"/>
  <c r="V49" i="103"/>
  <c r="V55" i="103"/>
  <c r="V43" i="103"/>
  <c r="I70" i="101"/>
  <c r="I68" i="101"/>
  <c r="I66" i="101"/>
  <c r="I71" i="101"/>
  <c r="I69" i="101"/>
  <c r="I67" i="101"/>
  <c r="I65" i="101"/>
  <c r="AP20" i="10"/>
  <c r="R79" i="2"/>
  <c r="AQ65" i="12"/>
  <c r="AQ62" i="12"/>
  <c r="AQ73" i="10"/>
  <c r="AR59" i="10"/>
  <c r="AQ35" i="12"/>
  <c r="AQ23" i="12"/>
  <c r="AQ9" i="10"/>
  <c r="S71" i="2"/>
  <c r="B55" i="101"/>
  <c r="B57" i="101"/>
  <c r="AK99" i="11"/>
  <c r="C71" i="95"/>
  <c r="AQ57" i="12"/>
  <c r="AR22" i="12"/>
  <c r="AS71" i="10"/>
  <c r="H74" i="95"/>
  <c r="H27" i="95"/>
  <c r="AK82" i="12"/>
  <c r="F49" i="8"/>
  <c r="L219" i="2"/>
  <c r="E187" i="95"/>
  <c r="H27" i="53"/>
  <c r="F28" i="7"/>
  <c r="F19" i="7"/>
  <c r="AQ45" i="12"/>
  <c r="S232" i="2"/>
  <c r="S228" i="2"/>
  <c r="I23" i="101"/>
  <c r="I15" i="101"/>
  <c r="J15" i="101"/>
  <c r="J16" i="101"/>
  <c r="I25" i="101"/>
  <c r="J25" i="101"/>
  <c r="I29" i="101"/>
  <c r="J29" i="101"/>
  <c r="I31" i="101"/>
  <c r="J31" i="101"/>
  <c r="I27" i="101"/>
  <c r="J27" i="101"/>
  <c r="AQ21" i="12"/>
  <c r="AQ41" i="12"/>
  <c r="AQ52" i="12"/>
  <c r="AQ47" i="12"/>
  <c r="C43" i="101"/>
  <c r="AO61" i="12"/>
  <c r="AP78" i="10"/>
  <c r="B9" i="101"/>
  <c r="C9" i="101"/>
  <c r="C50" i="101"/>
  <c r="AP42" i="12"/>
  <c r="AP39" i="12"/>
  <c r="AP58" i="12"/>
  <c r="Q220" i="2"/>
  <c r="Q3" i="53"/>
  <c r="AT4" i="12"/>
  <c r="AT4" i="11"/>
  <c r="U4" i="2"/>
  <c r="U4" i="1"/>
  <c r="AQ61" i="10"/>
  <c r="AQ107" i="10"/>
  <c r="S91" i="2"/>
  <c r="T68" i="2"/>
  <c r="T4" i="92"/>
  <c r="T123" i="2"/>
  <c r="AK87" i="10"/>
  <c r="AK89" i="10"/>
  <c r="F24" i="7"/>
  <c r="F26" i="7"/>
  <c r="F14" i="7"/>
  <c r="AK95" i="11"/>
  <c r="F40" i="8"/>
  <c r="AQ10" i="10"/>
  <c r="S75" i="2"/>
  <c r="AK92" i="11"/>
  <c r="B53" i="101"/>
  <c r="B10" i="101"/>
  <c r="C10" i="101"/>
  <c r="C53" i="101"/>
  <c r="D53" i="101"/>
  <c r="B52" i="101"/>
  <c r="AK91" i="10"/>
  <c r="N33" i="8"/>
  <c r="F37" i="8"/>
  <c r="F45" i="8"/>
  <c r="AQ26" i="10"/>
  <c r="S105" i="2"/>
  <c r="F24" i="101"/>
  <c r="G24" i="101"/>
  <c r="G23" i="101"/>
  <c r="AR66" i="10"/>
  <c r="AR66" i="12"/>
  <c r="T180" i="2"/>
  <c r="T185" i="2"/>
  <c r="S120" i="92"/>
  <c r="S166" i="92"/>
  <c r="S65" i="92"/>
  <c r="S26" i="92"/>
  <c r="AR67" i="10"/>
  <c r="AR67" i="12"/>
  <c r="T189" i="2"/>
  <c r="T191" i="2"/>
  <c r="AQ50" i="10"/>
  <c r="S83" i="2"/>
  <c r="AQ51" i="10"/>
  <c r="S87" i="2"/>
  <c r="AS84" i="10"/>
  <c r="AR71" i="12"/>
  <c r="E92" i="101"/>
  <c r="E94" i="101"/>
  <c r="G93" i="101"/>
  <c r="AM12" i="12"/>
  <c r="AM11" i="12"/>
  <c r="N24" i="92"/>
  <c r="AR30" i="10"/>
  <c r="T93" i="92"/>
  <c r="T101" i="92"/>
  <c r="AR38" i="10"/>
  <c r="T80" i="92"/>
  <c r="T83" i="92"/>
  <c r="AR34" i="10"/>
  <c r="T158" i="92"/>
  <c r="T157" i="92"/>
  <c r="O32" i="92"/>
  <c r="O39" i="92"/>
  <c r="O15" i="92"/>
  <c r="AN12" i="12"/>
  <c r="AN11" i="12"/>
  <c r="R32" i="92"/>
  <c r="P32" i="92"/>
  <c r="T32" i="92"/>
  <c r="U32" i="92"/>
  <c r="Q32" i="92"/>
  <c r="S32" i="92"/>
  <c r="AO35" i="10"/>
  <c r="Q118" i="92"/>
  <c r="Q117" i="92"/>
  <c r="O13" i="92"/>
  <c r="P10" i="92"/>
  <c r="S78" i="92"/>
  <c r="S55" i="92"/>
  <c r="AR13" i="12"/>
  <c r="T66" i="92"/>
  <c r="AR33" i="10"/>
  <c r="T136" i="92"/>
  <c r="T144" i="92"/>
  <c r="AO36" i="10"/>
  <c r="Q63" i="92"/>
  <c r="Q62" i="92"/>
  <c r="AS27" i="10"/>
  <c r="U86" i="92"/>
  <c r="U90" i="92"/>
  <c r="AT27" i="10"/>
  <c r="L116" i="95"/>
  <c r="K151" i="95"/>
  <c r="L70" i="95"/>
  <c r="K109" i="95"/>
  <c r="K64" i="95"/>
  <c r="L158" i="95"/>
  <c r="K177" i="95"/>
  <c r="H90" i="101"/>
  <c r="D90" i="101"/>
  <c r="F9" i="7"/>
  <c r="F27" i="7"/>
  <c r="H20" i="53"/>
  <c r="F39" i="8"/>
  <c r="N48" i="8"/>
  <c r="H13" i="53"/>
  <c r="H21" i="53"/>
  <c r="F16" i="7"/>
  <c r="E184" i="95"/>
  <c r="G95" i="101"/>
  <c r="F95" i="101"/>
  <c r="G97" i="101"/>
  <c r="E96" i="101"/>
  <c r="F94" i="101"/>
  <c r="AK70" i="12"/>
  <c r="C117" i="95"/>
  <c r="F15" i="7"/>
  <c r="F17" i="7"/>
  <c r="H50" i="53"/>
  <c r="N32" i="8"/>
  <c r="H5" i="53"/>
  <c r="F10" i="7"/>
  <c r="H26" i="53"/>
  <c r="AK93" i="10"/>
  <c r="AK95" i="10"/>
  <c r="N40" i="8"/>
  <c r="AR50" i="10"/>
  <c r="T83" i="2"/>
  <c r="AS66" i="10"/>
  <c r="AS66" i="12"/>
  <c r="U180" i="2"/>
  <c r="U185" i="2"/>
  <c r="AT66" i="10"/>
  <c r="AT66" i="12"/>
  <c r="AR26" i="10"/>
  <c r="T105" i="2"/>
  <c r="C83" i="101"/>
  <c r="F85" i="101"/>
  <c r="C82" i="101"/>
  <c r="H82" i="101"/>
  <c r="F83" i="101"/>
  <c r="C85" i="101"/>
  <c r="F84" i="101"/>
  <c r="G79" i="101"/>
  <c r="F80" i="101"/>
  <c r="I85" i="101"/>
  <c r="F82" i="101"/>
  <c r="C81" i="101"/>
  <c r="I80" i="101"/>
  <c r="D85" i="101"/>
  <c r="D80" i="101"/>
  <c r="H81" i="101"/>
  <c r="D82" i="101"/>
  <c r="D83" i="101"/>
  <c r="G81" i="101"/>
  <c r="C79" i="101"/>
  <c r="D81" i="101"/>
  <c r="C80" i="101"/>
  <c r="I82" i="101"/>
  <c r="G85" i="101"/>
  <c r="H80" i="101"/>
  <c r="F81" i="101"/>
  <c r="H85" i="101"/>
  <c r="E79" i="101"/>
  <c r="H83" i="101"/>
  <c r="I84" i="101"/>
  <c r="D79" i="101"/>
  <c r="E83" i="101"/>
  <c r="I79" i="101"/>
  <c r="H84" i="101"/>
  <c r="E82" i="101"/>
  <c r="D84" i="101"/>
  <c r="G83" i="101"/>
  <c r="G82" i="101"/>
  <c r="E84" i="101"/>
  <c r="E81" i="101"/>
  <c r="G84" i="101"/>
  <c r="E85" i="101"/>
  <c r="C84" i="101"/>
  <c r="E80" i="101"/>
  <c r="G80" i="101"/>
  <c r="H79" i="101"/>
  <c r="F79" i="101"/>
  <c r="I81" i="101"/>
  <c r="I83" i="101"/>
  <c r="T166" i="92"/>
  <c r="T120" i="92"/>
  <c r="T65" i="92"/>
  <c r="T26" i="92"/>
  <c r="AS71" i="12"/>
  <c r="AT84" i="10"/>
  <c r="AT71" i="12"/>
  <c r="AR42" i="12"/>
  <c r="U4" i="92"/>
  <c r="U123" i="2"/>
  <c r="U68" i="2"/>
  <c r="F93" i="101"/>
  <c r="D50" i="101"/>
  <c r="I27" i="95"/>
  <c r="I74" i="95"/>
  <c r="B227" i="95"/>
  <c r="D227" i="95"/>
  <c r="B232" i="95"/>
  <c r="AQ42" i="12"/>
  <c r="AQ20" i="10"/>
  <c r="S79" i="2"/>
  <c r="AS40" i="10"/>
  <c r="AS21" i="12"/>
  <c r="AR24" i="10"/>
  <c r="T99" i="2"/>
  <c r="AS65" i="10"/>
  <c r="U195" i="2"/>
  <c r="U197" i="2"/>
  <c r="AT65" i="10"/>
  <c r="AS64" i="12"/>
  <c r="AT60" i="10"/>
  <c r="AT64" i="12"/>
  <c r="D43" i="101"/>
  <c r="C48" i="101"/>
  <c r="C49" i="101"/>
  <c r="D49" i="101"/>
  <c r="C44" i="101"/>
  <c r="D44" i="101"/>
  <c r="J74" i="95"/>
  <c r="J27" i="95"/>
  <c r="P42" i="92"/>
  <c r="B56" i="101"/>
  <c r="G92" i="101"/>
  <c r="G94" i="101"/>
  <c r="E91" i="101"/>
  <c r="E93" i="101"/>
  <c r="AR51" i="10"/>
  <c r="T87" i="2"/>
  <c r="AS67" i="10"/>
  <c r="AS67" i="12"/>
  <c r="U189" i="2"/>
  <c r="U191" i="2"/>
  <c r="AT67" i="10"/>
  <c r="AT67" i="12"/>
  <c r="AR10" i="10"/>
  <c r="T75" i="2"/>
  <c r="AR61" i="10"/>
  <c r="T91" i="2"/>
  <c r="F91" i="101"/>
  <c r="F97" i="101"/>
  <c r="AQ78" i="10"/>
  <c r="AP61" i="12"/>
  <c r="AQ39" i="12"/>
  <c r="AQ58" i="12"/>
  <c r="R220" i="2"/>
  <c r="I24" i="101"/>
  <c r="J24" i="101"/>
  <c r="J23" i="101"/>
  <c r="AR9" i="10"/>
  <c r="T71" i="2"/>
  <c r="AR107" i="10"/>
  <c r="AS59" i="10"/>
  <c r="AR35" i="12"/>
  <c r="AR23" i="12"/>
  <c r="AR41" i="12"/>
  <c r="AR21" i="12"/>
  <c r="AR45" i="12"/>
  <c r="AS41" i="10"/>
  <c r="AR65" i="12"/>
  <c r="AR62" i="12"/>
  <c r="AR73" i="10"/>
  <c r="AO103" i="10"/>
  <c r="L28" i="53"/>
  <c r="AO62" i="10"/>
  <c r="Q202" i="2"/>
  <c r="T228" i="2"/>
  <c r="T232" i="2"/>
  <c r="G96" i="101"/>
  <c r="G91" i="101"/>
  <c r="E95" i="101"/>
  <c r="E97" i="101"/>
  <c r="F92" i="101"/>
  <c r="F96" i="101"/>
  <c r="AS22" i="12"/>
  <c r="AT71" i="10"/>
  <c r="AT22" i="12"/>
  <c r="AS37" i="10"/>
  <c r="AS52" i="12"/>
  <c r="AS47" i="12"/>
  <c r="AR28" i="10"/>
  <c r="T108" i="2"/>
  <c r="AS68" i="12"/>
  <c r="AT68" i="10"/>
  <c r="AT68" i="12"/>
  <c r="AR29" i="10"/>
  <c r="T111" i="2"/>
  <c r="AR39" i="10"/>
  <c r="T115" i="2"/>
  <c r="D96" i="101"/>
  <c r="D92" i="101"/>
  <c r="D95" i="101"/>
  <c r="D91" i="101"/>
  <c r="D94" i="101"/>
  <c r="D97" i="101"/>
  <c r="D93" i="101"/>
  <c r="H96" i="101"/>
  <c r="H92" i="101"/>
  <c r="H95" i="101"/>
  <c r="H91" i="101"/>
  <c r="H94" i="101"/>
  <c r="H97" i="101"/>
  <c r="H93" i="101"/>
  <c r="AS33" i="10"/>
  <c r="U136" i="92"/>
  <c r="U144" i="92"/>
  <c r="AT33" i="10"/>
  <c r="AM31" i="10"/>
  <c r="O24" i="92"/>
  <c r="O23" i="92"/>
  <c r="F72" i="95"/>
  <c r="AN16" i="11"/>
  <c r="K54" i="53"/>
  <c r="AN9" i="12"/>
  <c r="F25" i="95"/>
  <c r="P44" i="92"/>
  <c r="P12" i="92"/>
  <c r="G33" i="92"/>
  <c r="P46" i="92"/>
  <c r="E72" i="95"/>
  <c r="AM16" i="11"/>
  <c r="J54" i="53"/>
  <c r="AM9" i="12"/>
  <c r="AP36" i="10"/>
  <c r="R63" i="92"/>
  <c r="R62" i="92"/>
  <c r="T78" i="92"/>
  <c r="T55" i="92"/>
  <c r="AS13" i="12"/>
  <c r="U66" i="92"/>
  <c r="U78" i="92"/>
  <c r="U55" i="92"/>
  <c r="AT13" i="12"/>
  <c r="AS30" i="10"/>
  <c r="U93" i="92"/>
  <c r="U101" i="92"/>
  <c r="AT30" i="10"/>
  <c r="AP35" i="10"/>
  <c r="R118" i="92"/>
  <c r="R117" i="92"/>
  <c r="AS34" i="10"/>
  <c r="U158" i="92"/>
  <c r="AT34" i="10"/>
  <c r="U157" i="92"/>
  <c r="AS38" i="10"/>
  <c r="U80" i="92"/>
  <c r="U83" i="92"/>
  <c r="AT38" i="10"/>
  <c r="F18" i="7"/>
  <c r="C90" i="101"/>
  <c r="D194" i="95"/>
  <c r="B199" i="95"/>
  <c r="B194" i="95"/>
  <c r="I90" i="101"/>
  <c r="B228" i="95"/>
  <c r="AK105" i="10"/>
  <c r="H48" i="53"/>
  <c r="N58" i="8"/>
  <c r="E185" i="95"/>
  <c r="B205" i="95"/>
  <c r="N34" i="8"/>
  <c r="AK72" i="12"/>
  <c r="F58" i="8"/>
  <c r="K74" i="95"/>
  <c r="K27" i="95"/>
  <c r="AS10" i="10"/>
  <c r="U75" i="2"/>
  <c r="AT10" i="10"/>
  <c r="AS51" i="10"/>
  <c r="U87" i="2"/>
  <c r="AT51" i="10"/>
  <c r="AS65" i="12"/>
  <c r="AS73" i="10"/>
  <c r="AS29" i="10"/>
  <c r="U111" i="2"/>
  <c r="AT29" i="10"/>
  <c r="AS28" i="10"/>
  <c r="U108" i="2"/>
  <c r="AT28" i="10"/>
  <c r="U228" i="2"/>
  <c r="U232" i="2"/>
  <c r="AT41" i="10"/>
  <c r="AT57" i="12"/>
  <c r="AS9" i="10"/>
  <c r="U71" i="2"/>
  <c r="AT9" i="10"/>
  <c r="AS24" i="10"/>
  <c r="U99" i="2"/>
  <c r="AT24" i="10"/>
  <c r="AO100" i="10"/>
  <c r="AO76" i="10"/>
  <c r="L25" i="53"/>
  <c r="AS57" i="12"/>
  <c r="AS61" i="10"/>
  <c r="U91" i="2"/>
  <c r="AT61" i="10"/>
  <c r="AS62" i="12"/>
  <c r="AS41" i="12"/>
  <c r="B233" i="95"/>
  <c r="D232" i="95"/>
  <c r="B231" i="95"/>
  <c r="C232" i="95"/>
  <c r="G232" i="95"/>
  <c r="E232" i="95"/>
  <c r="F232" i="95"/>
  <c r="AS26" i="10"/>
  <c r="U105" i="2"/>
  <c r="AT26" i="10"/>
  <c r="AS50" i="10"/>
  <c r="U83" i="2"/>
  <c r="AT50" i="10"/>
  <c r="U166" i="92"/>
  <c r="U120" i="92"/>
  <c r="U65" i="92"/>
  <c r="U26" i="92"/>
  <c r="F68" i="92" a="1"/>
  <c r="F29" i="92" a="1"/>
  <c r="F123" i="92" a="1"/>
  <c r="AS39" i="10"/>
  <c r="U115" i="2"/>
  <c r="AT39" i="10"/>
  <c r="AT37" i="10"/>
  <c r="AT52" i="12"/>
  <c r="AT47" i="12"/>
  <c r="Q207" i="2"/>
  <c r="AP38" i="11"/>
  <c r="AP19" i="12"/>
  <c r="AP16" i="12"/>
  <c r="Q204" i="2"/>
  <c r="AP49" i="10"/>
  <c r="AR39" i="12"/>
  <c r="AR58" i="12"/>
  <c r="S220" i="2"/>
  <c r="AS107" i="10"/>
  <c r="AT59" i="10"/>
  <c r="AS35" i="12"/>
  <c r="AS23" i="12"/>
  <c r="AR78" i="10"/>
  <c r="AQ61" i="12"/>
  <c r="D48" i="101"/>
  <c r="C51" i="101"/>
  <c r="AT65" i="12"/>
  <c r="AT62" i="12"/>
  <c r="AT73" i="10"/>
  <c r="AT40" i="10"/>
  <c r="AT21" i="12"/>
  <c r="AR20" i="10"/>
  <c r="T79" i="2"/>
  <c r="AS42" i="12"/>
  <c r="I97" i="101"/>
  <c r="I93" i="101"/>
  <c r="I96" i="101"/>
  <c r="I92" i="101"/>
  <c r="I95" i="101"/>
  <c r="I91" i="101"/>
  <c r="I94" i="101"/>
  <c r="C95" i="101"/>
  <c r="C91" i="101"/>
  <c r="C94" i="101"/>
  <c r="C97" i="101"/>
  <c r="C93" i="101"/>
  <c r="C96" i="101"/>
  <c r="C92" i="101"/>
  <c r="B195" i="95"/>
  <c r="P13" i="92"/>
  <c r="Q10" i="92"/>
  <c r="E25" i="95"/>
  <c r="H46" i="8"/>
  <c r="AO32" i="10"/>
  <c r="Q42" i="92"/>
  <c r="AN31" i="10"/>
  <c r="K35" i="53"/>
  <c r="K40" i="53"/>
  <c r="P23" i="92"/>
  <c r="AQ35" i="10"/>
  <c r="S118" i="92"/>
  <c r="S117" i="92"/>
  <c r="AQ36" i="10"/>
  <c r="S62" i="92"/>
  <c r="S63" i="92"/>
  <c r="R33" i="92"/>
  <c r="S33" i="92"/>
  <c r="T33" i="92"/>
  <c r="U33" i="92"/>
  <c r="Q33" i="92"/>
  <c r="P33" i="92"/>
  <c r="P39" i="92"/>
  <c r="P15" i="92"/>
  <c r="AO12" i="12"/>
  <c r="AO11" i="12"/>
  <c r="P11" i="8"/>
  <c r="AM42" i="10"/>
  <c r="P16" i="8"/>
  <c r="P54" i="8"/>
  <c r="J35" i="53"/>
  <c r="J40" i="53"/>
  <c r="E199" i="95"/>
  <c r="D199" i="95"/>
  <c r="G199" i="95"/>
  <c r="B198" i="95"/>
  <c r="C199" i="95"/>
  <c r="B200" i="95"/>
  <c r="F199" i="95"/>
  <c r="N35" i="8"/>
  <c r="AK104" i="10"/>
  <c r="D205" i="95"/>
  <c r="H6" i="53"/>
  <c r="N42" i="8"/>
  <c r="C162" i="95"/>
  <c r="C163" i="95"/>
  <c r="B210" i="95"/>
  <c r="F60" i="8"/>
  <c r="AK76" i="12"/>
  <c r="L221" i="2"/>
  <c r="L223" i="2"/>
  <c r="L74" i="95"/>
  <c r="L27" i="95"/>
  <c r="AR61" i="12"/>
  <c r="AS78" i="10"/>
  <c r="F29" i="92"/>
  <c r="F30" i="92"/>
  <c r="F37" i="92"/>
  <c r="F38" i="92"/>
  <c r="F35" i="92"/>
  <c r="F34" i="92"/>
  <c r="F32" i="92"/>
  <c r="F36" i="92"/>
  <c r="F33" i="92"/>
  <c r="F31" i="92"/>
  <c r="C233" i="95"/>
  <c r="G233" i="95"/>
  <c r="E233" i="95"/>
  <c r="D233" i="95"/>
  <c r="B234" i="95"/>
  <c r="F233" i="95"/>
  <c r="AT45" i="12"/>
  <c r="C52" i="101"/>
  <c r="D51" i="101"/>
  <c r="AP103" i="10"/>
  <c r="M28" i="53"/>
  <c r="AP62" i="10"/>
  <c r="R202" i="2"/>
  <c r="F76" i="92"/>
  <c r="F69" i="92"/>
  <c r="F77" i="92"/>
  <c r="F75" i="92"/>
  <c r="F71" i="92"/>
  <c r="F68" i="92"/>
  <c r="F72" i="92"/>
  <c r="F73" i="92"/>
  <c r="F74" i="92"/>
  <c r="F70" i="92"/>
  <c r="AT42" i="12"/>
  <c r="P15" i="8"/>
  <c r="AT107" i="10"/>
  <c r="AT35" i="12"/>
  <c r="AT23" i="12"/>
  <c r="F231" i="95"/>
  <c r="B230" i="95"/>
  <c r="D231" i="95"/>
  <c r="G231" i="95"/>
  <c r="C231" i="95"/>
  <c r="E231" i="95"/>
  <c r="AS45" i="12"/>
  <c r="AS39" i="12"/>
  <c r="AS58" i="12"/>
  <c r="T220" i="2"/>
  <c r="AT41" i="12"/>
  <c r="AS20" i="10"/>
  <c r="U79" i="2"/>
  <c r="AT20" i="10"/>
  <c r="F131" i="92"/>
  <c r="F124" i="92"/>
  <c r="F126" i="92"/>
  <c r="F129" i="92"/>
  <c r="F132" i="92"/>
  <c r="F123" i="92"/>
  <c r="F127" i="92"/>
  <c r="F128" i="92"/>
  <c r="F130" i="92"/>
  <c r="F125" i="92"/>
  <c r="P24" i="92"/>
  <c r="AO31" i="10"/>
  <c r="L35" i="53"/>
  <c r="L40" i="53"/>
  <c r="AR36" i="10"/>
  <c r="T63" i="92"/>
  <c r="T62" i="92"/>
  <c r="AR35" i="10"/>
  <c r="T118" i="92"/>
  <c r="T117" i="92"/>
  <c r="Q23" i="92"/>
  <c r="AN42" i="10"/>
  <c r="G72" i="95"/>
  <c r="AO16" i="11"/>
  <c r="L54" i="53"/>
  <c r="AO9" i="12"/>
  <c r="G25" i="95"/>
  <c r="Q44" i="92"/>
  <c r="Q12" i="92"/>
  <c r="D200" i="95"/>
  <c r="G200" i="95"/>
  <c r="F200" i="95"/>
  <c r="C200" i="95"/>
  <c r="B201" i="95"/>
  <c r="E200" i="95"/>
  <c r="C198" i="95"/>
  <c r="D198" i="95"/>
  <c r="E198" i="95"/>
  <c r="B197" i="95"/>
  <c r="G198" i="95"/>
  <c r="F198" i="95"/>
  <c r="B206" i="95"/>
  <c r="D210" i="95"/>
  <c r="F210" i="95"/>
  <c r="B211" i="95"/>
  <c r="B209" i="95"/>
  <c r="C210" i="95"/>
  <c r="E210" i="95"/>
  <c r="G210" i="95"/>
  <c r="F61" i="8"/>
  <c r="AK80" i="12"/>
  <c r="AT78" i="10"/>
  <c r="AT61" i="12"/>
  <c r="AS61" i="12"/>
  <c r="E230" i="95"/>
  <c r="D230" i="95"/>
  <c r="C230" i="95"/>
  <c r="F230" i="95"/>
  <c r="G230" i="95"/>
  <c r="D234" i="95"/>
  <c r="F234" i="95"/>
  <c r="C234" i="95"/>
  <c r="G234" i="95"/>
  <c r="E234" i="95"/>
  <c r="R207" i="2"/>
  <c r="AQ38" i="11"/>
  <c r="AQ19" i="12"/>
  <c r="AQ16" i="12"/>
  <c r="R204" i="2"/>
  <c r="AQ49" i="10"/>
  <c r="D52" i="101"/>
  <c r="C55" i="101"/>
  <c r="AP76" i="10"/>
  <c r="M25" i="53"/>
  <c r="AP100" i="10"/>
  <c r="AT39" i="12"/>
  <c r="AT58" i="12"/>
  <c r="U220" i="2"/>
  <c r="Q46" i="92"/>
  <c r="R42" i="92"/>
  <c r="AS36" i="10"/>
  <c r="U63" i="92"/>
  <c r="AT36" i="10"/>
  <c r="U62" i="92"/>
  <c r="AS35" i="10"/>
  <c r="U118" i="92"/>
  <c r="AT35" i="10"/>
  <c r="U117" i="92"/>
  <c r="G34" i="92"/>
  <c r="Q13" i="92"/>
  <c r="R10" i="92"/>
  <c r="AP32" i="10"/>
  <c r="AO42" i="10"/>
  <c r="G197" i="95"/>
  <c r="E197" i="95"/>
  <c r="D197" i="95"/>
  <c r="C197" i="95"/>
  <c r="F197" i="95"/>
  <c r="F201" i="95"/>
  <c r="E201" i="95"/>
  <c r="D201" i="95"/>
  <c r="G201" i="95"/>
  <c r="C201" i="95"/>
  <c r="B208" i="95"/>
  <c r="F209" i="95"/>
  <c r="C209" i="95"/>
  <c r="E209" i="95"/>
  <c r="G209" i="95"/>
  <c r="D209" i="95"/>
  <c r="C211" i="95"/>
  <c r="B212" i="95"/>
  <c r="G211" i="95"/>
  <c r="D211" i="95"/>
  <c r="F211" i="95"/>
  <c r="E211" i="95"/>
  <c r="AL78" i="12"/>
  <c r="M217" i="2"/>
  <c r="L231" i="2"/>
  <c r="C57" i="101"/>
  <c r="D57" i="101"/>
  <c r="C56" i="101"/>
  <c r="D56" i="101"/>
  <c r="D55" i="101"/>
  <c r="AQ103" i="10"/>
  <c r="N28" i="53"/>
  <c r="AQ62" i="10"/>
  <c r="S202" i="2"/>
  <c r="T34" i="92"/>
  <c r="S34" i="92"/>
  <c r="U34" i="92"/>
  <c r="R34" i="92"/>
  <c r="Q34" i="92"/>
  <c r="Q39" i="92"/>
  <c r="Q15" i="92"/>
  <c r="R44" i="92"/>
  <c r="R12" i="92"/>
  <c r="G35" i="92"/>
  <c r="F212" i="95"/>
  <c r="E212" i="95"/>
  <c r="G212" i="95"/>
  <c r="D212" i="95"/>
  <c r="C212" i="95"/>
  <c r="G208" i="95"/>
  <c r="D208" i="95"/>
  <c r="E208" i="95"/>
  <c r="C208" i="95"/>
  <c r="F208" i="95"/>
  <c r="L230" i="2"/>
  <c r="M227" i="2"/>
  <c r="S204" i="2"/>
  <c r="AR49" i="10"/>
  <c r="S207" i="2"/>
  <c r="AR38" i="11"/>
  <c r="AR19" i="12"/>
  <c r="AR16" i="12"/>
  <c r="AQ100" i="10"/>
  <c r="AQ76" i="10"/>
  <c r="N25" i="53"/>
  <c r="U35" i="92"/>
  <c r="T35" i="92"/>
  <c r="S35" i="92"/>
  <c r="R35" i="92"/>
  <c r="R39" i="92"/>
  <c r="R15" i="92"/>
  <c r="AQ12" i="12"/>
  <c r="AQ11" i="12"/>
  <c r="R46" i="92"/>
  <c r="R13" i="92"/>
  <c r="S10" i="92"/>
  <c r="AP12" i="12"/>
  <c r="AP11" i="12"/>
  <c r="Q24" i="92"/>
  <c r="AK8" i="10"/>
  <c r="M226" i="2"/>
  <c r="M210" i="2"/>
  <c r="AR62" i="10"/>
  <c r="AR103" i="10"/>
  <c r="O28" i="53"/>
  <c r="T202" i="2"/>
  <c r="H72" i="95"/>
  <c r="AP16" i="11"/>
  <c r="M54" i="53"/>
  <c r="AP9" i="12"/>
  <c r="H25" i="95"/>
  <c r="I72" i="95"/>
  <c r="AQ16" i="11"/>
  <c r="N54" i="53"/>
  <c r="AQ9" i="12"/>
  <c r="I25" i="95"/>
  <c r="AQ32" i="10"/>
  <c r="S42" i="92"/>
  <c r="AP31" i="10"/>
  <c r="R23" i="92"/>
  <c r="R24" i="92"/>
  <c r="M215" i="2"/>
  <c r="AL36" i="11"/>
  <c r="AL39" i="11"/>
  <c r="H45" i="53"/>
  <c r="AK21" i="10"/>
  <c r="F7" i="7"/>
  <c r="N3" i="8"/>
  <c r="AK106" i="10"/>
  <c r="F6" i="7"/>
  <c r="T204" i="2"/>
  <c r="AS49" i="10"/>
  <c r="T207" i="2"/>
  <c r="AS38" i="11"/>
  <c r="AS19" i="12"/>
  <c r="AS16" i="12"/>
  <c r="AR100" i="10"/>
  <c r="AR76" i="10"/>
  <c r="O25" i="53"/>
  <c r="AP42" i="10"/>
  <c r="M35" i="53"/>
  <c r="M40" i="53"/>
  <c r="S44" i="92"/>
  <c r="S12" i="92"/>
  <c r="AQ31" i="10"/>
  <c r="S23" i="92"/>
  <c r="H44" i="53"/>
  <c r="N60" i="8"/>
  <c r="H43" i="53"/>
  <c r="N59" i="8"/>
  <c r="AK45" i="10"/>
  <c r="N9" i="8"/>
  <c r="N8" i="8"/>
  <c r="AK99" i="10"/>
  <c r="AK101" i="10"/>
  <c r="Z13" i="103"/>
  <c r="G17" i="8"/>
  <c r="X13" i="103"/>
  <c r="AL37" i="11"/>
  <c r="G18" i="8"/>
  <c r="E33" i="101"/>
  <c r="AL73" i="11"/>
  <c r="AL13" i="11"/>
  <c r="Y13" i="103"/>
  <c r="W13" i="103"/>
  <c r="I14" i="53"/>
  <c r="F33" i="101"/>
  <c r="F19" i="101"/>
  <c r="F43" i="101"/>
  <c r="AS62" i="10"/>
  <c r="AS103" i="10"/>
  <c r="P28" i="53"/>
  <c r="U202" i="2"/>
  <c r="S46" i="92"/>
  <c r="AR32" i="10"/>
  <c r="AQ42" i="10"/>
  <c r="G36" i="92"/>
  <c r="S13" i="92"/>
  <c r="T10" i="92"/>
  <c r="N35" i="53"/>
  <c r="N40" i="53"/>
  <c r="T42" i="92"/>
  <c r="E19" i="101"/>
  <c r="G19" i="101"/>
  <c r="M222" i="2"/>
  <c r="AL14" i="11"/>
  <c r="X40" i="103"/>
  <c r="X6" i="103"/>
  <c r="X22" i="103"/>
  <c r="E43" i="101"/>
  <c r="E44" i="101"/>
  <c r="AL74" i="11"/>
  <c r="G29" i="8"/>
  <c r="AL75" i="11"/>
  <c r="AL84" i="11"/>
  <c r="H34" i="53"/>
  <c r="H39" i="53"/>
  <c r="N49" i="8"/>
  <c r="AK102" i="10"/>
  <c r="H49" i="53"/>
  <c r="N57" i="8"/>
  <c r="N17" i="8"/>
  <c r="AK97" i="10"/>
  <c r="N41" i="8"/>
  <c r="N55" i="8"/>
  <c r="H24" i="53"/>
  <c r="H55" i="53"/>
  <c r="H7" i="53"/>
  <c r="F11" i="7"/>
  <c r="AK108" i="10"/>
  <c r="W40" i="103"/>
  <c r="W6" i="103"/>
  <c r="W22" i="103"/>
  <c r="Z40" i="103"/>
  <c r="Z6" i="103"/>
  <c r="Z22" i="103"/>
  <c r="Y40" i="103"/>
  <c r="Y6" i="103"/>
  <c r="Y22" i="103"/>
  <c r="C73" i="95"/>
  <c r="C77" i="95"/>
  <c r="C26" i="95"/>
  <c r="C28" i="95"/>
  <c r="U207" i="2"/>
  <c r="AT38" i="11"/>
  <c r="AT19" i="12"/>
  <c r="AT16" i="12"/>
  <c r="U204" i="2"/>
  <c r="AT49" i="10"/>
  <c r="AS100" i="10"/>
  <c r="AS76" i="10"/>
  <c r="P25" i="53"/>
  <c r="T44" i="92"/>
  <c r="T12" i="92"/>
  <c r="G37" i="92"/>
  <c r="U36" i="92"/>
  <c r="T36" i="92"/>
  <c r="S36" i="92"/>
  <c r="S39" i="92"/>
  <c r="S15" i="92"/>
  <c r="F48" i="101"/>
  <c r="G43" i="101"/>
  <c r="F44" i="101"/>
  <c r="G44" i="101"/>
  <c r="W26" i="103"/>
  <c r="W42" i="103"/>
  <c r="W54" i="103"/>
  <c r="W48" i="103"/>
  <c r="Y26" i="103"/>
  <c r="Y42" i="103"/>
  <c r="Y54" i="103"/>
  <c r="Y48" i="103"/>
  <c r="G32" i="8"/>
  <c r="G33" i="8"/>
  <c r="AL52" i="11"/>
  <c r="AL50" i="11"/>
  <c r="E48" i="101"/>
  <c r="G48" i="101"/>
  <c r="AL85" i="11"/>
  <c r="I11" i="53"/>
  <c r="AL67" i="11"/>
  <c r="M47" i="1"/>
  <c r="AL86" i="11"/>
  <c r="AL45" i="11"/>
  <c r="AL64" i="11"/>
  <c r="AL70" i="11"/>
  <c r="AL58" i="11"/>
  <c r="AL61" i="11"/>
  <c r="AL82" i="11"/>
  <c r="AL55" i="11"/>
  <c r="Z26" i="103"/>
  <c r="Z54" i="103"/>
  <c r="Z48" i="103"/>
  <c r="Z42" i="103"/>
  <c r="G30" i="8"/>
  <c r="I19" i="53"/>
  <c r="X42" i="103"/>
  <c r="X48" i="103"/>
  <c r="X26" i="103"/>
  <c r="X54" i="103"/>
  <c r="T46" i="92"/>
  <c r="AT103" i="10"/>
  <c r="Q28" i="53"/>
  <c r="AT62" i="10"/>
  <c r="AS32" i="10"/>
  <c r="U42" i="92"/>
  <c r="AR12" i="12"/>
  <c r="AR11" i="12"/>
  <c r="S24" i="92"/>
  <c r="T37" i="92"/>
  <c r="T39" i="92"/>
  <c r="T15" i="92"/>
  <c r="AS12" i="12"/>
  <c r="AS11" i="12"/>
  <c r="U37" i="92"/>
  <c r="T13" i="92"/>
  <c r="U10" i="92"/>
  <c r="G19" i="8"/>
  <c r="AL47" i="11"/>
  <c r="D21" i="95"/>
  <c r="D159" i="95"/>
  <c r="AL42" i="11"/>
  <c r="I46" i="53"/>
  <c r="O61" i="8"/>
  <c r="AL46" i="11"/>
  <c r="X29" i="103"/>
  <c r="X41" i="103"/>
  <c r="Z29" i="103"/>
  <c r="Z41" i="103"/>
  <c r="G34" i="8"/>
  <c r="AL88" i="11"/>
  <c r="AL87" i="11"/>
  <c r="E49" i="101"/>
  <c r="Y41" i="103"/>
  <c r="Y29" i="103"/>
  <c r="W29" i="103"/>
  <c r="W41" i="103"/>
  <c r="AT76" i="10"/>
  <c r="Q25" i="53"/>
  <c r="AT100" i="10"/>
  <c r="AR31" i="10"/>
  <c r="T24" i="92"/>
  <c r="T23" i="92"/>
  <c r="J72" i="95"/>
  <c r="AR16" i="11"/>
  <c r="O54" i="53"/>
  <c r="AR9" i="12"/>
  <c r="J25" i="95"/>
  <c r="U44" i="92"/>
  <c r="U12" i="92"/>
  <c r="G38" i="92"/>
  <c r="U38" i="92"/>
  <c r="U39" i="92"/>
  <c r="U15" i="92"/>
  <c r="AT12" i="12"/>
  <c r="AT11" i="12"/>
  <c r="K72" i="95"/>
  <c r="AS16" i="11"/>
  <c r="P54" i="53"/>
  <c r="AS9" i="12"/>
  <c r="K25" i="95"/>
  <c r="X49" i="103"/>
  <c r="X55" i="103"/>
  <c r="X43" i="103"/>
  <c r="X30" i="103"/>
  <c r="I10" i="53"/>
  <c r="G20" i="8"/>
  <c r="W55" i="103"/>
  <c r="W49" i="103"/>
  <c r="W43" i="103"/>
  <c r="W30" i="103"/>
  <c r="AL100" i="11"/>
  <c r="D160" i="95"/>
  <c r="D161" i="95"/>
  <c r="G35" i="8"/>
  <c r="E50" i="101"/>
  <c r="D9" i="101"/>
  <c r="E9" i="101"/>
  <c r="F50" i="101"/>
  <c r="G50" i="101"/>
  <c r="D22" i="95"/>
  <c r="D23" i="95"/>
  <c r="Z49" i="103"/>
  <c r="Z43" i="103"/>
  <c r="Z55" i="103"/>
  <c r="Z30" i="103"/>
  <c r="O47" i="8"/>
  <c r="I22" i="53"/>
  <c r="Y30" i="103"/>
  <c r="Y43" i="103"/>
  <c r="Y55" i="103"/>
  <c r="Y49" i="103"/>
  <c r="AL90" i="11"/>
  <c r="G36" i="8"/>
  <c r="AL89" i="11"/>
  <c r="AL7" i="12"/>
  <c r="AL36" i="12"/>
  <c r="E51" i="101"/>
  <c r="M50" i="1"/>
  <c r="AL91" i="11"/>
  <c r="I23" i="53"/>
  <c r="AL43" i="11"/>
  <c r="I9" i="53"/>
  <c r="I47" i="53"/>
  <c r="AL44" i="11"/>
  <c r="U46" i="92"/>
  <c r="AT32" i="10"/>
  <c r="U13" i="92"/>
  <c r="AS31" i="10"/>
  <c r="U24" i="92"/>
  <c r="AT31" i="10"/>
  <c r="U23" i="92"/>
  <c r="L72" i="95"/>
  <c r="AT16" i="11"/>
  <c r="Q54" i="53"/>
  <c r="AT9" i="12"/>
  <c r="L25" i="95"/>
  <c r="AR42" i="10"/>
  <c r="O35" i="53"/>
  <c r="O40" i="53"/>
  <c r="AT42" i="10"/>
  <c r="F49" i="101"/>
  <c r="F51" i="101"/>
  <c r="O43" i="8"/>
  <c r="I12" i="53"/>
  <c r="AL94" i="11"/>
  <c r="AL91" i="10"/>
  <c r="O33" i="8"/>
  <c r="E52" i="101"/>
  <c r="AL92" i="11"/>
  <c r="E53" i="101"/>
  <c r="G37" i="8"/>
  <c r="G45" i="8"/>
  <c r="I27" i="53"/>
  <c r="AL82" i="12"/>
  <c r="G19" i="7"/>
  <c r="F187" i="95"/>
  <c r="G28" i="7"/>
  <c r="G49" i="8"/>
  <c r="M219" i="2"/>
  <c r="Q35" i="53"/>
  <c r="Q40" i="53"/>
  <c r="AS42" i="10"/>
  <c r="P35" i="53"/>
  <c r="P40" i="53"/>
  <c r="G49" i="101"/>
  <c r="M164" i="2"/>
  <c r="M163" i="2"/>
  <c r="AL99" i="11"/>
  <c r="AL86" i="10"/>
  <c r="AL95" i="11"/>
  <c r="G40" i="8"/>
  <c r="G23" i="7"/>
  <c r="G25" i="7"/>
  <c r="G38" i="8"/>
  <c r="G44" i="8"/>
  <c r="AL87" i="10"/>
  <c r="AL96" i="11"/>
  <c r="AL105" i="11"/>
  <c r="D71" i="95"/>
  <c r="E55" i="101"/>
  <c r="I53" i="53"/>
  <c r="G14" i="7"/>
  <c r="D10" i="101"/>
  <c r="E10" i="101"/>
  <c r="F53" i="101"/>
  <c r="G53" i="101"/>
  <c r="S91" i="101"/>
  <c r="S94" i="101"/>
  <c r="P96" i="101"/>
  <c r="M96" i="101"/>
  <c r="O97" i="101"/>
  <c r="S95" i="101"/>
  <c r="Q92" i="101"/>
  <c r="M93" i="101"/>
  <c r="O91" i="101"/>
  <c r="R96" i="101"/>
  <c r="O96" i="101"/>
  <c r="N94" i="101"/>
  <c r="N97" i="101"/>
  <c r="M92" i="101"/>
  <c r="M97" i="101"/>
  <c r="P92" i="101"/>
  <c r="S97" i="101"/>
  <c r="O92" i="101"/>
  <c r="N93" i="101"/>
  <c r="Q97" i="101"/>
  <c r="P95" i="101"/>
  <c r="R91" i="101"/>
  <c r="R92" i="101"/>
  <c r="Q94" i="101"/>
  <c r="P91" i="101"/>
  <c r="O95" i="101"/>
  <c r="M91" i="101"/>
  <c r="O94" i="101"/>
  <c r="Q91" i="101"/>
  <c r="Q93" i="101"/>
  <c r="P97" i="101"/>
  <c r="S96" i="101"/>
  <c r="N96" i="101"/>
  <c r="R97" i="101"/>
  <c r="R95" i="101"/>
  <c r="Q95" i="101"/>
  <c r="P94" i="101"/>
  <c r="S92" i="101"/>
  <c r="S93" i="101"/>
  <c r="N95" i="101"/>
  <c r="N92" i="101"/>
  <c r="Q96" i="101"/>
  <c r="R93" i="101"/>
  <c r="N91" i="101"/>
  <c r="P93" i="101"/>
  <c r="R94" i="101"/>
  <c r="M94" i="101"/>
  <c r="O93" i="101"/>
  <c r="M95" i="101"/>
  <c r="S84" i="101"/>
  <c r="O79" i="101"/>
  <c r="R81" i="101"/>
  <c r="R79" i="101"/>
  <c r="P79" i="101"/>
  <c r="N82" i="101"/>
  <c r="O81" i="101"/>
  <c r="Q80" i="101"/>
  <c r="S79" i="101"/>
  <c r="Q79" i="101"/>
  <c r="M79" i="101"/>
  <c r="Q85" i="101"/>
  <c r="Q82" i="101"/>
  <c r="P81" i="101"/>
  <c r="R82" i="101"/>
  <c r="S83" i="101"/>
  <c r="O84" i="101"/>
  <c r="M81" i="101"/>
  <c r="P85" i="101"/>
  <c r="R85" i="101"/>
  <c r="M80" i="101"/>
  <c r="N81" i="101"/>
  <c r="O82" i="101"/>
  <c r="R83" i="101"/>
  <c r="S81" i="101"/>
  <c r="M83" i="101"/>
  <c r="M85" i="101"/>
  <c r="O83" i="101"/>
  <c r="P83" i="101"/>
  <c r="P84" i="101"/>
  <c r="N83" i="101"/>
  <c r="M82" i="101"/>
  <c r="O85" i="101"/>
  <c r="M84" i="101"/>
  <c r="Q81" i="101"/>
  <c r="S82" i="101"/>
  <c r="N84" i="101"/>
  <c r="R80" i="101"/>
  <c r="N79" i="101"/>
  <c r="S80" i="101"/>
  <c r="P80" i="101"/>
  <c r="O80" i="101"/>
  <c r="R84" i="101"/>
  <c r="P82" i="101"/>
  <c r="N85" i="101"/>
  <c r="Q83" i="101"/>
  <c r="N80" i="101"/>
  <c r="Q84" i="101"/>
  <c r="S85" i="101"/>
  <c r="G51" i="101"/>
  <c r="F52" i="101"/>
  <c r="G52" i="101"/>
  <c r="I20" i="53"/>
  <c r="G9" i="7"/>
  <c r="G27" i="7"/>
  <c r="G39" i="8"/>
  <c r="O48" i="8"/>
  <c r="E57" i="101"/>
  <c r="E56" i="101"/>
  <c r="AL89" i="10"/>
  <c r="I13" i="53"/>
  <c r="I21" i="53"/>
  <c r="F184" i="95"/>
  <c r="G16" i="7"/>
  <c r="M165" i="2"/>
  <c r="AL70" i="12"/>
  <c r="D117" i="95"/>
  <c r="F55" i="101"/>
  <c r="G55" i="101"/>
  <c r="G18" i="7"/>
  <c r="I5" i="53"/>
  <c r="G10" i="7"/>
  <c r="I50" i="53"/>
  <c r="G15" i="7"/>
  <c r="G24" i="7"/>
  <c r="G26" i="7"/>
  <c r="O40" i="8"/>
  <c r="AL93" i="10"/>
  <c r="O32" i="8"/>
  <c r="I26" i="53"/>
  <c r="AL72" i="12"/>
  <c r="G58" i="8"/>
  <c r="F57" i="101"/>
  <c r="G57" i="101"/>
  <c r="F56" i="101"/>
  <c r="G56" i="101"/>
  <c r="G17" i="7"/>
  <c r="F185" i="95"/>
  <c r="O34" i="8"/>
  <c r="AL95" i="10"/>
  <c r="I48" i="53"/>
  <c r="O58" i="8"/>
  <c r="AL105" i="10"/>
  <c r="AL76" i="12"/>
  <c r="M221" i="2"/>
  <c r="M223" i="2"/>
  <c r="G60" i="8"/>
  <c r="AL104" i="10"/>
  <c r="O35" i="8"/>
  <c r="AL80" i="12"/>
  <c r="G61" i="8"/>
  <c r="D162" i="95"/>
  <c r="D163" i="95"/>
  <c r="I6" i="53"/>
  <c r="O42" i="8"/>
  <c r="AM78" i="12"/>
  <c r="N217" i="2"/>
  <c r="M231" i="2"/>
  <c r="N227" i="2"/>
  <c r="M230" i="2"/>
  <c r="N226" i="2"/>
  <c r="N210" i="2"/>
  <c r="AL8" i="10"/>
  <c r="I45" i="53"/>
  <c r="G7" i="7"/>
  <c r="G6" i="7"/>
  <c r="O3" i="8"/>
  <c r="AL106" i="10"/>
  <c r="AL21" i="10"/>
  <c r="AM39" i="11"/>
  <c r="N215" i="2"/>
  <c r="AM36" i="11"/>
  <c r="J14" i="53"/>
  <c r="H17" i="8"/>
  <c r="AM13" i="11"/>
  <c r="H33" i="101"/>
  <c r="AA13" i="103"/>
  <c r="AM37" i="11"/>
  <c r="H18" i="8"/>
  <c r="AC13" i="103"/>
  <c r="AB13" i="103"/>
  <c r="AD13" i="103"/>
  <c r="I33" i="101"/>
  <c r="I19" i="101"/>
  <c r="I43" i="101"/>
  <c r="AM73" i="11"/>
  <c r="I44" i="53"/>
  <c r="O60" i="8"/>
  <c r="AL99" i="10"/>
  <c r="AL101" i="10"/>
  <c r="I43" i="53"/>
  <c r="O59" i="8"/>
  <c r="O9" i="8"/>
  <c r="O8" i="8"/>
  <c r="AL45" i="10"/>
  <c r="H43" i="101"/>
  <c r="H44" i="101"/>
  <c r="AM75" i="11"/>
  <c r="H29" i="8"/>
  <c r="AM84" i="11"/>
  <c r="AM74" i="11"/>
  <c r="AC6" i="103"/>
  <c r="AC22" i="103"/>
  <c r="AC40" i="103"/>
  <c r="H19" i="101"/>
  <c r="J19" i="101"/>
  <c r="N222" i="2"/>
  <c r="AM14" i="11"/>
  <c r="I24" i="53"/>
  <c r="AL97" i="10"/>
  <c r="O55" i="8"/>
  <c r="AL102" i="10"/>
  <c r="I49" i="53"/>
  <c r="O57" i="8"/>
  <c r="I7" i="53"/>
  <c r="G11" i="7"/>
  <c r="O49" i="8"/>
  <c r="I34" i="53"/>
  <c r="I39" i="53"/>
  <c r="AL108" i="10"/>
  <c r="O17" i="8"/>
  <c r="I55" i="53"/>
  <c r="O41" i="8"/>
  <c r="I44" i="101"/>
  <c r="J44" i="101"/>
  <c r="I48" i="101"/>
  <c r="AB6" i="103"/>
  <c r="AB22" i="103"/>
  <c r="AB40" i="103"/>
  <c r="J43" i="101"/>
  <c r="D73" i="95"/>
  <c r="D77" i="95"/>
  <c r="D26" i="95"/>
  <c r="D28" i="95"/>
  <c r="AD40" i="103"/>
  <c r="AD6" i="103"/>
  <c r="AD22" i="103"/>
  <c r="AA6" i="103"/>
  <c r="AA22" i="103"/>
  <c r="AA40" i="103"/>
  <c r="AB48" i="103"/>
  <c r="AB42" i="103"/>
  <c r="AB54" i="103"/>
  <c r="AB26" i="103"/>
  <c r="AM82" i="11"/>
  <c r="AM61" i="11"/>
  <c r="H32" i="8"/>
  <c r="H33" i="8"/>
  <c r="AM70" i="11"/>
  <c r="AM67" i="11"/>
  <c r="AM50" i="11"/>
  <c r="AM58" i="11"/>
  <c r="N47" i="1"/>
  <c r="AM86" i="11"/>
  <c r="H48" i="101"/>
  <c r="J48" i="101"/>
  <c r="AM85" i="11"/>
  <c r="J11" i="53"/>
  <c r="AM55" i="11"/>
  <c r="AM45" i="11"/>
  <c r="AM52" i="11"/>
  <c r="AM64" i="11"/>
  <c r="AA26" i="103"/>
  <c r="AA54" i="103"/>
  <c r="AA42" i="103"/>
  <c r="AA48" i="103"/>
  <c r="AC42" i="103"/>
  <c r="AC54" i="103"/>
  <c r="AC26" i="103"/>
  <c r="AC48" i="103"/>
  <c r="J19" i="53"/>
  <c r="H30" i="8"/>
  <c r="AD42" i="103"/>
  <c r="AD48" i="103"/>
  <c r="AD54" i="103"/>
  <c r="AD26" i="103"/>
  <c r="AM88" i="11"/>
  <c r="H49" i="101"/>
  <c r="H34" i="8"/>
  <c r="AM87" i="11"/>
  <c r="AA41" i="103"/>
  <c r="AA29" i="103"/>
  <c r="AB29" i="103"/>
  <c r="AB41" i="103"/>
  <c r="AD41" i="103"/>
  <c r="AD29" i="103"/>
  <c r="J46" i="53"/>
  <c r="P61" i="8"/>
  <c r="AM47" i="11"/>
  <c r="AM42" i="11"/>
  <c r="E21" i="95"/>
  <c r="AM46" i="11"/>
  <c r="H19" i="8"/>
  <c r="E159" i="95"/>
  <c r="AC29" i="103"/>
  <c r="AC41" i="103"/>
  <c r="AM100" i="11"/>
  <c r="H35" i="8"/>
  <c r="E160" i="95"/>
  <c r="E161" i="95"/>
  <c r="H50" i="101"/>
  <c r="F9" i="101"/>
  <c r="G9" i="101"/>
  <c r="I50" i="101"/>
  <c r="E22" i="95"/>
  <c r="E23" i="95"/>
  <c r="H20" i="8"/>
  <c r="J10" i="53"/>
  <c r="AB43" i="103"/>
  <c r="AB30" i="103"/>
  <c r="AB55" i="103"/>
  <c r="AB49" i="103"/>
  <c r="P47" i="8"/>
  <c r="J22" i="53"/>
  <c r="AD30" i="103"/>
  <c r="AD43" i="103"/>
  <c r="AD55" i="103"/>
  <c r="AD49" i="103"/>
  <c r="AA30" i="103"/>
  <c r="AA49" i="103"/>
  <c r="AA55" i="103"/>
  <c r="AA43" i="103"/>
  <c r="AC49" i="103"/>
  <c r="AC55" i="103"/>
  <c r="AC43" i="103"/>
  <c r="AC30" i="103"/>
  <c r="AM44" i="11"/>
  <c r="AM43" i="11"/>
  <c r="J9" i="53"/>
  <c r="J23" i="53"/>
  <c r="J47" i="53"/>
  <c r="AM7" i="12"/>
  <c r="AM36" i="12"/>
  <c r="H51" i="101"/>
  <c r="N50" i="1"/>
  <c r="AM91" i="11"/>
  <c r="AM94" i="11"/>
  <c r="AM90" i="11"/>
  <c r="AM89" i="11"/>
  <c r="H36" i="8"/>
  <c r="N164" i="2"/>
  <c r="N163" i="2"/>
  <c r="H14" i="7"/>
  <c r="AM96" i="11"/>
  <c r="H55" i="101"/>
  <c r="AM86" i="10"/>
  <c r="H38" i="8"/>
  <c r="H44" i="8"/>
  <c r="E71" i="95"/>
  <c r="AM95" i="11"/>
  <c r="H40" i="8"/>
  <c r="AM99" i="11"/>
  <c r="H23" i="7"/>
  <c r="H25" i="7"/>
  <c r="AM105" i="11"/>
  <c r="J50" i="101"/>
  <c r="I49" i="101"/>
  <c r="J12" i="53"/>
  <c r="P43" i="8"/>
  <c r="H49" i="8"/>
  <c r="G187" i="95"/>
  <c r="H19" i="7"/>
  <c r="N219" i="2"/>
  <c r="J27" i="53"/>
  <c r="AM82" i="12"/>
  <c r="H28" i="7"/>
  <c r="J53" i="53"/>
  <c r="H52" i="101"/>
  <c r="H37" i="8"/>
  <c r="H45" i="8"/>
  <c r="AM92" i="11"/>
  <c r="H53" i="101"/>
  <c r="F10" i="101"/>
  <c r="G10" i="101"/>
  <c r="I53" i="101"/>
  <c r="J53" i="101"/>
  <c r="AM91" i="10"/>
  <c r="P33" i="8"/>
  <c r="AM70" i="12"/>
  <c r="E117" i="95"/>
  <c r="N165" i="2"/>
  <c r="AM87" i="10"/>
  <c r="AM89" i="10"/>
  <c r="J49" i="101"/>
  <c r="I51" i="101"/>
  <c r="J51" i="101"/>
  <c r="J20" i="53"/>
  <c r="H39" i="8"/>
  <c r="H9" i="7"/>
  <c r="H27" i="7"/>
  <c r="P48" i="8"/>
  <c r="I52" i="101"/>
  <c r="J52" i="101"/>
  <c r="J13" i="53"/>
  <c r="J21" i="53"/>
  <c r="G184" i="95"/>
  <c r="H16" i="7"/>
  <c r="H18" i="7"/>
  <c r="H57" i="101"/>
  <c r="H56" i="101"/>
  <c r="I55" i="101"/>
  <c r="P40" i="8"/>
  <c r="H24" i="7"/>
  <c r="H26" i="7"/>
  <c r="J26" i="53"/>
  <c r="J50" i="53"/>
  <c r="H15" i="7"/>
  <c r="AM93" i="10"/>
  <c r="P32" i="8"/>
  <c r="J5" i="53"/>
  <c r="H10" i="7"/>
  <c r="C136" i="95"/>
  <c r="C144" i="95"/>
  <c r="C134" i="95"/>
  <c r="C142" i="95"/>
  <c r="C138" i="95"/>
  <c r="C146" i="95"/>
  <c r="E140" i="95"/>
  <c r="E148" i="95"/>
  <c r="G138" i="95"/>
  <c r="G146" i="95"/>
  <c r="D138" i="95"/>
  <c r="D146" i="95"/>
  <c r="D136" i="95"/>
  <c r="D144" i="95"/>
  <c r="F134" i="95"/>
  <c r="F142" i="95"/>
  <c r="G134" i="95"/>
  <c r="G142" i="95"/>
  <c r="G135" i="95"/>
  <c r="G143" i="95"/>
  <c r="H138" i="95"/>
  <c r="H146" i="95"/>
  <c r="H136" i="95"/>
  <c r="H144" i="95"/>
  <c r="D135" i="95"/>
  <c r="D143" i="95"/>
  <c r="I135" i="95"/>
  <c r="I143" i="95"/>
  <c r="I139" i="95"/>
  <c r="I147" i="95"/>
  <c r="I140" i="95"/>
  <c r="I148" i="95"/>
  <c r="I136" i="95"/>
  <c r="I144" i="95"/>
  <c r="C135" i="95"/>
  <c r="C143" i="95"/>
  <c r="D134" i="95"/>
  <c r="D142" i="95"/>
  <c r="D137" i="95"/>
  <c r="D145" i="95"/>
  <c r="E136" i="95"/>
  <c r="E144" i="95"/>
  <c r="F137" i="95"/>
  <c r="F145" i="95"/>
  <c r="C140" i="95"/>
  <c r="C148" i="95"/>
  <c r="B124" i="95"/>
  <c r="G140" i="95"/>
  <c r="G148" i="95"/>
  <c r="E134" i="95"/>
  <c r="E142" i="95"/>
  <c r="F136" i="95"/>
  <c r="F144" i="95"/>
  <c r="C137" i="95"/>
  <c r="C145" i="95"/>
  <c r="F139" i="95"/>
  <c r="F147" i="95"/>
  <c r="I138" i="95"/>
  <c r="I146" i="95"/>
  <c r="E139" i="95"/>
  <c r="E147" i="95"/>
  <c r="F140" i="95"/>
  <c r="F148" i="95"/>
  <c r="B126" i="95"/>
  <c r="G139" i="95"/>
  <c r="G147" i="95"/>
  <c r="G137" i="95"/>
  <c r="G145" i="95"/>
  <c r="C139" i="95"/>
  <c r="C147" i="95"/>
  <c r="F138" i="95"/>
  <c r="F146" i="95"/>
  <c r="G136" i="95"/>
  <c r="G144" i="95"/>
  <c r="H137" i="95"/>
  <c r="H145" i="95"/>
  <c r="E138" i="95"/>
  <c r="E146" i="95"/>
  <c r="I134" i="95"/>
  <c r="I142" i="95"/>
  <c r="E137" i="95"/>
  <c r="E145" i="95"/>
  <c r="F135" i="95"/>
  <c r="F143" i="95"/>
  <c r="E135" i="95"/>
  <c r="E143" i="95"/>
  <c r="H135" i="95"/>
  <c r="H143" i="95"/>
  <c r="D139" i="95"/>
  <c r="D147" i="95"/>
  <c r="H139" i="95"/>
  <c r="H147" i="95"/>
  <c r="H134" i="95"/>
  <c r="H142" i="95"/>
  <c r="D140" i="95"/>
  <c r="D148" i="95"/>
  <c r="I137" i="95"/>
  <c r="I145" i="95"/>
  <c r="H140" i="95"/>
  <c r="H148" i="95"/>
  <c r="H58" i="8"/>
  <c r="AM72" i="12"/>
  <c r="I56" i="101"/>
  <c r="J56" i="101"/>
  <c r="J55" i="101"/>
  <c r="I57" i="101"/>
  <c r="J57" i="101"/>
  <c r="B127" i="95"/>
  <c r="D152" i="95"/>
  <c r="J48" i="53"/>
  <c r="P58" i="8"/>
  <c r="AM95" i="10"/>
  <c r="P34" i="8"/>
  <c r="AM105" i="10"/>
  <c r="D154" i="95"/>
  <c r="C154" i="95"/>
  <c r="AM76" i="12"/>
  <c r="N221" i="2"/>
  <c r="N223" i="2"/>
  <c r="H60" i="8"/>
  <c r="G185" i="95"/>
  <c r="H17" i="7"/>
  <c r="B129" i="95"/>
  <c r="B133" i="95"/>
  <c r="B141" i="95"/>
  <c r="C152" i="95"/>
  <c r="B153" i="95"/>
  <c r="B154" i="95"/>
  <c r="D153" i="95"/>
  <c r="B152" i="95"/>
  <c r="C153" i="95"/>
  <c r="P35" i="8"/>
  <c r="AM104" i="10"/>
  <c r="B115" i="95"/>
  <c r="J6" i="53"/>
  <c r="P42" i="8"/>
  <c r="E162" i="95"/>
  <c r="E163" i="95"/>
  <c r="AM80" i="12"/>
  <c r="H61" i="8"/>
  <c r="N231" i="2"/>
  <c r="AN78" i="12"/>
  <c r="O217" i="2"/>
  <c r="B169" i="95"/>
  <c r="B167" i="95"/>
  <c r="B170" i="95"/>
  <c r="B173" i="95"/>
  <c r="O227" i="2"/>
  <c r="N230" i="2"/>
  <c r="O226" i="2"/>
  <c r="O210" i="2"/>
  <c r="AM8" i="10"/>
  <c r="B179" i="95"/>
  <c r="D178" i="95"/>
  <c r="C180" i="95"/>
  <c r="D180" i="95"/>
  <c r="B178" i="95"/>
  <c r="C178" i="95"/>
  <c r="B175" i="95"/>
  <c r="B157" i="95"/>
  <c r="D179" i="95"/>
  <c r="C179" i="95"/>
  <c r="B180" i="95"/>
  <c r="AM21" i="10"/>
  <c r="P3" i="8"/>
  <c r="AM106" i="10"/>
  <c r="J45" i="53"/>
  <c r="H7" i="7"/>
  <c r="H6" i="7"/>
  <c r="AN39" i="11"/>
  <c r="O215" i="2"/>
  <c r="AN36" i="11"/>
  <c r="AN37" i="11"/>
  <c r="AN73" i="11"/>
  <c r="K14" i="53"/>
  <c r="AN13" i="11"/>
  <c r="AM99" i="10"/>
  <c r="AM101" i="10"/>
  <c r="AM45" i="10"/>
  <c r="P9" i="8"/>
  <c r="P8" i="8"/>
  <c r="J43" i="53"/>
  <c r="P59" i="8"/>
  <c r="J44" i="53"/>
  <c r="P60" i="8"/>
  <c r="O222" i="2"/>
  <c r="AN14" i="11"/>
  <c r="AM108" i="10"/>
  <c r="J7" i="53"/>
  <c r="H11" i="7"/>
  <c r="AM97" i="10"/>
  <c r="P55" i="8"/>
  <c r="J34" i="53"/>
  <c r="J39" i="53"/>
  <c r="P17" i="8"/>
  <c r="J55" i="53"/>
  <c r="J24" i="53"/>
  <c r="P49" i="8"/>
  <c r="P41" i="8"/>
  <c r="AM102" i="10"/>
  <c r="J49" i="53"/>
  <c r="P57" i="8"/>
  <c r="AN84" i="11"/>
  <c r="AN74" i="11"/>
  <c r="AN75" i="11"/>
  <c r="K19" i="53"/>
  <c r="E73" i="95"/>
  <c r="E77" i="95"/>
  <c r="E26" i="95"/>
  <c r="E28" i="95"/>
  <c r="F53" i="95"/>
  <c r="D53" i="95"/>
  <c r="C53" i="95"/>
  <c r="C61" i="95"/>
  <c r="I53" i="95"/>
  <c r="I61" i="95"/>
  <c r="E53" i="95"/>
  <c r="E61" i="95"/>
  <c r="G53" i="95"/>
  <c r="H53" i="95"/>
  <c r="H61" i="95"/>
  <c r="E51" i="95"/>
  <c r="E59" i="95"/>
  <c r="C49" i="95"/>
  <c r="C57" i="95"/>
  <c r="D48" i="95"/>
  <c r="D56" i="95"/>
  <c r="E47" i="95"/>
  <c r="E55" i="95"/>
  <c r="E50" i="95"/>
  <c r="E58" i="95"/>
  <c r="G52" i="95"/>
  <c r="G60" i="95"/>
  <c r="I50" i="95"/>
  <c r="I58" i="95"/>
  <c r="I49" i="95"/>
  <c r="I57" i="95"/>
  <c r="E49" i="95"/>
  <c r="E57" i="95"/>
  <c r="H48" i="95"/>
  <c r="H56" i="95"/>
  <c r="G50" i="95"/>
  <c r="G58" i="95"/>
  <c r="D49" i="95"/>
  <c r="D57" i="95"/>
  <c r="D50" i="95"/>
  <c r="D58" i="95"/>
  <c r="F49" i="95"/>
  <c r="F57" i="95"/>
  <c r="D47" i="95"/>
  <c r="D55" i="95"/>
  <c r="B35" i="95"/>
  <c r="G61" i="95"/>
  <c r="C47" i="95"/>
  <c r="C55" i="95"/>
  <c r="G51" i="95"/>
  <c r="G59" i="95"/>
  <c r="H49" i="95"/>
  <c r="H57" i="95"/>
  <c r="G49" i="95"/>
  <c r="G57" i="95"/>
  <c r="F50" i="95"/>
  <c r="F58" i="95"/>
  <c r="D61" i="95"/>
  <c r="C48" i="95"/>
  <c r="C56" i="95"/>
  <c r="H47" i="95"/>
  <c r="H55" i="95"/>
  <c r="D51" i="95"/>
  <c r="D59" i="95"/>
  <c r="I48" i="95"/>
  <c r="I56" i="95"/>
  <c r="H52" i="95"/>
  <c r="H60" i="95"/>
  <c r="B33" i="95"/>
  <c r="F47" i="95"/>
  <c r="F55" i="95"/>
  <c r="F48" i="95"/>
  <c r="F56" i="95"/>
  <c r="G48" i="95"/>
  <c r="G56" i="95"/>
  <c r="I51" i="95"/>
  <c r="I59" i="95"/>
  <c r="H51" i="95"/>
  <c r="H59" i="95"/>
  <c r="F51" i="95"/>
  <c r="F59" i="95"/>
  <c r="E52" i="95"/>
  <c r="E60" i="95"/>
  <c r="G47" i="95"/>
  <c r="G55" i="95"/>
  <c r="H50" i="95"/>
  <c r="H58" i="95"/>
  <c r="C50" i="95"/>
  <c r="C58" i="95"/>
  <c r="I47" i="95"/>
  <c r="I55" i="95"/>
  <c r="F52" i="95"/>
  <c r="F60" i="95"/>
  <c r="D52" i="95"/>
  <c r="D60" i="95"/>
  <c r="C52" i="95"/>
  <c r="C60" i="95"/>
  <c r="F61" i="95"/>
  <c r="E48" i="95"/>
  <c r="E56" i="95"/>
  <c r="I52" i="95"/>
  <c r="I60" i="95"/>
  <c r="C51" i="95"/>
  <c r="C59" i="95"/>
  <c r="AN70" i="11"/>
  <c r="AN67" i="11"/>
  <c r="AN52" i="11"/>
  <c r="AN61" i="11"/>
  <c r="AN64" i="11"/>
  <c r="AN55" i="11"/>
  <c r="AN45" i="11"/>
  <c r="AN85" i="11"/>
  <c r="K11" i="53"/>
  <c r="O47" i="1"/>
  <c r="AN86" i="11"/>
  <c r="AN50" i="11"/>
  <c r="AN58" i="11"/>
  <c r="AN82" i="11"/>
  <c r="H97" i="95"/>
  <c r="H105" i="95"/>
  <c r="I97" i="95"/>
  <c r="I105" i="95"/>
  <c r="D93" i="95"/>
  <c r="D101" i="95"/>
  <c r="F98" i="95"/>
  <c r="F106" i="95"/>
  <c r="I94" i="95"/>
  <c r="I102" i="95"/>
  <c r="F94" i="95"/>
  <c r="F102" i="95"/>
  <c r="F92" i="95"/>
  <c r="F100" i="95"/>
  <c r="G93" i="95"/>
  <c r="G101" i="95"/>
  <c r="C93" i="95"/>
  <c r="C101" i="95"/>
  <c r="E95" i="95"/>
  <c r="E103" i="95"/>
  <c r="E98" i="95"/>
  <c r="E106" i="95"/>
  <c r="D92" i="95"/>
  <c r="D100" i="95"/>
  <c r="H92" i="95"/>
  <c r="H100" i="95"/>
  <c r="C96" i="95"/>
  <c r="C104" i="95"/>
  <c r="B84" i="95"/>
  <c r="I93" i="95"/>
  <c r="I101" i="95"/>
  <c r="C98" i="95"/>
  <c r="C106" i="95"/>
  <c r="H94" i="95"/>
  <c r="H102" i="95"/>
  <c r="I92" i="95"/>
  <c r="I100" i="95"/>
  <c r="H98" i="95"/>
  <c r="H106" i="95"/>
  <c r="D96" i="95"/>
  <c r="D104" i="95"/>
  <c r="I95" i="95"/>
  <c r="I103" i="95"/>
  <c r="D98" i="95"/>
  <c r="D106" i="95"/>
  <c r="H93" i="95"/>
  <c r="H101" i="95"/>
  <c r="B82" i="95"/>
  <c r="C92" i="95"/>
  <c r="C100" i="95"/>
  <c r="E92" i="95"/>
  <c r="E100" i="95"/>
  <c r="E97" i="95"/>
  <c r="E105" i="95"/>
  <c r="D95" i="95"/>
  <c r="D103" i="95"/>
  <c r="E94" i="95"/>
  <c r="E102" i="95"/>
  <c r="D97" i="95"/>
  <c r="D105" i="95"/>
  <c r="G95" i="95"/>
  <c r="G103" i="95"/>
  <c r="F97" i="95"/>
  <c r="F105" i="95"/>
  <c r="G97" i="95"/>
  <c r="G105" i="95"/>
  <c r="E96" i="95"/>
  <c r="E104" i="95"/>
  <c r="D94" i="95"/>
  <c r="D102" i="95"/>
  <c r="G98" i="95"/>
  <c r="G106" i="95"/>
  <c r="F93" i="95"/>
  <c r="F101" i="95"/>
  <c r="H96" i="95"/>
  <c r="H104" i="95"/>
  <c r="C95" i="95"/>
  <c r="C103" i="95"/>
  <c r="C97" i="95"/>
  <c r="C105" i="95"/>
  <c r="G92" i="95"/>
  <c r="G100" i="95"/>
  <c r="F95" i="95"/>
  <c r="F103" i="95"/>
  <c r="I98" i="95"/>
  <c r="I106" i="95"/>
  <c r="C94" i="95"/>
  <c r="C102" i="95"/>
  <c r="E93" i="95"/>
  <c r="E101" i="95"/>
  <c r="G94" i="95"/>
  <c r="G102" i="95"/>
  <c r="H95" i="95"/>
  <c r="H103" i="95"/>
  <c r="F96" i="95"/>
  <c r="F104" i="95"/>
  <c r="G96" i="95"/>
  <c r="G104" i="95"/>
  <c r="I96" i="95"/>
  <c r="I104" i="95"/>
  <c r="B36" i="95"/>
  <c r="B40" i="95"/>
  <c r="B67" i="95"/>
  <c r="B85" i="95"/>
  <c r="B87" i="95"/>
  <c r="B69" i="95"/>
  <c r="AN87" i="11"/>
  <c r="AN100" i="11"/>
  <c r="AN88" i="11"/>
  <c r="F159" i="95"/>
  <c r="AN46" i="11"/>
  <c r="K10" i="53"/>
  <c r="F21" i="95"/>
  <c r="AN47" i="11"/>
  <c r="K22" i="53"/>
  <c r="K46" i="53"/>
  <c r="AN42" i="11"/>
  <c r="B65" i="95"/>
  <c r="C67" i="95"/>
  <c r="C66" i="95"/>
  <c r="D66" i="95"/>
  <c r="D67" i="95"/>
  <c r="D65" i="95"/>
  <c r="B66" i="95"/>
  <c r="B42" i="95"/>
  <c r="B46" i="95"/>
  <c r="C65" i="95"/>
  <c r="B54" i="95"/>
  <c r="B112" i="95"/>
  <c r="B19" i="95"/>
  <c r="B111" i="95"/>
  <c r="C112" i="95"/>
  <c r="B110" i="95"/>
  <c r="D112" i="95"/>
  <c r="D110" i="95"/>
  <c r="D111" i="95"/>
  <c r="C111" i="95"/>
  <c r="C110" i="95"/>
  <c r="B99" i="95"/>
  <c r="B91" i="95"/>
  <c r="AN43" i="11"/>
  <c r="K9" i="53"/>
  <c r="K47" i="53"/>
  <c r="K23" i="53"/>
  <c r="AN44" i="11"/>
  <c r="AN89" i="11"/>
  <c r="K12" i="53"/>
  <c r="O50" i="1"/>
  <c r="AN91" i="11"/>
  <c r="AN7" i="12"/>
  <c r="AN36" i="12"/>
  <c r="AN90" i="11"/>
  <c r="F160" i="95"/>
  <c r="F161" i="95"/>
  <c r="F22" i="95"/>
  <c r="F23" i="95"/>
  <c r="K27" i="53"/>
  <c r="AN82" i="12"/>
  <c r="O219" i="2"/>
  <c r="AN92" i="11"/>
  <c r="AN91" i="10"/>
  <c r="AN94" i="11"/>
  <c r="K53" i="53"/>
  <c r="O164" i="2"/>
  <c r="O163" i="2"/>
  <c r="AN95" i="11"/>
  <c r="AN96" i="11"/>
  <c r="K20" i="53"/>
  <c r="F71" i="95"/>
  <c r="AN105" i="11"/>
  <c r="AN86" i="10"/>
  <c r="AN99" i="11"/>
  <c r="K13" i="53"/>
  <c r="K21" i="53"/>
  <c r="O165" i="2"/>
  <c r="AN70" i="12"/>
  <c r="AN72" i="12"/>
  <c r="AN87" i="10"/>
  <c r="AN89" i="10"/>
  <c r="AN76" i="12"/>
  <c r="AN80" i="12"/>
  <c r="O221" i="2"/>
  <c r="O223" i="2"/>
  <c r="K5" i="53"/>
  <c r="K50" i="53"/>
  <c r="AN93" i="10"/>
  <c r="K26" i="53"/>
  <c r="K48" i="53"/>
  <c r="AN95" i="10"/>
  <c r="AN104" i="10"/>
  <c r="AN105" i="10"/>
  <c r="AO78" i="12"/>
  <c r="P217" i="2"/>
  <c r="O231" i="2"/>
  <c r="F162" i="95"/>
  <c r="K6" i="53"/>
  <c r="O230" i="2"/>
  <c r="P227" i="2"/>
  <c r="P226" i="2"/>
  <c r="P210" i="2"/>
  <c r="AN8" i="10"/>
  <c r="AN106" i="10"/>
  <c r="AN21" i="10"/>
  <c r="K45" i="53"/>
  <c r="P215" i="2"/>
  <c r="AO36" i="11"/>
  <c r="AO39" i="11"/>
  <c r="L14" i="53"/>
  <c r="AO13" i="11"/>
  <c r="AO37" i="11"/>
  <c r="AO73" i="11"/>
  <c r="K43" i="53"/>
  <c r="K44" i="53"/>
  <c r="AN45" i="10"/>
  <c r="AN99" i="10"/>
  <c r="AN101" i="10"/>
  <c r="AN97" i="10"/>
  <c r="K34" i="53"/>
  <c r="K39" i="53"/>
  <c r="K24" i="53"/>
  <c r="K55" i="53"/>
  <c r="AN102" i="10"/>
  <c r="K49" i="53"/>
  <c r="AN108" i="10"/>
  <c r="K7" i="53"/>
  <c r="F26" i="95"/>
  <c r="F73" i="95"/>
  <c r="AO14" i="11"/>
  <c r="P222" i="2"/>
  <c r="AO74" i="11"/>
  <c r="AO75" i="11"/>
  <c r="L19" i="53"/>
  <c r="AO84" i="11"/>
  <c r="AO61" i="11"/>
  <c r="AO45" i="11"/>
  <c r="AO70" i="11"/>
  <c r="AO52" i="11"/>
  <c r="P47" i="1"/>
  <c r="AO86" i="11"/>
  <c r="AO87" i="11"/>
  <c r="AO67" i="11"/>
  <c r="AO50" i="11"/>
  <c r="AO85" i="11"/>
  <c r="L11" i="53"/>
  <c r="AO82" i="11"/>
  <c r="AO55" i="11"/>
  <c r="AO64" i="11"/>
  <c r="AO58" i="11"/>
  <c r="AO88" i="11"/>
  <c r="P50" i="1"/>
  <c r="AO91" i="11"/>
  <c r="AO90" i="11"/>
  <c r="AO89" i="11"/>
  <c r="L12" i="53"/>
  <c r="AO7" i="12"/>
  <c r="AO36" i="12"/>
  <c r="L27" i="53"/>
  <c r="AO42" i="11"/>
  <c r="G21" i="95"/>
  <c r="L46" i="53"/>
  <c r="G159" i="95"/>
  <c r="AO46" i="11"/>
  <c r="L10" i="53"/>
  <c r="AO47" i="11"/>
  <c r="L22" i="53"/>
  <c r="AO100" i="11"/>
  <c r="G22" i="95"/>
  <c r="G160" i="95"/>
  <c r="AO94" i="11"/>
  <c r="AO92" i="11"/>
  <c r="AO91" i="10"/>
  <c r="P219" i="2"/>
  <c r="AO82" i="12"/>
  <c r="AO44" i="11"/>
  <c r="L47" i="53"/>
  <c r="L23" i="53"/>
  <c r="AO43" i="11"/>
  <c r="L9" i="53"/>
  <c r="G161" i="95"/>
  <c r="G23" i="95"/>
  <c r="P164" i="2"/>
  <c r="P163" i="2"/>
  <c r="AO87" i="10"/>
  <c r="AO99" i="11"/>
  <c r="AO96" i="11"/>
  <c r="L20" i="53"/>
  <c r="G71" i="95"/>
  <c r="AO95" i="11"/>
  <c r="AO105" i="11"/>
  <c r="AO86" i="10"/>
  <c r="L53" i="53"/>
  <c r="AO89" i="10"/>
  <c r="L50" i="53"/>
  <c r="P165" i="2"/>
  <c r="AO70" i="12"/>
  <c r="AO72" i="12"/>
  <c r="L5" i="53"/>
  <c r="L13" i="53"/>
  <c r="L21" i="53"/>
  <c r="L26" i="53"/>
  <c r="AO93" i="10"/>
  <c r="AO105" i="10"/>
  <c r="L48" i="53"/>
  <c r="AO95" i="10"/>
  <c r="AO104" i="10"/>
  <c r="P221" i="2"/>
  <c r="P223" i="2"/>
  <c r="AO76" i="12"/>
  <c r="AO80" i="12"/>
  <c r="P231" i="2"/>
  <c r="AP78" i="12"/>
  <c r="Q217" i="2"/>
  <c r="G162" i="95"/>
  <c r="L6" i="53"/>
  <c r="P230" i="2"/>
  <c r="Q227" i="2"/>
  <c r="AO8" i="10"/>
  <c r="Q226" i="2"/>
  <c r="Q210" i="2"/>
  <c r="AP39" i="11"/>
  <c r="Q215" i="2"/>
  <c r="AP36" i="11"/>
  <c r="L45" i="53"/>
  <c r="AO106" i="10"/>
  <c r="AO21" i="10"/>
  <c r="AP73" i="11"/>
  <c r="AP13" i="11"/>
  <c r="AP37" i="11"/>
  <c r="M14" i="53"/>
  <c r="L44" i="53"/>
  <c r="AO99" i="10"/>
  <c r="AO101" i="10"/>
  <c r="AO45" i="10"/>
  <c r="L43" i="53"/>
  <c r="G73" i="95"/>
  <c r="G26" i="95"/>
  <c r="AP14" i="11"/>
  <c r="Q222" i="2"/>
  <c r="L24" i="53"/>
  <c r="L34" i="53"/>
  <c r="L39" i="53"/>
  <c r="AO102" i="10"/>
  <c r="L49" i="53"/>
  <c r="AO97" i="10"/>
  <c r="AO108" i="10"/>
  <c r="L7" i="53"/>
  <c r="L55" i="53"/>
  <c r="AP75" i="11"/>
  <c r="M19" i="53"/>
  <c r="AP74" i="11"/>
  <c r="AP84" i="11"/>
  <c r="AP45" i="11"/>
  <c r="AP50" i="11"/>
  <c r="AP55" i="11"/>
  <c r="AP85" i="11"/>
  <c r="M11" i="53"/>
  <c r="AP64" i="11"/>
  <c r="Q47" i="1"/>
  <c r="AP86" i="11"/>
  <c r="AP87" i="11"/>
  <c r="AP82" i="11"/>
  <c r="AP58" i="11"/>
  <c r="AP67" i="11"/>
  <c r="AP52" i="11"/>
  <c r="AP70" i="11"/>
  <c r="AP61" i="11"/>
  <c r="H160" i="95"/>
  <c r="H22" i="95"/>
  <c r="AP88" i="11"/>
  <c r="H21" i="95"/>
  <c r="AP46" i="11"/>
  <c r="M10" i="53"/>
  <c r="AP100" i="11"/>
  <c r="AP42" i="11"/>
  <c r="M46" i="53"/>
  <c r="H159" i="95"/>
  <c r="H161" i="95"/>
  <c r="AP47" i="11"/>
  <c r="M22" i="53"/>
  <c r="H23" i="95"/>
  <c r="AP44" i="11"/>
  <c r="M23" i="53"/>
  <c r="M47" i="53"/>
  <c r="AP43" i="11"/>
  <c r="M9" i="53"/>
  <c r="AP7" i="12"/>
  <c r="AP36" i="12"/>
  <c r="AP89" i="11"/>
  <c r="M12" i="53"/>
  <c r="AP90" i="11"/>
  <c r="Q50" i="1"/>
  <c r="AP91" i="11"/>
  <c r="AP94" i="11"/>
  <c r="Q164" i="2"/>
  <c r="Q163" i="2"/>
  <c r="AP99" i="11"/>
  <c r="H71" i="95"/>
  <c r="AP95" i="11"/>
  <c r="AP105" i="11"/>
  <c r="AP86" i="10"/>
  <c r="AP96" i="11"/>
  <c r="M20" i="53"/>
  <c r="AP82" i="12"/>
  <c r="Q219" i="2"/>
  <c r="M27" i="53"/>
  <c r="M53" i="53"/>
  <c r="AP92" i="11"/>
  <c r="AP91" i="10"/>
  <c r="M21" i="53"/>
  <c r="M13" i="53"/>
  <c r="AP87" i="10"/>
  <c r="AP89" i="10"/>
  <c r="Q165" i="2"/>
  <c r="AP70" i="12"/>
  <c r="AP72" i="12"/>
  <c r="M50" i="53"/>
  <c r="M26" i="53"/>
  <c r="AP93" i="10"/>
  <c r="M5" i="53"/>
  <c r="Q221" i="2"/>
  <c r="Q223" i="2"/>
  <c r="AP76" i="12"/>
  <c r="AP80" i="12"/>
  <c r="M48" i="53"/>
  <c r="AP105" i="10"/>
  <c r="AP95" i="10"/>
  <c r="AP104" i="10"/>
  <c r="Q231" i="2"/>
  <c r="AQ78" i="12"/>
  <c r="R217" i="2"/>
  <c r="H162" i="95"/>
  <c r="M6" i="53"/>
  <c r="Q230" i="2"/>
  <c r="R227" i="2"/>
  <c r="AP8" i="10"/>
  <c r="R226" i="2"/>
  <c r="R210" i="2"/>
  <c r="R215" i="2"/>
  <c r="AQ36" i="11"/>
  <c r="AQ39" i="11"/>
  <c r="AP21" i="10"/>
  <c r="AP106" i="10"/>
  <c r="M45" i="53"/>
  <c r="AP45" i="10"/>
  <c r="M43" i="53"/>
  <c r="M44" i="53"/>
  <c r="AP99" i="10"/>
  <c r="AP101" i="10"/>
  <c r="N14" i="53"/>
  <c r="AQ73" i="11"/>
  <c r="AQ37" i="11"/>
  <c r="AQ13" i="11"/>
  <c r="R222" i="2"/>
  <c r="AQ14" i="11"/>
  <c r="AQ84" i="11"/>
  <c r="AQ74" i="11"/>
  <c r="AQ75" i="11"/>
  <c r="N19" i="53"/>
  <c r="H73" i="95"/>
  <c r="H26" i="95"/>
  <c r="AP108" i="10"/>
  <c r="M24" i="53"/>
  <c r="M34" i="53"/>
  <c r="M39" i="53"/>
  <c r="AP102" i="10"/>
  <c r="M49" i="53"/>
  <c r="AP97" i="10"/>
  <c r="M7" i="53"/>
  <c r="M55" i="53"/>
  <c r="AQ82" i="11"/>
  <c r="AQ58" i="11"/>
  <c r="AQ55" i="11"/>
  <c r="AQ52" i="11"/>
  <c r="AQ70" i="11"/>
  <c r="AQ45" i="11"/>
  <c r="AQ50" i="11"/>
  <c r="AQ67" i="11"/>
  <c r="R47" i="1"/>
  <c r="AQ86" i="11"/>
  <c r="AQ87" i="11"/>
  <c r="AQ85" i="11"/>
  <c r="N11" i="53"/>
  <c r="AQ64" i="11"/>
  <c r="AQ61" i="11"/>
  <c r="AQ88" i="11"/>
  <c r="R50" i="1"/>
  <c r="AQ91" i="11"/>
  <c r="AQ100" i="11"/>
  <c r="I159" i="95"/>
  <c r="I21" i="95"/>
  <c r="N46" i="53"/>
  <c r="AQ47" i="11"/>
  <c r="N22" i="53"/>
  <c r="AQ42" i="11"/>
  <c r="AQ46" i="11"/>
  <c r="N10" i="53"/>
  <c r="AQ89" i="11"/>
  <c r="N12" i="53"/>
  <c r="AQ90" i="11"/>
  <c r="I22" i="95"/>
  <c r="I160" i="95"/>
  <c r="AQ7" i="12"/>
  <c r="AQ36" i="12"/>
  <c r="N27" i="53"/>
  <c r="I23" i="95"/>
  <c r="AQ44" i="11"/>
  <c r="AQ43" i="11"/>
  <c r="N9" i="53"/>
  <c r="N47" i="53"/>
  <c r="N23" i="53"/>
  <c r="I161" i="95"/>
  <c r="AQ94" i="11"/>
  <c r="AQ92" i="11"/>
  <c r="AQ91" i="10"/>
  <c r="R219" i="2"/>
  <c r="AQ82" i="12"/>
  <c r="R164" i="2"/>
  <c r="R163" i="2"/>
  <c r="AQ87" i="10"/>
  <c r="AQ95" i="11"/>
  <c r="AQ86" i="10"/>
  <c r="I71" i="95"/>
  <c r="AQ96" i="11"/>
  <c r="N20" i="53"/>
  <c r="AQ99" i="11"/>
  <c r="AQ105" i="11"/>
  <c r="N53" i="53"/>
  <c r="AQ89" i="10"/>
  <c r="N26" i="53"/>
  <c r="N21" i="53"/>
  <c r="N13" i="53"/>
  <c r="AQ70" i="12"/>
  <c r="AQ72" i="12"/>
  <c r="R165" i="2"/>
  <c r="N5" i="53"/>
  <c r="N50" i="53"/>
  <c r="AQ93" i="10"/>
  <c r="AQ95" i="10"/>
  <c r="AQ104" i="10"/>
  <c r="R221" i="2"/>
  <c r="R223" i="2"/>
  <c r="AQ76" i="12"/>
  <c r="AQ80" i="12"/>
  <c r="AQ105" i="10"/>
  <c r="N48" i="53"/>
  <c r="AR78" i="12"/>
  <c r="S217" i="2"/>
  <c r="R231" i="2"/>
  <c r="I162" i="95"/>
  <c r="N6" i="53"/>
  <c r="R230" i="2"/>
  <c r="S227" i="2"/>
  <c r="AQ8" i="10"/>
  <c r="S226" i="2"/>
  <c r="S210" i="2"/>
  <c r="AR39" i="11"/>
  <c r="S215" i="2"/>
  <c r="AR36" i="11"/>
  <c r="AQ21" i="10"/>
  <c r="N45" i="53"/>
  <c r="AQ106" i="10"/>
  <c r="AQ45" i="10"/>
  <c r="N44" i="53"/>
  <c r="N43" i="53"/>
  <c r="AQ99" i="10"/>
  <c r="AQ101" i="10"/>
  <c r="AR13" i="11"/>
  <c r="AR73" i="11"/>
  <c r="O14" i="53"/>
  <c r="AR37" i="11"/>
  <c r="AR74" i="11"/>
  <c r="AR75" i="11"/>
  <c r="O19" i="53"/>
  <c r="AR84" i="11"/>
  <c r="S222" i="2"/>
  <c r="AR14" i="11"/>
  <c r="AQ102" i="10"/>
  <c r="N49" i="53"/>
  <c r="N34" i="53"/>
  <c r="N39" i="53"/>
  <c r="AQ97" i="10"/>
  <c r="N7" i="53"/>
  <c r="N24" i="53"/>
  <c r="AQ108" i="10"/>
  <c r="N55" i="53"/>
  <c r="I73" i="95"/>
  <c r="I26" i="95"/>
  <c r="AR61" i="11"/>
  <c r="AR50" i="11"/>
  <c r="S47" i="1"/>
  <c r="AR86" i="11"/>
  <c r="AR87" i="11"/>
  <c r="AR58" i="11"/>
  <c r="AR45" i="11"/>
  <c r="AR82" i="11"/>
  <c r="AR67" i="11"/>
  <c r="AR55" i="11"/>
  <c r="AR85" i="11"/>
  <c r="O11" i="53"/>
  <c r="AR64" i="11"/>
  <c r="AR70" i="11"/>
  <c r="AR52" i="11"/>
  <c r="J22" i="95"/>
  <c r="J160" i="95"/>
  <c r="AR88" i="11"/>
  <c r="AR100" i="11"/>
  <c r="O46" i="53"/>
  <c r="AR42" i="11"/>
  <c r="J21" i="95"/>
  <c r="AR47" i="11"/>
  <c r="O22" i="53"/>
  <c r="J159" i="95"/>
  <c r="AR46" i="11"/>
  <c r="O10" i="53"/>
  <c r="J23" i="95"/>
  <c r="O23" i="53"/>
  <c r="AR44" i="11"/>
  <c r="AR43" i="11"/>
  <c r="O9" i="53"/>
  <c r="O47" i="53"/>
  <c r="AR90" i="11"/>
  <c r="AR89" i="11"/>
  <c r="O12" i="53"/>
  <c r="S50" i="1"/>
  <c r="AR91" i="11"/>
  <c r="AR7" i="12"/>
  <c r="AR36" i="12"/>
  <c r="J161" i="95"/>
  <c r="S219" i="2"/>
  <c r="O27" i="53"/>
  <c r="AR82" i="12"/>
  <c r="AR94" i="11"/>
  <c r="AR91" i="10"/>
  <c r="AR92" i="11"/>
  <c r="S164" i="2"/>
  <c r="S163" i="2"/>
  <c r="J71" i="95"/>
  <c r="AR96" i="11"/>
  <c r="O20" i="53"/>
  <c r="AR95" i="11"/>
  <c r="AR86" i="10"/>
  <c r="AR105" i="11"/>
  <c r="AR99" i="11"/>
  <c r="O53" i="53"/>
  <c r="O13" i="53"/>
  <c r="O21" i="53"/>
  <c r="AR87" i="10"/>
  <c r="AR89" i="10"/>
  <c r="S165" i="2"/>
  <c r="AR70" i="12"/>
  <c r="AR72" i="12"/>
  <c r="O5" i="53"/>
  <c r="AR93" i="10"/>
  <c r="O26" i="53"/>
  <c r="O50" i="53"/>
  <c r="S221" i="2"/>
  <c r="S223" i="2"/>
  <c r="AR76" i="12"/>
  <c r="AR80" i="12"/>
  <c r="AS78" i="12"/>
  <c r="T217" i="2"/>
  <c r="S231" i="2"/>
  <c r="O48" i="53"/>
  <c r="AR95" i="10"/>
  <c r="AR104" i="10"/>
  <c r="AR105" i="10"/>
  <c r="S230" i="2"/>
  <c r="T227" i="2"/>
  <c r="J162" i="95"/>
  <c r="O6" i="53"/>
  <c r="T226" i="2"/>
  <c r="T210" i="2"/>
  <c r="AR8" i="10"/>
  <c r="O45" i="53"/>
  <c r="AR106" i="10"/>
  <c r="AR21" i="10"/>
  <c r="AS39" i="11"/>
  <c r="T215" i="2"/>
  <c r="AS36" i="11"/>
  <c r="AR45" i="10"/>
  <c r="O43" i="53"/>
  <c r="O44" i="53"/>
  <c r="AR99" i="10"/>
  <c r="AR101" i="10"/>
  <c r="AS13" i="11"/>
  <c r="AS37" i="11"/>
  <c r="P14" i="53"/>
  <c r="AS73" i="11"/>
  <c r="J73" i="95"/>
  <c r="J26" i="95"/>
  <c r="AS84" i="11"/>
  <c r="AS74" i="11"/>
  <c r="AS75" i="11"/>
  <c r="P19" i="53"/>
  <c r="AS14" i="11"/>
  <c r="T222" i="2"/>
  <c r="AR102" i="10"/>
  <c r="O49" i="53"/>
  <c r="AR97" i="10"/>
  <c r="AR108" i="10"/>
  <c r="O24" i="53"/>
  <c r="O34" i="53"/>
  <c r="O39" i="53"/>
  <c r="O7" i="53"/>
  <c r="O55" i="53"/>
  <c r="AS50" i="11"/>
  <c r="AS45" i="11"/>
  <c r="AS64" i="11"/>
  <c r="AS67" i="11"/>
  <c r="AS85" i="11"/>
  <c r="P11" i="53"/>
  <c r="T47" i="1"/>
  <c r="AS86" i="11"/>
  <c r="AS87" i="11"/>
  <c r="AS61" i="11"/>
  <c r="AS58" i="11"/>
  <c r="AS82" i="11"/>
  <c r="AS70" i="11"/>
  <c r="AS55" i="11"/>
  <c r="AS52" i="11"/>
  <c r="K160" i="95"/>
  <c r="K22" i="95"/>
  <c r="K159" i="95"/>
  <c r="AS47" i="11"/>
  <c r="P22" i="53"/>
  <c r="K21" i="95"/>
  <c r="AS46" i="11"/>
  <c r="P10" i="53"/>
  <c r="AS100" i="11"/>
  <c r="AS42" i="11"/>
  <c r="P46" i="53"/>
  <c r="AS88" i="11"/>
  <c r="K161" i="95"/>
  <c r="AS43" i="11"/>
  <c r="P9" i="53"/>
  <c r="AS44" i="11"/>
  <c r="P47" i="53"/>
  <c r="P23" i="53"/>
  <c r="AS89" i="11"/>
  <c r="P12" i="53"/>
  <c r="AS90" i="11"/>
  <c r="T50" i="1"/>
  <c r="AS91" i="11"/>
  <c r="AS7" i="12"/>
  <c r="AS36" i="12"/>
  <c r="K23" i="95"/>
  <c r="P27" i="53"/>
  <c r="AS82" i="12"/>
  <c r="T219" i="2"/>
  <c r="AS94" i="11"/>
  <c r="AS91" i="10"/>
  <c r="AS92" i="11"/>
  <c r="T164" i="2"/>
  <c r="T163" i="2"/>
  <c r="K71" i="95"/>
  <c r="AS99" i="11"/>
  <c r="AS105" i="11"/>
  <c r="AS95" i="11"/>
  <c r="AS96" i="11"/>
  <c r="P20" i="53"/>
  <c r="AS86" i="10"/>
  <c r="P53" i="53"/>
  <c r="AS70" i="12"/>
  <c r="AS72" i="12"/>
  <c r="T165" i="2"/>
  <c r="P21" i="53"/>
  <c r="P13" i="53"/>
  <c r="AS87" i="10"/>
  <c r="AS89" i="10"/>
  <c r="P50" i="53"/>
  <c r="P26" i="53"/>
  <c r="AS93" i="10"/>
  <c r="P5" i="53"/>
  <c r="T221" i="2"/>
  <c r="T223" i="2"/>
  <c r="AS76" i="12"/>
  <c r="AS80" i="12"/>
  <c r="P48" i="53"/>
  <c r="AS105" i="10"/>
  <c r="AS95" i="10"/>
  <c r="AS104" i="10"/>
  <c r="AT78" i="12"/>
  <c r="U217" i="2"/>
  <c r="T231" i="2"/>
  <c r="K162" i="95"/>
  <c r="P6" i="53"/>
  <c r="T230" i="2"/>
  <c r="U227" i="2"/>
  <c r="AS8" i="10"/>
  <c r="U226" i="2"/>
  <c r="U210" i="2"/>
  <c r="U215" i="2"/>
  <c r="AT36" i="11"/>
  <c r="AT39" i="11"/>
  <c r="AS106" i="10"/>
  <c r="P45" i="53"/>
  <c r="AS21" i="10"/>
  <c r="P43" i="53"/>
  <c r="P44" i="53"/>
  <c r="AS45" i="10"/>
  <c r="AS99" i="10"/>
  <c r="AS101" i="10"/>
  <c r="Q14" i="53"/>
  <c r="AT37" i="11"/>
  <c r="AT13" i="11"/>
  <c r="AT73" i="11"/>
  <c r="AT84" i="11"/>
  <c r="AT75" i="11"/>
  <c r="Q19" i="53"/>
  <c r="AT74" i="11"/>
  <c r="U222" i="2"/>
  <c r="AT14" i="11"/>
  <c r="P24" i="53"/>
  <c r="P34" i="53"/>
  <c r="P39" i="53"/>
  <c r="AS97" i="10"/>
  <c r="AS108" i="10"/>
  <c r="AS102" i="10"/>
  <c r="P49" i="53"/>
  <c r="P7" i="53"/>
  <c r="P55" i="53"/>
  <c r="K73" i="95"/>
  <c r="K26" i="95"/>
  <c r="AT45" i="11"/>
  <c r="AT64" i="11"/>
  <c r="AT50" i="11"/>
  <c r="AT85" i="11"/>
  <c r="Q11" i="53"/>
  <c r="AT58" i="11"/>
  <c r="AT61" i="11"/>
  <c r="AT82" i="11"/>
  <c r="U47" i="1"/>
  <c r="AT86" i="11"/>
  <c r="AT87" i="11"/>
  <c r="AT52" i="11"/>
  <c r="AT67" i="11"/>
  <c r="AT55" i="11"/>
  <c r="AT70" i="11"/>
  <c r="L22" i="95"/>
  <c r="L160" i="95"/>
  <c r="AT88" i="11"/>
  <c r="Q46" i="53"/>
  <c r="L159" i="95"/>
  <c r="AT47" i="11"/>
  <c r="Q22" i="53"/>
  <c r="L21" i="95"/>
  <c r="AT46" i="11"/>
  <c r="Q10" i="53"/>
  <c r="AT42" i="11"/>
  <c r="AT100" i="11"/>
  <c r="L23" i="95"/>
  <c r="L161" i="95"/>
  <c r="AT90" i="11"/>
  <c r="U50" i="1"/>
  <c r="AT91" i="11"/>
  <c r="AT7" i="12"/>
  <c r="AT36" i="12"/>
  <c r="AT89" i="11"/>
  <c r="Q12" i="53"/>
  <c r="AT44" i="11"/>
  <c r="Q47" i="53"/>
  <c r="AT43" i="11"/>
  <c r="Q9" i="53"/>
  <c r="Q23" i="53"/>
  <c r="AT92" i="11"/>
  <c r="AT91" i="10"/>
  <c r="AT82" i="12"/>
  <c r="U219" i="2"/>
  <c r="Q27" i="53"/>
  <c r="AT94" i="11"/>
  <c r="U164" i="2"/>
  <c r="U163" i="2"/>
  <c r="AT87" i="10"/>
  <c r="Q53" i="53"/>
  <c r="AT105" i="11"/>
  <c r="AT95" i="11"/>
  <c r="AT96" i="11"/>
  <c r="Q20" i="53"/>
  <c r="L71" i="95"/>
  <c r="AT99" i="11"/>
  <c r="AT86" i="10"/>
  <c r="Q21" i="53"/>
  <c r="Q13" i="53"/>
  <c r="AT89" i="10"/>
  <c r="AT70" i="12"/>
  <c r="AT72" i="12"/>
  <c r="U165" i="2"/>
  <c r="U221" i="2"/>
  <c r="U223" i="2"/>
  <c r="AT76" i="12"/>
  <c r="AT80" i="12"/>
  <c r="U231" i="2"/>
  <c r="U230" i="2"/>
  <c r="AT8" i="10"/>
  <c r="AT93" i="10"/>
  <c r="Q50" i="53"/>
  <c r="Q26" i="53"/>
  <c r="Q5" i="53"/>
  <c r="AT105" i="10"/>
  <c r="AT95" i="10"/>
  <c r="AT104" i="10"/>
  <c r="Q48" i="53"/>
  <c r="Q45" i="53"/>
  <c r="AT106" i="10"/>
  <c r="AT21" i="10"/>
  <c r="AT45" i="10"/>
  <c r="Q44" i="53"/>
  <c r="AT99" i="10"/>
  <c r="AT101" i="10"/>
  <c r="Q43" i="53"/>
  <c r="L162" i="95"/>
  <c r="Q6" i="53"/>
  <c r="L26" i="95"/>
  <c r="L73" i="95"/>
  <c r="Q24" i="53"/>
  <c r="AT102" i="10"/>
  <c r="Q49" i="53"/>
  <c r="AT108" i="10"/>
  <c r="AT97" i="10"/>
  <c r="Q34" i="53"/>
  <c r="Q39" i="53"/>
  <c r="Q7" i="53"/>
  <c r="Q55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L33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=IF(COUNT(AL34:AO34)=4,SUM(AL33:AO33),L34*L6)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M33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=IF(COUNT(AP34:AS34)=4,SUM(AP33:AS33),M34*M6)</t>
        </r>
      </text>
    </comment>
    <comment ref="N33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=IF(COUNT(AT34:AW34)=4,SUM(AT33:AW33),N34*N6)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O33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=O34*O6</t>
        </r>
      </text>
    </comment>
    <comment ref="B36" authorId="0" shapeId="0" xr:uid="{00000000-0006-0000-0200-000005000000}">
      <text>
        <r>
          <rPr>
            <sz val="9"/>
            <rFont val="宋体"/>
            <family val="3"/>
            <charset val="134"/>
          </rPr>
          <t>假设此处投资收益包含权益法下确认的长期股权投资收益</t>
        </r>
      </text>
    </comment>
    <comment ref="L36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>=IF(COUNT(AL37:AO37)=4,SUM(AL36:AO36),L37*L6)</t>
        </r>
      </text>
    </comment>
    <comment ref="M36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>=IF(COUNT(AP37:AS37)=4,SUM(AP36:AS36),M37*M6)</t>
        </r>
      </text>
    </comment>
    <comment ref="N36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 xml:space="preserve">=IF(COUNT(AT37:AW37)=4,SUM(AT36:AW36),N37*N6)
</t>
        </r>
      </text>
    </comment>
    <comment ref="O36" authorId="0" shapeId="0" xr:uid="{00000000-0006-0000-0200-000009000000}">
      <text>
        <r>
          <rPr>
            <b/>
            <sz val="9"/>
            <rFont val="宋体"/>
            <family val="3"/>
            <charset val="134"/>
          </rPr>
          <t>=O37*O6</t>
        </r>
      </text>
    </comment>
    <comment ref="L39" authorId="0" shapeId="0" xr:uid="{00000000-0006-0000-0200-00000A000000}">
      <text>
        <r>
          <rPr>
            <b/>
            <sz val="9"/>
            <rFont val="宋体"/>
            <family val="3"/>
            <charset val="134"/>
          </rPr>
          <t>=IF(COUNT(AL40:AO40)=4,SUM(AL39:AO39),L40*L6)</t>
        </r>
      </text>
    </comment>
    <comment ref="M39" authorId="0" shapeId="0" xr:uid="{00000000-0006-0000-0200-00000B000000}">
      <text>
        <r>
          <rPr>
            <b/>
            <sz val="9"/>
            <rFont val="宋体"/>
            <family val="3"/>
            <charset val="134"/>
          </rPr>
          <t>=IF(COUNT(AP40:AS40)=4,SUM(AP39:AS39),M40*M6)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39" authorId="0" shapeId="0" xr:uid="{00000000-0006-0000-0200-00000C000000}">
      <text>
        <r>
          <rPr>
            <b/>
            <sz val="9"/>
            <rFont val="宋体"/>
            <family val="3"/>
            <charset val="134"/>
          </rPr>
          <t>=IF(COUNT(AT40:AW40)=4,SUM(AT39:AW39),N40*N6)</t>
        </r>
      </text>
    </comment>
    <comment ref="O39" authorId="0" shapeId="0" xr:uid="{00000000-0006-0000-0200-00000D000000}">
      <text>
        <r>
          <rPr>
            <b/>
            <sz val="9"/>
            <rFont val="宋体"/>
            <family val="3"/>
            <charset val="134"/>
          </rPr>
          <t>=O40*O6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L147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=回购注销股数（特殊面值股票需乘以股票面值）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L148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=回购金额-本期股本减少</t>
        </r>
      </text>
    </comment>
    <comment ref="C163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报告期口径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C165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报告期口径</t>
        </r>
      </text>
    </comment>
    <comment ref="D222" authorId="0" shapeId="0" xr:uid="{00000000-0006-0000-0300-000005000000}">
      <text>
        <r>
          <rPr>
            <sz val="10"/>
            <rFont val="宋体"/>
            <family val="3"/>
            <charset val="134"/>
          </rPr>
          <t>默认最低现金保有量安全月数为1个月，如有需要请手动调整</t>
        </r>
      </text>
    </comment>
    <comment ref="L232" authorId="0" shapeId="0" xr:uid="{79379087-986D-4AE4-8D6D-8F36DBD905D1}">
      <text>
        <r>
          <rPr>
            <b/>
            <sz val="9"/>
            <color indexed="81"/>
            <rFont val="宋体"/>
            <family val="3"/>
            <charset val="134"/>
          </rPr>
          <t>=H232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个人用户</author>
    <author>Sinitek</author>
    <author>Administrator</author>
    <author>admin</author>
  </authors>
  <commentList>
    <comment ref="A6" authorId="0" shapeId="0" xr:uid="{00000000-0006-0000-0400-000001000000}">
      <text>
        <r>
          <rPr>
            <sz val="10"/>
            <color indexed="81"/>
            <rFont val="宋体"/>
            <family val="3"/>
            <charset val="134"/>
          </rPr>
          <t>默认按照直线法计提折旧</t>
        </r>
      </text>
    </comment>
    <comment ref="B15" authorId="1" shapeId="0" xr:uid="{00000000-0006-0000-0400-000002000000}">
      <text>
        <r>
          <rPr>
            <sz val="10"/>
            <color indexed="81"/>
            <rFont val="宋体"/>
            <family val="3"/>
            <charset val="134"/>
          </rPr>
          <t>现金流量表反映的当期折旧</t>
        </r>
      </text>
    </comment>
    <comment ref="L15" authorId="2" shapeId="0" xr:uid="{00000000-0006-0000-0400-000003000000}">
      <text>
        <r>
          <rPr>
            <sz val="9"/>
            <rFont val="宋体"/>
            <family val="3"/>
            <charset val="134"/>
          </rPr>
          <t>=L39</t>
        </r>
      </text>
    </comment>
    <comment ref="J16" authorId="2" shapeId="0" xr:uid="{00000000-0006-0000-0400-000004000000}">
      <text>
        <r>
          <rPr>
            <sz val="9"/>
            <rFont val="宋体"/>
            <family val="3"/>
            <charset val="134"/>
          </rPr>
          <t>此处为年化折旧率</t>
        </r>
      </text>
    </comment>
    <comment ref="L16" authorId="1" shapeId="0" xr:uid="{B420DFB3-F785-4267-BA03-9CC9040CB905}">
      <text>
        <r>
          <rPr>
            <sz val="9"/>
            <color indexed="81"/>
            <rFont val="宋体"/>
            <family val="3"/>
            <charset val="134"/>
          </rPr>
          <t xml:space="preserve">=$D$16
</t>
        </r>
      </text>
    </comment>
    <comment ref="B22" authorId="0" shapeId="0" xr:uid="{00000000-0006-0000-0400-000005000000}">
      <text>
        <r>
          <rPr>
            <sz val="10"/>
            <color indexed="81"/>
            <rFont val="宋体"/>
            <family val="3"/>
            <charset val="134"/>
          </rPr>
          <t>主要指由于企业合并等活动产生的对固定资产价值的影响</t>
        </r>
      </text>
    </comment>
    <comment ref="H28" authorId="1" shapeId="0" xr:uid="{00000000-0006-0000-0400-000006000000}">
      <text>
        <r>
          <rPr>
            <sz val="10"/>
            <color indexed="81"/>
            <rFont val="宋体"/>
            <family val="3"/>
            <charset val="134"/>
          </rPr>
          <t>使用年限默认等于假设的预计使用寿命，若新增资产有不同的使用年限，可手动调整下方年限数值</t>
        </r>
      </text>
    </comment>
    <comment ref="B44" authorId="1" shapeId="0" xr:uid="{00000000-0006-0000-0400-000007000000}">
      <text>
        <r>
          <rPr>
            <sz val="10"/>
            <color indexed="81"/>
            <rFont val="宋体"/>
            <family val="3"/>
            <charset val="134"/>
          </rPr>
          <t>模型默认按照比例计算转固金额，若需调整可直接在黄色边框单元格输入数值</t>
        </r>
      </text>
    </comment>
    <comment ref="L44" authorId="2" shapeId="0" xr:uid="{00000000-0006-0000-0400-000008000000}">
      <text>
        <r>
          <rPr>
            <sz val="9"/>
            <rFont val="宋体"/>
            <family val="3"/>
            <charset val="134"/>
          </rPr>
          <t>=$D$44*(L42+L43)</t>
        </r>
      </text>
    </comment>
    <comment ref="B55" authorId="1" shapeId="0" xr:uid="{00000000-0006-0000-0400-000009000000}">
      <text>
        <r>
          <rPr>
            <sz val="10"/>
            <color indexed="81"/>
            <rFont val="宋体"/>
            <family val="3"/>
            <charset val="134"/>
          </rPr>
          <t>现金流量表反映的当期摊销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L55" authorId="1" shapeId="0" xr:uid="{00000000-0006-0000-0400-00000A000000}">
      <text>
        <r>
          <rPr>
            <b/>
            <sz val="9"/>
            <color indexed="81"/>
            <rFont val="宋体"/>
            <family val="3"/>
            <charset val="134"/>
          </rPr>
          <t>=L78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56" authorId="2" shapeId="0" xr:uid="{00000000-0006-0000-0400-00000B000000}">
      <text>
        <r>
          <rPr>
            <sz val="9"/>
            <rFont val="宋体"/>
            <family val="3"/>
            <charset val="134"/>
          </rPr>
          <t>此处为年化摊销率</t>
        </r>
      </text>
    </comment>
    <comment ref="L56" authorId="1" shapeId="0" xr:uid="{761295FA-8BA8-46F6-8505-BB8E90A9C580}">
      <text>
        <r>
          <rPr>
            <sz val="9"/>
            <color indexed="81"/>
            <rFont val="宋体"/>
            <family val="3"/>
            <charset val="134"/>
          </rPr>
          <t>=$D$56</t>
        </r>
      </text>
    </comment>
    <comment ref="H67" authorId="1" shapeId="0" xr:uid="{00000000-0006-0000-0400-00000C000000}">
      <text>
        <r>
          <rPr>
            <sz val="10"/>
            <color indexed="81"/>
            <rFont val="宋体"/>
            <family val="3"/>
            <charset val="134"/>
          </rPr>
          <t>使用年限默认等于假设的预计使用寿命，若新增资产有不同的使用年限，可手动调整下方年限数值</t>
        </r>
      </text>
    </comment>
    <comment ref="B98" authorId="3" shapeId="0" xr:uid="{00000000-0006-0000-0400-00000D000000}">
      <text>
        <r>
          <rPr>
            <sz val="10"/>
            <color indexed="81"/>
            <rFont val="宋体"/>
            <family val="3"/>
            <charset val="134"/>
          </rPr>
          <t xml:space="preserve">此处假设本期增加为成本模式计量的投资性房地产
</t>
        </r>
      </text>
    </comment>
    <comment ref="B110" authorId="1" shapeId="0" xr:uid="{00000000-0006-0000-0400-00000E000000}">
      <text>
        <r>
          <rPr>
            <sz val="10"/>
            <color indexed="81"/>
            <rFont val="宋体"/>
            <family val="3"/>
            <charset val="134"/>
          </rPr>
          <t>默认取现金流量表反映的当期折旧,若现金流量表未单独披露，则取财务附注据。</t>
        </r>
        <r>
          <rPr>
            <b/>
            <sz val="11"/>
            <rFont val="宋体"/>
            <family val="3"/>
            <charset val="134"/>
          </rPr>
          <t xml:space="preserve">
</t>
        </r>
      </text>
    </comment>
    <comment ref="L110" authorId="1" shapeId="0" xr:uid="{00000000-0006-0000-0400-00000F000000}">
      <text>
        <r>
          <rPr>
            <sz val="9"/>
            <color indexed="81"/>
            <rFont val="宋体"/>
            <family val="3"/>
            <charset val="134"/>
          </rPr>
          <t xml:space="preserve">=L133
</t>
        </r>
      </text>
    </comment>
    <comment ref="J111" authorId="2" shapeId="0" xr:uid="{00000000-0006-0000-0400-000010000000}">
      <text>
        <r>
          <rPr>
            <sz val="9"/>
            <rFont val="宋体"/>
            <family val="3"/>
            <charset val="134"/>
          </rPr>
          <t xml:space="preserve">此处为年化摊销率
</t>
        </r>
      </text>
    </comment>
    <comment ref="L111" authorId="1" shapeId="0" xr:uid="{BF4B9A7E-B668-41F7-9385-36E4AE619AC2}">
      <text>
        <r>
          <rPr>
            <sz val="9"/>
            <color indexed="81"/>
            <rFont val="宋体"/>
            <family val="3"/>
            <charset val="134"/>
          </rPr>
          <t>=$D$111</t>
        </r>
      </text>
    </comment>
    <comment ref="H122" authorId="1" shapeId="0" xr:uid="{00000000-0006-0000-0400-000011000000}">
      <text>
        <r>
          <rPr>
            <sz val="10"/>
            <color indexed="81"/>
            <rFont val="宋体"/>
            <family val="3"/>
            <charset val="134"/>
          </rPr>
          <t>使用年限默认等于假设的预计使用寿命，若新增资产有不同的使用年限，可手动调整下方年限数值</t>
        </r>
      </text>
    </comment>
    <comment ref="B141" authorId="3" shapeId="0" xr:uid="{00000000-0006-0000-0400-000012000000}">
      <text>
        <r>
          <rPr>
            <sz val="10"/>
            <color indexed="81"/>
            <rFont val="宋体"/>
            <family val="3"/>
            <charset val="134"/>
          </rPr>
          <t xml:space="preserve">此处假设本期增加为成本模式计量的生产性生物资产
</t>
        </r>
      </text>
    </comment>
    <comment ref="B151" authorId="1" shapeId="0" xr:uid="{00000000-0006-0000-0400-000013000000}">
      <text>
        <r>
          <rPr>
            <sz val="10"/>
            <color indexed="81"/>
            <rFont val="宋体"/>
            <family val="3"/>
            <charset val="134"/>
          </rPr>
          <t>通过累计折旧数据轧差得到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thinkpad</author>
  </authors>
  <commentList>
    <comment ref="G1" authorId="0" shapeId="0" xr:uid="{00000000-0006-0000-0500-000001000000}">
      <text>
        <r>
          <rPr>
            <sz val="9"/>
            <rFont val="宋体"/>
            <family val="3"/>
            <charset val="134"/>
          </rPr>
          <t>CDR转换比例，如九号公司</t>
        </r>
      </text>
    </comment>
    <comment ref="B18" authorId="1" shapeId="0" xr:uid="{00000000-0006-0000-0500-000002000000}">
      <text>
        <r>
          <rPr>
            <sz val="9"/>
            <rFont val="宋体"/>
            <family val="3"/>
            <charset val="134"/>
          </rPr>
          <t>市盈率相对盈利增长比率</t>
        </r>
      </text>
    </comment>
    <comment ref="B27" authorId="1" shapeId="0" xr:uid="{00000000-0006-0000-0500-000003000000}">
      <text>
        <r>
          <rPr>
            <sz val="9"/>
            <rFont val="宋体"/>
            <family val="3"/>
            <charset val="134"/>
          </rPr>
          <t>市盈率相对盈利增长比率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J40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摊薄口径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51" authorId="0" shapeId="0" xr:uid="{00000000-0006-0000-0700-000001000000}">
      <text>
        <r>
          <rPr>
            <sz val="9"/>
            <rFont val="宋体"/>
            <family val="3"/>
            <charset val="134"/>
          </rPr>
          <t>此科目在2019年才开始在资产负债表中列示</t>
        </r>
      </text>
    </comment>
    <comment ref="A52" authorId="0" shapeId="0" xr:uid="{00000000-0006-0000-0700-000002000000}">
      <text>
        <r>
          <rPr>
            <sz val="9"/>
            <rFont val="宋体"/>
            <family val="3"/>
            <charset val="134"/>
          </rPr>
          <t>2018年财政部要求将应收账款和应收票据合并列示，2019年政策又调整为分别列示</t>
        </r>
      </text>
    </comment>
    <comment ref="A68" authorId="0" shapeId="0" xr:uid="{00000000-0006-0000-0700-000003000000}">
      <text>
        <r>
          <rPr>
            <sz val="9"/>
            <rFont val="宋体"/>
            <family val="3"/>
            <charset val="134"/>
          </rPr>
          <t>包含长期应付职工薪酬</t>
        </r>
      </text>
    </comment>
    <comment ref="A69" authorId="0" shapeId="0" xr:uid="{00000000-0006-0000-0700-000004000000}">
      <text>
        <r>
          <rPr>
            <sz val="9"/>
            <rFont val="宋体"/>
            <family val="3"/>
            <charset val="134"/>
          </rPr>
          <t>包含预计长期负债</t>
        </r>
      </text>
    </comment>
    <comment ref="A86" authorId="0" shapeId="0" xr:uid="{00000000-0006-0000-0700-000005000000}">
      <text>
        <r>
          <rPr>
            <sz val="9"/>
            <rFont val="宋体"/>
            <family val="3"/>
            <charset val="134"/>
          </rPr>
          <t>假设按照15%的比例计提盈余公积</t>
        </r>
      </text>
    </comment>
    <comment ref="A87" authorId="0" shapeId="0" xr:uid="{00000000-0006-0000-0700-000006000000}">
      <text>
        <r>
          <rPr>
            <sz val="9"/>
            <rFont val="宋体"/>
            <family val="3"/>
            <charset val="134"/>
          </rPr>
          <t>包含股东权益特殊项目及报表平衡项目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赵亮</author>
    <author>admin</author>
    <author>Sinitek</author>
  </authors>
  <commentList>
    <comment ref="A16" authorId="0" shapeId="0" xr:uid="{00000000-0006-0000-0800-000001000000}">
      <text>
        <r>
          <rPr>
            <sz val="9"/>
            <rFont val="宋体"/>
            <family val="3"/>
            <charset val="134"/>
          </rPr>
          <t>此处取用现金流量表值</t>
        </r>
      </text>
    </comment>
    <comment ref="A22" authorId="1" shapeId="0" xr:uid="{00000000-0006-0000-08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使用营业收入、营业成本计算</t>
        </r>
      </text>
    </comment>
    <comment ref="A45" authorId="1" shapeId="0" xr:uid="{00000000-0006-0000-0800-000003000000}">
      <text>
        <r>
          <rPr>
            <b/>
            <sz val="12"/>
            <rFont val="宋体"/>
            <family val="3"/>
            <charset val="134"/>
          </rPr>
          <t>该指标历史年度有数据则直接取值，否则按照如下公式计算：EBIT=利润总额+财务费用</t>
        </r>
      </text>
    </comment>
    <comment ref="A93" authorId="2" shapeId="0" xr:uid="{00000000-0006-0000-0800-000004000000}">
      <text>
        <r>
          <rPr>
            <b/>
            <sz val="12"/>
            <rFont val="宋体"/>
            <family val="3"/>
            <charset val="134"/>
          </rPr>
          <t>其他调整包含永续债、归属于母公司其他权益工具持有者的净利润等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A2" authorId="0" shapeId="0" xr:uid="{00000000-0006-0000-0C00-000001000000}">
      <text>
        <r>
          <rPr>
            <sz val="10"/>
            <color indexed="81"/>
            <rFont val="宋体"/>
            <family val="3"/>
            <charset val="134"/>
          </rPr>
          <t>此处年数默认等于选择的预测期年数</t>
        </r>
      </text>
    </comment>
    <comment ref="A3" authorId="0" shapeId="0" xr:uid="{00000000-0006-0000-0C00-000002000000}">
      <text>
        <r>
          <rPr>
            <sz val="10"/>
            <color indexed="81"/>
            <rFont val="宋体"/>
            <family val="3"/>
            <charset val="134"/>
          </rPr>
          <t>默认是三阶段估值模型，如需两阶段估值，过渡期参数请勿填写。</t>
        </r>
      </text>
    </comment>
    <comment ref="A4" authorId="0" shapeId="0" xr:uid="{00000000-0006-0000-0C00-000003000000}">
      <text>
        <r>
          <rPr>
            <sz val="10"/>
            <color indexed="81"/>
            <rFont val="宋体"/>
            <family val="3"/>
            <charset val="134"/>
          </rPr>
          <t>如果过渡期年数为0则不填写</t>
        </r>
      </text>
    </comment>
    <comment ref="A13" authorId="0" shapeId="0" xr:uid="{00000000-0006-0000-0C00-000004000000}">
      <text>
        <r>
          <rPr>
            <sz val="9"/>
            <color indexed="81"/>
            <rFont val="宋体"/>
            <family val="3"/>
            <charset val="134"/>
          </rPr>
          <t>=资产预测!L207/(资产预测!L180+0.5*(资产预测!L181-资产预测!L182-资产预测!L183)+资产预测!L189+0.5*资产预测!L190+资产预测!L195+0.5*资产预测!L196+资产预测!L202+0.5*资产预测!L203)</t>
        </r>
      </text>
    </comment>
    <comment ref="A14" authorId="0" shapeId="0" xr:uid="{00000000-0006-0000-0C00-000005000000}">
      <text>
        <r>
          <rPr>
            <sz val="9"/>
            <color indexed="81"/>
            <rFont val="宋体"/>
            <family val="3"/>
            <charset val="134"/>
          </rPr>
          <t>=资产负债表!AK103/(资产负债表!AK103+目录!F6*目录!F7*1000000*目录!D6)</t>
        </r>
      </text>
    </comment>
    <comment ref="A37" authorId="0" shapeId="0" xr:uid="{00000000-0006-0000-0C00-000006000000}">
      <text>
        <r>
          <rPr>
            <sz val="10"/>
            <color indexed="81"/>
            <rFont val="宋体"/>
            <family val="3"/>
            <charset val="134"/>
          </rPr>
          <t xml:space="preserve">非核心资产包含货币资金、交易性金融资产、债务工具等资产
</t>
        </r>
      </text>
    </comment>
    <comment ref="A65" authorId="0" shapeId="0" xr:uid="{00000000-0006-0000-0C00-000007000000}">
      <text>
        <r>
          <rPr>
            <b/>
            <sz val="12"/>
            <rFont val="宋体"/>
            <family val="3"/>
            <charset val="134"/>
          </rPr>
          <t>市盈率(PE)=股权价值／归属母公司股东的净利润</t>
        </r>
        <r>
          <rPr>
            <sz val="12"/>
            <rFont val="宋体"/>
            <family val="3"/>
            <charset val="134"/>
          </rPr>
          <t xml:space="preserve">
</t>
        </r>
      </text>
    </comment>
    <comment ref="A66" authorId="0" shapeId="0" xr:uid="{00000000-0006-0000-0C00-000008000000}">
      <text>
        <r>
          <rPr>
            <b/>
            <sz val="12"/>
            <rFont val="宋体"/>
            <family val="3"/>
            <charset val="134"/>
          </rPr>
          <t>市净率（PB)=股权价值／归属母公司股东的权益</t>
        </r>
      </text>
    </comment>
    <comment ref="A67" authorId="0" shapeId="0" xr:uid="{00000000-0006-0000-0C00-000009000000}">
      <text>
        <r>
          <rPr>
            <b/>
            <sz val="12"/>
            <rFont val="宋体"/>
            <family val="3"/>
            <charset val="134"/>
          </rPr>
          <t>市销率=股权价值／营业收入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110" authorId="0" shapeId="0" xr:uid="{00000000-0006-0000-0C00-00000A000000}">
      <text>
        <r>
          <rPr>
            <b/>
            <sz val="12"/>
            <rFont val="宋体"/>
            <family val="3"/>
            <charset val="134"/>
          </rPr>
          <t xml:space="preserve">市盈率(PE)=股权价值／归属母公司股东的净利润
</t>
        </r>
      </text>
    </comment>
    <comment ref="A111" authorId="0" shapeId="0" xr:uid="{00000000-0006-0000-0C00-00000B000000}">
      <text>
        <r>
          <rPr>
            <b/>
            <sz val="12"/>
            <rFont val="宋体"/>
            <family val="3"/>
            <charset val="134"/>
          </rPr>
          <t>市净率（PB)=股权价值／归属母公司股东的权益</t>
        </r>
      </text>
    </comment>
    <comment ref="A112" authorId="0" shapeId="0" xr:uid="{00000000-0006-0000-0C00-00000C000000}">
      <text>
        <r>
          <rPr>
            <b/>
            <sz val="12"/>
            <rFont val="宋体"/>
            <family val="3"/>
            <charset val="134"/>
          </rPr>
          <t>市销率=股权价值／营业收入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152" authorId="0" shapeId="0" xr:uid="{00000000-0006-0000-0C00-00000D000000}">
      <text>
        <r>
          <rPr>
            <b/>
            <sz val="12"/>
            <rFont val="宋体"/>
            <family val="3"/>
            <charset val="134"/>
          </rPr>
          <t>市盈率(PE)=股权价值／归属母公司股东的净利润</t>
        </r>
        <r>
          <rPr>
            <b/>
            <sz val="9"/>
            <rFont val="宋体"/>
            <family val="3"/>
            <charset val="134"/>
          </rPr>
          <t xml:space="preserve">
</t>
        </r>
      </text>
    </comment>
    <comment ref="A153" authorId="0" shapeId="0" xr:uid="{00000000-0006-0000-0C00-00000E000000}">
      <text>
        <r>
          <rPr>
            <b/>
            <sz val="12"/>
            <rFont val="宋体"/>
            <family val="3"/>
            <charset val="134"/>
          </rPr>
          <t>市净率（PB)=股权价值／归属母公司股东的权益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154" authorId="0" shapeId="0" xr:uid="{00000000-0006-0000-0C00-00000F000000}">
      <text>
        <r>
          <rPr>
            <b/>
            <sz val="12"/>
            <rFont val="宋体"/>
            <family val="3"/>
            <charset val="134"/>
          </rPr>
          <t>市销率=股权价值／营业收入</t>
        </r>
        <r>
          <rPr>
            <sz val="12"/>
            <rFont val="宋体"/>
            <family val="3"/>
            <charset val="134"/>
          </rPr>
          <t xml:space="preserve">
</t>
        </r>
      </text>
    </comment>
    <comment ref="A178" authorId="0" shapeId="0" xr:uid="{00000000-0006-0000-0C00-000010000000}">
      <text>
        <r>
          <rPr>
            <b/>
            <sz val="12"/>
            <rFont val="宋体"/>
            <family val="3"/>
            <charset val="134"/>
          </rPr>
          <t>市盈率(PE)=股权价值／归属母公司股东的净利润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179" authorId="0" shapeId="0" xr:uid="{00000000-0006-0000-0C00-000011000000}">
      <text>
        <r>
          <rPr>
            <b/>
            <sz val="12"/>
            <rFont val="宋体"/>
            <family val="3"/>
            <charset val="134"/>
          </rPr>
          <t>市净率（PB)=股权价值／归属母公司股东的权益</t>
        </r>
      </text>
    </comment>
    <comment ref="A180" authorId="0" shapeId="0" xr:uid="{00000000-0006-0000-0C00-000012000000}">
      <text>
        <r>
          <rPr>
            <b/>
            <sz val="12"/>
            <rFont val="宋体"/>
            <family val="3"/>
            <charset val="134"/>
          </rPr>
          <t>市销率=股权价值／营业收入</t>
        </r>
      </text>
    </comment>
    <comment ref="B188" authorId="0" shapeId="0" xr:uid="{00000000-0006-0000-0C00-000013000000}">
      <text>
        <r>
          <rPr>
            <b/>
            <sz val="10"/>
            <rFont val="宋体"/>
            <family val="3"/>
            <charset val="134"/>
          </rPr>
          <t>滚动市盈率=当前市值/最近4个季度的净利润和</t>
        </r>
        <r>
          <rPr>
            <sz val="10"/>
            <rFont val="宋体"/>
            <family val="3"/>
            <charset val="134"/>
          </rPr>
          <t xml:space="preserve">
</t>
        </r>
      </text>
    </comment>
    <comment ref="C188" authorId="0" shapeId="0" xr:uid="{00000000-0006-0000-0C00-000014000000}">
      <text>
        <r>
          <rPr>
            <b/>
            <sz val="10"/>
            <rFont val="宋体"/>
            <family val="3"/>
            <charset val="134"/>
          </rPr>
          <t xml:space="preserve">市净率=当前的市值/最近1个季度净资产
</t>
        </r>
      </text>
    </comment>
    <comment ref="D188" authorId="0" shapeId="0" xr:uid="{00000000-0006-0000-0C00-000015000000}">
      <text>
        <r>
          <rPr>
            <b/>
            <sz val="10"/>
            <rFont val="宋体"/>
            <family val="3"/>
            <charset val="134"/>
          </rPr>
          <t>滚动市销率=当前市值/最近4个季度主营业务收入</t>
        </r>
      </text>
    </comment>
    <comment ref="F188" authorId="0" shapeId="0" xr:uid="{00000000-0006-0000-0C00-000016000000}">
      <text>
        <r>
          <rPr>
            <b/>
            <sz val="10"/>
            <rFont val="宋体"/>
            <family val="3"/>
            <charset val="134"/>
          </rPr>
          <t>历史三年均值</t>
        </r>
      </text>
    </comment>
    <comment ref="G188" authorId="0" shapeId="0" xr:uid="{00000000-0006-0000-0C00-000017000000}">
      <text>
        <r>
          <rPr>
            <b/>
            <sz val="10"/>
            <rFont val="宋体"/>
            <family val="3"/>
            <charset val="134"/>
          </rPr>
          <t>历史三年均值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Sinitek</author>
  </authors>
  <commentList>
    <comment ref="E1" authorId="0" shapeId="0" xr:uid="{00000000-0006-0000-0D00-000001000000}">
      <text>
        <r>
          <rPr>
            <b/>
            <sz val="10"/>
            <rFont val="宋体"/>
            <family val="3"/>
            <charset val="134"/>
          </rPr>
          <t>滚动市盈率=当前市值/最近4个季度的净利润和</t>
        </r>
      </text>
    </comment>
    <comment ref="F1" authorId="0" shapeId="0" xr:uid="{00000000-0006-0000-0D00-000002000000}">
      <text>
        <r>
          <rPr>
            <b/>
            <sz val="10"/>
            <rFont val="宋体"/>
            <family val="3"/>
            <charset val="134"/>
          </rPr>
          <t>市净率=当前的市值/最近1个季度净资产</t>
        </r>
        <r>
          <rPr>
            <b/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G1" authorId="0" shapeId="0" xr:uid="{00000000-0006-0000-0D00-000003000000}">
      <text>
        <r>
          <rPr>
            <b/>
            <sz val="10"/>
            <rFont val="宋体"/>
            <family val="3"/>
            <charset val="134"/>
          </rPr>
          <t>滚动市销率=当前市值/最近4个季度主营业务收入</t>
        </r>
      </text>
    </comment>
    <comment ref="X1" authorId="1" shapeId="0" xr:uid="{00000000-0006-0000-0D00-000004000000}">
      <text>
        <r>
          <rPr>
            <b/>
            <sz val="10"/>
            <rFont val="宋体"/>
            <family val="3"/>
            <charset val="134"/>
          </rPr>
          <t xml:space="preserve">基本每股收益
</t>
        </r>
      </text>
    </comment>
    <comment ref="AB1" authorId="1" shapeId="0" xr:uid="{00000000-0006-0000-0D00-000005000000}">
      <text>
        <r>
          <rPr>
            <b/>
            <sz val="10"/>
            <rFont val="宋体"/>
            <family val="3"/>
            <charset val="134"/>
          </rPr>
          <t>加权平均净资产收益率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Sinitek</author>
  </authors>
  <commentList>
    <comment ref="A63" authorId="0" shapeId="0" xr:uid="{00000000-0006-0000-0E00-000001000000}">
      <text>
        <r>
          <rPr>
            <sz val="10.5"/>
            <rFont val="宋体"/>
            <family val="3"/>
            <charset val="134"/>
          </rPr>
          <t>基于最新年报数据变动</t>
        </r>
      </text>
    </comment>
    <comment ref="K63" authorId="0" shapeId="0" xr:uid="{00000000-0006-0000-0E00-000002000000}">
      <text>
        <r>
          <rPr>
            <sz val="10.5"/>
            <rFont val="宋体"/>
            <family val="3"/>
            <charset val="134"/>
          </rPr>
          <t>基于预测第一年调整后数据变动</t>
        </r>
      </text>
    </comment>
    <comment ref="A77" authorId="1" shapeId="0" xr:uid="{00000000-0006-0000-0E00-000003000000}">
      <text>
        <r>
          <rPr>
            <sz val="10.5"/>
            <rFont val="宋体"/>
            <family val="3"/>
            <charset val="134"/>
          </rPr>
          <t>假设财务费用、其他收益、所得税费用、少数股东损益等数值不变</t>
        </r>
      </text>
    </comment>
    <comment ref="K77" authorId="1" shapeId="0" xr:uid="{00000000-0006-0000-0E00-000004000000}">
      <text>
        <r>
          <rPr>
            <sz val="10.5"/>
            <rFont val="宋体"/>
            <family val="3"/>
            <charset val="134"/>
          </rPr>
          <t xml:space="preserve">假设财务费用、其他收益、所得税费用、少数股东损益等数值不变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Sinitek</author>
  </authors>
  <commentList>
    <comment ref="B22" authorId="0" shapeId="0" xr:uid="{00000000-0006-0000-0F00-000001000000}">
      <text>
        <r>
          <rPr>
            <b/>
            <sz val="9"/>
            <color indexed="81"/>
            <rFont val="宋体"/>
            <family val="3"/>
            <charset val="134"/>
          </rPr>
          <t>不考虑营业利润差额调整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赵亮</author>
    <author>Sinitek</author>
    <author>admin</author>
  </authors>
  <commentList>
    <comment ref="AM4" authorId="0" shapeId="0" xr:uid="{00000000-0006-0000-1000-000001000000}">
      <text>
        <r>
          <rPr>
            <sz val="9"/>
            <rFont val="宋体"/>
            <family val="3"/>
            <charset val="134"/>
          </rPr>
          <t>此处为重要标志为，不得删除。
标志位具体含义如下：
0-1季报未出
1-1季报已出，半年报未出
2-半年报已出，三季报未出
3-三季报已出，年报未出</t>
        </r>
      </text>
    </comment>
    <comment ref="C8" authorId="1" shapeId="0" xr:uid="{00000000-0006-0000-1000-000002000000}">
      <text>
        <r>
          <rPr>
            <b/>
            <sz val="9"/>
            <rFont val="宋体"/>
            <family val="3"/>
            <charset val="134"/>
          </rPr>
          <t>包含利息收入+已赚保费+手续费及佣金收入</t>
        </r>
      </text>
    </comment>
    <comment ref="C18" authorId="1" shapeId="0" xr:uid="{00000000-0006-0000-1000-000003000000}">
      <text>
        <r>
          <rPr>
            <b/>
            <sz val="9"/>
            <rFont val="宋体"/>
            <family val="3"/>
            <charset val="134"/>
          </rPr>
          <t>包含利息支出+手续费及佣金支出+退保金+赔付支出净额+提取保险合同准备金额+保单红利支出+分保费用</t>
        </r>
      </text>
    </comment>
    <comment ref="C28" authorId="1" shapeId="0" xr:uid="{00000000-0006-0000-1000-000004000000}">
      <text>
        <r>
          <rPr>
            <b/>
            <sz val="9"/>
            <rFont val="宋体"/>
            <family val="3"/>
            <charset val="134"/>
          </rPr>
          <t>特殊报表科目调整</t>
        </r>
      </text>
    </comment>
    <comment ref="C32" authorId="1" shapeId="0" xr:uid="{00000000-0006-0000-1000-000005000000}">
      <text>
        <r>
          <rPr>
            <b/>
            <sz val="9"/>
            <rFont val="宋体"/>
            <family val="3"/>
            <charset val="134"/>
          </rPr>
          <t>特殊报表科目调整</t>
        </r>
      </text>
    </comment>
    <comment ref="AQ289" authorId="2" shapeId="0" xr:uid="{00000000-0006-0000-1000-000006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一季度</t>
        </r>
      </text>
    </comment>
    <comment ref="AR289" authorId="2" shapeId="0" xr:uid="{00000000-0006-0000-1000-000007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二季度</t>
        </r>
      </text>
    </comment>
  </commentList>
</comments>
</file>

<file path=xl/sharedStrings.xml><?xml version="1.0" encoding="utf-8"?>
<sst xmlns="http://schemas.openxmlformats.org/spreadsheetml/2006/main" count="1986" uniqueCount="1268">
  <si>
    <t>百万股</t>
  </si>
  <si>
    <t>股票名称</t>
  </si>
  <si>
    <t>XXXX</t>
  </si>
  <si>
    <t>最新报告期</t>
  </si>
  <si>
    <t>XXXX-XX-XX</t>
  </si>
  <si>
    <t>最新年报报告期</t>
  </si>
  <si>
    <r>
      <rPr>
        <b/>
        <sz val="10"/>
        <color rgb="FF000000"/>
        <rFont val="宋体"/>
        <family val="3"/>
        <charset val="134"/>
      </rPr>
      <t>版权所有：</t>
    </r>
    <r>
      <rPr>
        <sz val="10"/>
        <color indexed="63"/>
        <rFont val="宋体"/>
        <family val="3"/>
        <charset val="134"/>
      </rPr>
      <t xml:space="preserve">  上海携宁计算机科技股份有限公司</t>
    </r>
  </si>
  <si>
    <t>百万元</t>
  </si>
  <si>
    <t>估值日期</t>
  </si>
  <si>
    <t>联系电话：  18101638931(工作日)，18117554345(值班)</t>
  </si>
  <si>
    <t>最新收盘价（元）</t>
  </si>
  <si>
    <r>
      <rPr>
        <b/>
        <sz val="10"/>
        <color rgb="FF000000"/>
        <rFont val="宋体"/>
        <family val="3"/>
        <charset val="134"/>
      </rPr>
      <t>E-mail ：   model</t>
    </r>
    <r>
      <rPr>
        <b/>
        <sz val="10"/>
        <color indexed="63"/>
        <rFont val="宋体"/>
        <family val="3"/>
        <charset val="134"/>
      </rPr>
      <t>support@sinitek.com</t>
    </r>
  </si>
  <si>
    <t>最新总股本（百万）</t>
  </si>
  <si>
    <t>WebSite：   www.sinitek.com</t>
  </si>
  <si>
    <t>最新流通A股股本（百万）</t>
  </si>
  <si>
    <t>下载地址：  https://cloudmodel.sinitek.com</t>
  </si>
  <si>
    <t>最新行情日</t>
  </si>
  <si>
    <t xml:space="preserve"> 使用步骤：</t>
  </si>
  <si>
    <t xml:space="preserve"> 重要提示：</t>
  </si>
  <si>
    <t>1.使用本模型前请确保已下载并安装估值模型插件(携宁科技云估值)；</t>
  </si>
  <si>
    <t>1.修改股票代码或重新选择历史数据年数后，需重新点击“提取历史数据”按钮来更新数据；</t>
  </si>
  <si>
    <t>2.点击“提取历史数据”，在股票代码框中输入代码或名称，支持模糊搜索；</t>
  </si>
  <si>
    <r>
      <rPr>
        <sz val="10"/>
        <rFont val="宋体"/>
        <family val="3"/>
        <charset val="134"/>
      </rPr>
      <t>2.</t>
    </r>
    <r>
      <rPr>
        <b/>
        <sz val="10"/>
        <color rgb="FFFF0000"/>
        <rFont val="宋体"/>
        <family val="3"/>
        <charset val="134"/>
      </rPr>
      <t>不能修改单元格内的公式</t>
    </r>
    <r>
      <rPr>
        <sz val="10"/>
        <rFont val="宋体"/>
        <family val="3"/>
        <charset val="134"/>
      </rPr>
      <t>，否则可能导致报表不平；</t>
    </r>
  </si>
  <si>
    <t xml:space="preserve">  选择历史数据年数、货币单位等选项，可以设置更新范围；</t>
  </si>
  <si>
    <r>
      <rPr>
        <sz val="10"/>
        <rFont val="宋体"/>
        <family val="3"/>
        <charset val="134"/>
      </rPr>
      <t>3.</t>
    </r>
    <r>
      <rPr>
        <b/>
        <sz val="10"/>
        <color rgb="FFFF0000"/>
        <rFont val="宋体"/>
        <family val="3"/>
        <charset val="134"/>
      </rPr>
      <t>不能增加/删除</t>
    </r>
    <r>
      <rPr>
        <sz val="10"/>
        <rFont val="宋体"/>
        <family val="3"/>
        <charset val="134"/>
      </rPr>
      <t>已有Sheet及已有Sheet中的行或列；</t>
    </r>
  </si>
  <si>
    <t>3.点击“预测数据设置”按钮可实现销售预测、资产预测的参数设置；</t>
  </si>
  <si>
    <r>
      <rPr>
        <sz val="10"/>
        <rFont val="宋体"/>
        <family val="3"/>
        <charset val="134"/>
      </rPr>
      <t>4.如有需要，可以自由增加Sheet，但</t>
    </r>
    <r>
      <rPr>
        <b/>
        <sz val="10"/>
        <color rgb="FFFF0000"/>
        <rFont val="宋体"/>
        <family val="3"/>
        <charset val="134"/>
      </rPr>
      <t>不能修改已有Sheet名称</t>
    </r>
    <r>
      <rPr>
        <sz val="10"/>
        <rFont val="宋体"/>
        <family val="3"/>
        <charset val="134"/>
      </rPr>
      <t>；</t>
    </r>
  </si>
  <si>
    <t>4.点击“显示季度数据”可以展示/隐藏季度数据；</t>
  </si>
  <si>
    <t>5.若弹窗提示"折旧摊销异常"，请前往投资与减值表填写折旧摊销数据；</t>
  </si>
  <si>
    <r>
      <rPr>
        <sz val="10"/>
        <rFont val="宋体"/>
        <family val="3"/>
        <charset val="134"/>
      </rPr>
      <t>5.点击“</t>
    </r>
    <r>
      <rPr>
        <b/>
        <sz val="10"/>
        <color rgb="FFFF0000"/>
        <rFont val="宋体"/>
        <family val="3"/>
        <charset val="134"/>
      </rPr>
      <t>添加输出表</t>
    </r>
    <r>
      <rPr>
        <sz val="10"/>
        <rFont val="宋体"/>
        <family val="3"/>
        <charset val="134"/>
      </rPr>
      <t>”可进行输出表更新；</t>
    </r>
  </si>
  <si>
    <t>6.若弹窗提示"资本开支异常"，请前往投资与减值表填写当期资产增加值；</t>
  </si>
  <si>
    <r>
      <rPr>
        <sz val="10"/>
        <rFont val="宋体"/>
        <family val="3"/>
        <charset val="134"/>
      </rPr>
      <t>6.点击“</t>
    </r>
    <r>
      <rPr>
        <b/>
        <sz val="10"/>
        <color rgb="FFFF0000"/>
        <rFont val="宋体"/>
        <family val="3"/>
        <charset val="134"/>
      </rPr>
      <t>导入历史模型</t>
    </r>
    <r>
      <rPr>
        <sz val="10"/>
        <rFont val="宋体"/>
        <family val="3"/>
        <charset val="134"/>
      </rPr>
      <t>”可实现历史预测数据迁移，支持V6-V12版本导入。</t>
    </r>
  </si>
  <si>
    <r>
      <rPr>
        <sz val="10"/>
        <rFont val="宋体"/>
        <family val="3"/>
        <charset val="134"/>
      </rPr>
      <t>7.若弹窗提示"</t>
    </r>
    <r>
      <rPr>
        <b/>
        <sz val="10"/>
        <color rgb="FFFF0000"/>
        <rFont val="宋体"/>
        <family val="3"/>
        <charset val="134"/>
      </rPr>
      <t>资产负债表不平</t>
    </r>
    <r>
      <rPr>
        <sz val="10"/>
        <rFont val="宋体"/>
        <family val="3"/>
        <charset val="134"/>
      </rPr>
      <t>"，请打开空模型并通过"导入历史模型"功能将未配平模型导入。</t>
    </r>
  </si>
  <si>
    <t>公司经营数据</t>
  </si>
  <si>
    <t>自动生成的收入拆分数据</t>
  </si>
  <si>
    <t xml:space="preserve"> 参数填写说明：</t>
  </si>
  <si>
    <t>销售预测</t>
  </si>
  <si>
    <t>用户填写相关假设，自动生成数据</t>
  </si>
  <si>
    <t>黄色底纹需手工填写数据</t>
  </si>
  <si>
    <t>资产预测</t>
  </si>
  <si>
    <t>投资与减值</t>
  </si>
  <si>
    <t>主要财务摘要</t>
  </si>
  <si>
    <t>自动生成的财务指标计算结果</t>
  </si>
  <si>
    <t>金色边框可自由修改参数</t>
  </si>
  <si>
    <t>报表摘要</t>
  </si>
  <si>
    <t>资产负债表</t>
  </si>
  <si>
    <t>利润表</t>
  </si>
  <si>
    <t>蓝色底纹可以手工填写数据</t>
  </si>
  <si>
    <t>现金流量表</t>
  </si>
  <si>
    <t>财务分析</t>
  </si>
  <si>
    <t>参数计算</t>
  </si>
  <si>
    <t>估值</t>
  </si>
  <si>
    <t>同业分析</t>
  </si>
  <si>
    <t>自动生成的同业分析数据</t>
  </si>
  <si>
    <t>盈利敏感性分析</t>
  </si>
  <si>
    <t>单季度利润表</t>
  </si>
  <si>
    <t>自动生成的单季度利润表</t>
  </si>
  <si>
    <t>财务基础数据</t>
  </si>
  <si>
    <t>自动生成的财务基础数据</t>
  </si>
  <si>
    <t>财务附注数据</t>
  </si>
  <si>
    <t>自动生成的财务附注数据</t>
  </si>
  <si>
    <t>收入项目</t>
  </si>
  <si>
    <t>营业收入</t>
  </si>
  <si>
    <t>增长率%</t>
  </si>
  <si>
    <t>营业成本</t>
  </si>
  <si>
    <t>毛利</t>
  </si>
  <si>
    <t>毛利率</t>
  </si>
  <si>
    <t>此页季度数据为单季度数据</t>
  </si>
  <si>
    <t>产品收入成本</t>
  </si>
  <si>
    <r>
      <rPr>
        <b/>
        <sz val="12"/>
        <rFont val="微软雅黑"/>
        <family val="2"/>
        <charset val="134"/>
      </rPr>
      <t>注意：预测</t>
    </r>
    <r>
      <rPr>
        <b/>
        <sz val="12"/>
        <color rgb="FFFF0000"/>
        <rFont val="微软雅黑"/>
        <family val="2"/>
        <charset val="134"/>
      </rPr>
      <t>前三年</t>
    </r>
    <r>
      <rPr>
        <b/>
        <sz val="12"/>
        <rFont val="微软雅黑"/>
        <family val="2"/>
        <charset val="134"/>
      </rPr>
      <t>可按照</t>
    </r>
    <r>
      <rPr>
        <b/>
        <sz val="12"/>
        <color rgb="FFFF0000"/>
        <rFont val="微软雅黑"/>
        <family val="2"/>
        <charset val="134"/>
      </rPr>
      <t>季度数据</t>
    </r>
    <r>
      <rPr>
        <b/>
        <sz val="12"/>
        <rFont val="微软雅黑"/>
        <family val="2"/>
        <charset val="134"/>
      </rPr>
      <t>进行预测（如当前三季报已出，可直接在</t>
    </r>
    <r>
      <rPr>
        <b/>
        <sz val="12"/>
        <color rgb="FFFF0000"/>
        <rFont val="微软雅黑"/>
        <family val="2"/>
        <charset val="134"/>
      </rPr>
      <t>蓝色单元格</t>
    </r>
    <r>
      <rPr>
        <b/>
        <sz val="12"/>
        <rFont val="微软雅黑"/>
        <family val="2"/>
        <charset val="134"/>
      </rPr>
      <t>填写第四</t>
    </r>
    <r>
      <rPr>
        <b/>
        <sz val="12"/>
        <color rgb="FFFF0000"/>
        <rFont val="微软雅黑"/>
        <family val="2"/>
        <charset val="134"/>
      </rPr>
      <t>季度数据</t>
    </r>
    <r>
      <rPr>
        <b/>
        <sz val="12"/>
        <rFont val="微软雅黑"/>
        <family val="2"/>
        <charset val="134"/>
      </rPr>
      <t>），也可直接在</t>
    </r>
    <r>
      <rPr>
        <b/>
        <sz val="12"/>
        <color rgb="FFFF0000"/>
        <rFont val="微软雅黑"/>
        <family val="2"/>
        <charset val="134"/>
      </rPr>
      <t>黄色单元格</t>
    </r>
    <r>
      <rPr>
        <b/>
        <sz val="12"/>
        <rFont val="微软雅黑"/>
        <family val="2"/>
        <charset val="134"/>
      </rPr>
      <t>填写</t>
    </r>
    <r>
      <rPr>
        <b/>
        <sz val="12"/>
        <color rgb="FFFF0000"/>
        <rFont val="微软雅黑"/>
        <family val="2"/>
        <charset val="134"/>
      </rPr>
      <t>年度</t>
    </r>
    <r>
      <rPr>
        <b/>
        <sz val="12"/>
        <rFont val="微软雅黑"/>
        <family val="2"/>
        <charset val="134"/>
      </rPr>
      <t>预测数据</t>
    </r>
  </si>
  <si>
    <t>项   目</t>
  </si>
  <si>
    <t>营业总收入</t>
  </si>
  <si>
    <t>yoy(%)</t>
  </si>
  <si>
    <t>其他金融类业务收入</t>
  </si>
  <si>
    <t>其他金融类业务成本</t>
  </si>
  <si>
    <t>经营收益的其他假设</t>
  </si>
  <si>
    <r>
      <rPr>
        <b/>
        <sz val="12"/>
        <rFont val="微软雅黑"/>
        <family val="2"/>
        <charset val="134"/>
      </rPr>
      <t>说明：季度数据预测和年度数据预测不可同时生效，只可</t>
    </r>
    <r>
      <rPr>
        <b/>
        <sz val="12"/>
        <color rgb="FFFF0000"/>
        <rFont val="微软雅黑"/>
        <family val="2"/>
        <charset val="134"/>
      </rPr>
      <t>选择其中一种</t>
    </r>
    <r>
      <rPr>
        <b/>
        <sz val="12"/>
        <rFont val="微软雅黑"/>
        <family val="2"/>
        <charset val="134"/>
      </rPr>
      <t>预测方式</t>
    </r>
  </si>
  <si>
    <t>税金及附加</t>
  </si>
  <si>
    <t>税金及附加/营业收入</t>
  </si>
  <si>
    <t>销售费用</t>
  </si>
  <si>
    <t>销售费用/营业收入</t>
  </si>
  <si>
    <t>管理费用</t>
  </si>
  <si>
    <t>管理费用/营业收入</t>
  </si>
  <si>
    <t>研发费用</t>
  </si>
  <si>
    <t>研发费用/营业收入</t>
  </si>
  <si>
    <t>其他收益</t>
  </si>
  <si>
    <t>其他收益/营业收入</t>
  </si>
  <si>
    <t>投资收益</t>
  </si>
  <si>
    <t>投资收益/营业收入</t>
  </si>
  <si>
    <t>资产处置收益</t>
  </si>
  <si>
    <t>资产处置收益/营业收入</t>
  </si>
  <si>
    <t>营业外收入</t>
  </si>
  <si>
    <t>营业外支出</t>
  </si>
  <si>
    <t>营业外收支</t>
  </si>
  <si>
    <t>其中：与处置资产无关的收支</t>
  </si>
  <si>
    <t>所得税费用</t>
  </si>
  <si>
    <t>所得税税率</t>
  </si>
  <si>
    <t>少数股东损益</t>
  </si>
  <si>
    <t>少数股东损益/净利润</t>
  </si>
  <si>
    <t>合并产生的损益（直接计入权益）</t>
  </si>
  <si>
    <t>营运资金</t>
  </si>
  <si>
    <t>会计年度截止日：12/31</t>
  </si>
  <si>
    <t>流动资产</t>
  </si>
  <si>
    <t>以下周转天数指标按照资产/负债科目的期末值计算</t>
  </si>
  <si>
    <t>应收票据</t>
  </si>
  <si>
    <t>周转天数（相对于营业收入）</t>
  </si>
  <si>
    <t>应收票据/营业收入（%）</t>
  </si>
  <si>
    <t>应收账款</t>
  </si>
  <si>
    <t>应收账款/营业收入（%）</t>
  </si>
  <si>
    <t>应收款项融资</t>
  </si>
  <si>
    <t>比营业收入（%）</t>
  </si>
  <si>
    <t>预付账款</t>
  </si>
  <si>
    <t>比营业成本（%）</t>
  </si>
  <si>
    <t>其他应收款</t>
  </si>
  <si>
    <t>其他应收款/营业收入（%）</t>
  </si>
  <si>
    <t>存货</t>
  </si>
  <si>
    <t>周转天数（相对于营业成本）</t>
  </si>
  <si>
    <t>存货/营业成本（%）</t>
  </si>
  <si>
    <t>合同资产</t>
  </si>
  <si>
    <t>流动负债</t>
  </si>
  <si>
    <t>应付票据</t>
  </si>
  <si>
    <t>应付票据/营业成本（%）</t>
  </si>
  <si>
    <t>应付账款</t>
  </si>
  <si>
    <t>应付账款/营业成本（%）</t>
  </si>
  <si>
    <t>预收账款</t>
  </si>
  <si>
    <t>合同负债</t>
  </si>
  <si>
    <t>应付职工薪酬</t>
  </si>
  <si>
    <t>应交税费</t>
  </si>
  <si>
    <t>其他应付款</t>
  </si>
  <si>
    <t>营业成本（%）</t>
  </si>
  <si>
    <t>投资预测</t>
  </si>
  <si>
    <t>(一)流动金融资产/负债</t>
  </si>
  <si>
    <t>交易性金融资产</t>
  </si>
  <si>
    <t>1#1</t>
  </si>
  <si>
    <t>新增、处置</t>
  </si>
  <si>
    <t>公允价值变动</t>
  </si>
  <si>
    <t>衍生金融资产</t>
  </si>
  <si>
    <t>其他流动资产</t>
  </si>
  <si>
    <t>本期增减</t>
  </si>
  <si>
    <t>其中：理财产品</t>
  </si>
  <si>
    <t>交易性金融负债</t>
  </si>
  <si>
    <t>衍生金融负债</t>
  </si>
  <si>
    <t>其他流动负债</t>
  </si>
  <si>
    <t>其中：短期融资券</t>
  </si>
  <si>
    <t>（二）长期资产</t>
  </si>
  <si>
    <t>债权投资</t>
  </si>
  <si>
    <t>当期增加</t>
  </si>
  <si>
    <t>其他债权投资</t>
  </si>
  <si>
    <t>长期应收款</t>
  </si>
  <si>
    <t>其他权益工具投资</t>
  </si>
  <si>
    <t>其他非流动金融资产</t>
  </si>
  <si>
    <t>长期待摊费用</t>
  </si>
  <si>
    <t>当期摊销</t>
  </si>
  <si>
    <t>当期公允价值变动</t>
  </si>
  <si>
    <t>请不要改动公允价值变动合计的公式</t>
  </si>
  <si>
    <t>融资预测(股权融资、债权融资)</t>
  </si>
  <si>
    <t>（一）股权融资</t>
  </si>
  <si>
    <t>1、新股发行</t>
  </si>
  <si>
    <t>发行股数</t>
  </si>
  <si>
    <t>发行价格</t>
  </si>
  <si>
    <t>股票面值</t>
  </si>
  <si>
    <t>默认股票面值为1元/股，若为特殊值，请自行在此修改</t>
  </si>
  <si>
    <t>发行费用</t>
  </si>
  <si>
    <t>当期股本增加</t>
  </si>
  <si>
    <t>当期资本公积增加</t>
  </si>
  <si>
    <t>2、增发</t>
  </si>
  <si>
    <t>3、回购股份</t>
  </si>
  <si>
    <t>回购股数</t>
  </si>
  <si>
    <t>1.默认回购股份未注销，只影响库存股；
2.若当期回购且注销股份，影响股本和资本公积，请在147、148行填写数据（参考单元格批注），同时清空149行数据；
3.若当期仅注销股份，所有者权益内部增减变动不影响现金流，请同时调整147、148、149行数据。</t>
  </si>
  <si>
    <t>回购总金额</t>
  </si>
  <si>
    <t>本期股本减少(以"+"列示）</t>
  </si>
  <si>
    <t>本期资本公积减少(以"+"列示）</t>
  </si>
  <si>
    <t xml:space="preserve">   库存股变动</t>
  </si>
  <si>
    <t>4、其他权益变动</t>
  </si>
  <si>
    <t>当期股本变动</t>
  </si>
  <si>
    <t xml:space="preserve">   配股</t>
  </si>
  <si>
    <t xml:space="preserve">   送股</t>
  </si>
  <si>
    <t xml:space="preserve">   转股</t>
  </si>
  <si>
    <t>当期资本公积、未分配利润变动</t>
  </si>
  <si>
    <t xml:space="preserve">   配股（资本公积）</t>
  </si>
  <si>
    <t xml:space="preserve">   送股（未分配利润）</t>
  </si>
  <si>
    <t xml:space="preserve">   转股（资本公积）</t>
  </si>
  <si>
    <t>5、现金分红</t>
  </si>
  <si>
    <t>当期现金分红总额</t>
  </si>
  <si>
    <t>股利分配率</t>
  </si>
  <si>
    <t>每股股利</t>
  </si>
  <si>
    <t>6、特殊方式融资（可转债、优先股、期权等）</t>
  </si>
  <si>
    <t>增加的股本</t>
  </si>
  <si>
    <t>可转债</t>
  </si>
  <si>
    <t>其他</t>
  </si>
  <si>
    <t>若发生其他权益变动事项，如股权激励等，请在蓝色单元格手动填写数值</t>
  </si>
  <si>
    <t>增加的资本公积</t>
  </si>
  <si>
    <t>（二）债权融资</t>
  </si>
  <si>
    <t>1、应付债券</t>
  </si>
  <si>
    <t>期初余额</t>
  </si>
  <si>
    <t>当期发行</t>
  </si>
  <si>
    <t>当期偿还</t>
  </si>
  <si>
    <t>当期可转债转股金额</t>
  </si>
  <si>
    <t>转股数量</t>
  </si>
  <si>
    <t>期末余额</t>
  </si>
  <si>
    <t>债券利率</t>
  </si>
  <si>
    <t>2、租赁负债</t>
  </si>
  <si>
    <t>当期增减</t>
  </si>
  <si>
    <t>租赁负债利率</t>
  </si>
  <si>
    <t>3、长期借款</t>
  </si>
  <si>
    <t>长期借款利率</t>
  </si>
  <si>
    <t>4、短期借款</t>
  </si>
  <si>
    <t>短期借款利率</t>
  </si>
  <si>
    <t>利息支出</t>
  </si>
  <si>
    <t>利息支出调整</t>
  </si>
  <si>
    <t>利息收入</t>
  </si>
  <si>
    <t>存款利率</t>
  </si>
  <si>
    <t>利息收入调整</t>
  </si>
  <si>
    <t>其他调整</t>
  </si>
  <si>
    <t>如涉及到汇兑损益等特殊项目引起的财务费用变动可在此处调整</t>
  </si>
  <si>
    <t>财务费用小计</t>
  </si>
  <si>
    <t>期初现金余额</t>
  </si>
  <si>
    <t>当期现金净变动：</t>
  </si>
  <si>
    <t>经营活动产生的现金流量</t>
  </si>
  <si>
    <t>投资活动产生的现金流量</t>
  </si>
  <si>
    <t>融资活动产生的现金流量</t>
  </si>
  <si>
    <t>若现金有缺口，请手动增加短期借款或长期借款补充资金，使该行数值大于0即可</t>
  </si>
  <si>
    <t>-</t>
  </si>
  <si>
    <t>最低现金余额</t>
  </si>
  <si>
    <t>现金剩余/缺口</t>
  </si>
  <si>
    <t>货币资金期初余额</t>
  </si>
  <si>
    <t>其中：</t>
  </si>
  <si>
    <t>现金及现金等价物</t>
  </si>
  <si>
    <t>其他货币资金</t>
  </si>
  <si>
    <t>货币资金期末余额</t>
  </si>
  <si>
    <t>若货币资金余额为负数，请检查预测参数填写合理性，增加资金流入或者减少资金流出</t>
  </si>
  <si>
    <t>投资支出</t>
  </si>
  <si>
    <t>一、固定资产</t>
  </si>
  <si>
    <t>假设：</t>
  </si>
  <si>
    <t>预计使用寿命</t>
  </si>
  <si>
    <t>预计净残值</t>
  </si>
  <si>
    <t>原值：</t>
  </si>
  <si>
    <t>期初</t>
  </si>
  <si>
    <t>本期增加(外购）</t>
  </si>
  <si>
    <t>本期在建工程转固</t>
  </si>
  <si>
    <t>在建工程转固金额请在下方填写预测参数，不要修改此处公式！</t>
  </si>
  <si>
    <t>期末</t>
  </si>
  <si>
    <t>本期计提折旧：</t>
  </si>
  <si>
    <t>折旧率%</t>
  </si>
  <si>
    <t>减值：</t>
  </si>
  <si>
    <t>本期增加</t>
  </si>
  <si>
    <t>其他增减</t>
  </si>
  <si>
    <t>期初固定资产净额</t>
  </si>
  <si>
    <t>期末固定资产净额</t>
  </si>
  <si>
    <t>原有资产</t>
  </si>
  <si>
    <t>期末净额</t>
  </si>
  <si>
    <t>期末原值</t>
  </si>
  <si>
    <t>新增资产</t>
  </si>
  <si>
    <t>使用年限</t>
  </si>
  <si>
    <t>折旧总额</t>
  </si>
  <si>
    <t>二、在建工程</t>
  </si>
  <si>
    <t>期初在建工程净额</t>
  </si>
  <si>
    <t>在建工程转固</t>
  </si>
  <si>
    <t>本期减值准备</t>
  </si>
  <si>
    <t>期末在建工程净额</t>
  </si>
  <si>
    <t>三、无形资产</t>
  </si>
  <si>
    <t>本期计提摊销：</t>
  </si>
  <si>
    <t>摊销率</t>
  </si>
  <si>
    <t>期初无形资产净额</t>
  </si>
  <si>
    <t>期末无形资产净额</t>
  </si>
  <si>
    <t>四、商誉</t>
  </si>
  <si>
    <t>期初商誉净额</t>
  </si>
  <si>
    <t>期末商誉净额</t>
  </si>
  <si>
    <t>五、长期股权投资</t>
  </si>
  <si>
    <t>期初长期股权投资</t>
  </si>
  <si>
    <t>权益法下确认的投资收益</t>
  </si>
  <si>
    <t>假设此处投资收益不影响现金流</t>
  </si>
  <si>
    <t>增加/减少投资</t>
  </si>
  <si>
    <t>期末长期股权投资</t>
  </si>
  <si>
    <t>六、投资性房地产</t>
  </si>
  <si>
    <t>期初投资性房地产</t>
  </si>
  <si>
    <t>1.公允价值模式计量</t>
  </si>
  <si>
    <t>本期公允价值变动</t>
  </si>
  <si>
    <t>2.成本模式计量</t>
  </si>
  <si>
    <t>本期折旧/摊销</t>
  </si>
  <si>
    <t>期末投资性房地产</t>
  </si>
  <si>
    <t>七、使用权资产</t>
  </si>
  <si>
    <t>期初使用权资产净额</t>
  </si>
  <si>
    <t>期末使用权资产净额</t>
  </si>
  <si>
    <t>八、生产性生物资产</t>
  </si>
  <si>
    <t>期初生产性生物资产</t>
  </si>
  <si>
    <t>期末生产性生物资产</t>
  </si>
  <si>
    <t>九、油气资产</t>
  </si>
  <si>
    <t>本期计提折旧</t>
  </si>
  <si>
    <t>期初油气资产净额</t>
  </si>
  <si>
    <t>期末油气资产净额</t>
  </si>
  <si>
    <t>资本性投资小计</t>
  </si>
  <si>
    <t>此处资本性支出指企业经营性长期资产</t>
  </si>
  <si>
    <t>资产减值损失小计</t>
  </si>
  <si>
    <t>资产减值与信用减值</t>
  </si>
  <si>
    <t>资产减值损失合计</t>
  </si>
  <si>
    <t>请不要改动资产减值损失合计的公式</t>
  </si>
  <si>
    <t>当期资产减值损失小计</t>
  </si>
  <si>
    <t>其他资产</t>
  </si>
  <si>
    <t>信用减值损失合计</t>
  </si>
  <si>
    <t>请不要改动信用减值损失合计的公式</t>
  </si>
  <si>
    <t>每股转换比例：</t>
  </si>
  <si>
    <t xml:space="preserve">公司基本情况 </t>
  </si>
  <si>
    <t>项  目</t>
  </si>
  <si>
    <t>收盘价</t>
  </si>
  <si>
    <t>EV/EBITDA</t>
  </si>
  <si>
    <t>EV/销售收入</t>
  </si>
  <si>
    <t>营业总收入增长率</t>
  </si>
  <si>
    <t>归母净利润增长率</t>
  </si>
  <si>
    <t>净资产收益率ROE</t>
  </si>
  <si>
    <t>总资产收益率ROA</t>
  </si>
  <si>
    <t>每股指标（历史）</t>
  </si>
  <si>
    <t>每股收益EPS</t>
  </si>
  <si>
    <t>每股净资产</t>
  </si>
  <si>
    <t>市盈率PE</t>
  </si>
  <si>
    <t>市净率PB</t>
  </si>
  <si>
    <t>PE/G</t>
  </si>
  <si>
    <t>每股经营性现金流</t>
  </si>
  <si>
    <t>市销率PS</t>
  </si>
  <si>
    <t>每股指标（摊薄）</t>
  </si>
  <si>
    <t>货币资金</t>
  </si>
  <si>
    <t xml:space="preserve">    %增长率</t>
  </si>
  <si>
    <t xml:space="preserve">    %营业收入</t>
  </si>
  <si>
    <t>长期股权投资</t>
  </si>
  <si>
    <t>固定资产</t>
  </si>
  <si>
    <t>在建工程</t>
  </si>
  <si>
    <t>无形资产</t>
  </si>
  <si>
    <t>商誉</t>
  </si>
  <si>
    <t>其他非流动资产</t>
  </si>
  <si>
    <t>非流动资产</t>
  </si>
  <si>
    <t>财务费用</t>
  </si>
  <si>
    <t>资产总计</t>
  </si>
  <si>
    <t>短期借款</t>
  </si>
  <si>
    <t>息税前利润（EBIT）</t>
  </si>
  <si>
    <t>净敞口套期收益</t>
  </si>
  <si>
    <t>公允价值变动收益</t>
  </si>
  <si>
    <t>长期借款</t>
  </si>
  <si>
    <t>信用减值损失</t>
  </si>
  <si>
    <t>应付债券</t>
  </si>
  <si>
    <t>资产减值损失</t>
  </si>
  <si>
    <t>长期应付款</t>
  </si>
  <si>
    <t>其他长期负债</t>
  </si>
  <si>
    <t>汇兑净收益</t>
  </si>
  <si>
    <t>非流动负债</t>
  </si>
  <si>
    <t>营业利润</t>
  </si>
  <si>
    <t>负债总计</t>
  </si>
  <si>
    <t>股本</t>
  </si>
  <si>
    <t>资本公积</t>
  </si>
  <si>
    <t>利润总额</t>
  </si>
  <si>
    <t>归母所有者权益</t>
  </si>
  <si>
    <t>少数股东权益</t>
  </si>
  <si>
    <t>所得税</t>
  </si>
  <si>
    <t>所有者权益合计</t>
  </si>
  <si>
    <t xml:space="preserve">  所得税率</t>
  </si>
  <si>
    <t>负债股东权益合计</t>
  </si>
  <si>
    <t>合并报表的净利润</t>
  </si>
  <si>
    <t>归属于母公司股东的净利润</t>
  </si>
  <si>
    <t>比率分析</t>
  </si>
  <si>
    <t>盈利能力</t>
  </si>
  <si>
    <t xml:space="preserve">    净利率</t>
  </si>
  <si>
    <t>净资产收益率</t>
  </si>
  <si>
    <t>总资产收益率</t>
  </si>
  <si>
    <t>投入资本收益率</t>
  </si>
  <si>
    <t>合并报表净利率</t>
  </si>
  <si>
    <t>净利润</t>
  </si>
  <si>
    <t>成长能力</t>
  </si>
  <si>
    <t>非现金支出</t>
  </si>
  <si>
    <t>非经营收益</t>
  </si>
  <si>
    <t>EBIT增长率</t>
  </si>
  <si>
    <t>营运资金变动</t>
  </si>
  <si>
    <t>经营活动现金净流</t>
  </si>
  <si>
    <t>总资产增长率</t>
  </si>
  <si>
    <t>资本开支</t>
  </si>
  <si>
    <t>资产管理能力</t>
  </si>
  <si>
    <t>投资</t>
  </si>
  <si>
    <t>应收账款周转天数</t>
  </si>
  <si>
    <t>此处周转天数按照期初期末平均值计算</t>
  </si>
  <si>
    <t>存货周转天数</t>
  </si>
  <si>
    <t>投资活动现金净流</t>
  </si>
  <si>
    <t>应付账款周转天数</t>
  </si>
  <si>
    <t>股权融资</t>
  </si>
  <si>
    <t>固定资产周转天数</t>
  </si>
  <si>
    <t>债权融资</t>
  </si>
  <si>
    <t>总资产周转天数</t>
  </si>
  <si>
    <t>其中:长期借款</t>
  </si>
  <si>
    <t>偿债能力</t>
  </si>
  <si>
    <t xml:space="preserve">  短期借款</t>
  </si>
  <si>
    <t>资产负债率</t>
  </si>
  <si>
    <t>股利分配与偿付利息</t>
  </si>
  <si>
    <t>净资产负债率</t>
  </si>
  <si>
    <t>流动比率</t>
  </si>
  <si>
    <t>筹资活动现金净流</t>
  </si>
  <si>
    <t>速动比率</t>
  </si>
  <si>
    <t>现金净流量</t>
  </si>
  <si>
    <t>EBIT利息保障倍数</t>
  </si>
  <si>
    <t>资产</t>
  </si>
  <si>
    <t>预付款项</t>
  </si>
  <si>
    <t>持有待售资产</t>
  </si>
  <si>
    <t>一年内到期的非流动资产</t>
  </si>
  <si>
    <t>流动资产总额</t>
  </si>
  <si>
    <t>投资性房地产</t>
  </si>
  <si>
    <t>生产性生物资产</t>
  </si>
  <si>
    <t>油气资产</t>
  </si>
  <si>
    <t>使用权资产</t>
  </si>
  <si>
    <t>开发支出</t>
  </si>
  <si>
    <t>递延所得税资产</t>
  </si>
  <si>
    <t>非流动资产总额</t>
  </si>
  <si>
    <t>资产总额</t>
  </si>
  <si>
    <t>负债和股东权益</t>
  </si>
  <si>
    <t>预收款项</t>
  </si>
  <si>
    <t>持有待售负债</t>
  </si>
  <si>
    <t>一年内到期的非流动负债</t>
  </si>
  <si>
    <t>流动负债总额</t>
  </si>
  <si>
    <t>租赁负债</t>
  </si>
  <si>
    <t>预计负债</t>
  </si>
  <si>
    <t>递延收益</t>
  </si>
  <si>
    <t>递延所得税负债</t>
  </si>
  <si>
    <t>其他非流动负债</t>
  </si>
  <si>
    <t>非流动负债合计</t>
  </si>
  <si>
    <t>负债合计</t>
  </si>
  <si>
    <t>实收资本（或股本）</t>
  </si>
  <si>
    <t>其他权益工具</t>
  </si>
  <si>
    <t>其中：优先股</t>
  </si>
  <si>
    <t xml:space="preserve">          永续债</t>
  </si>
  <si>
    <t>减：库存股</t>
  </si>
  <si>
    <t>其他综合收益</t>
  </si>
  <si>
    <t>专项储备</t>
  </si>
  <si>
    <t>盈余公积</t>
  </si>
  <si>
    <t>未分配利润</t>
  </si>
  <si>
    <t>外币报表折算差额</t>
  </si>
  <si>
    <t>归属于母公司所有者权益合计</t>
  </si>
  <si>
    <t>股东权益合计</t>
  </si>
  <si>
    <t>检查：</t>
  </si>
  <si>
    <t>营运资本之流动资产部分</t>
  </si>
  <si>
    <t>营运资本之流动负债部分</t>
  </si>
  <si>
    <t>营运资本变动</t>
  </si>
  <si>
    <t>付息债务</t>
  </si>
  <si>
    <t>有息负债率</t>
  </si>
  <si>
    <t>投入资本IC</t>
  </si>
  <si>
    <t>非核心资产价值</t>
  </si>
  <si>
    <t>非经营负债价值</t>
  </si>
  <si>
    <t>权益乘数</t>
  </si>
  <si>
    <t>增长率（YOY)</t>
  </si>
  <si>
    <t xml:space="preserve">    营业收入</t>
  </si>
  <si>
    <t xml:space="preserve">    其他金融类业务收入</t>
  </si>
  <si>
    <t>营业总成本</t>
  </si>
  <si>
    <t>占营业总收入比重</t>
  </si>
  <si>
    <t xml:space="preserve">    营业成本</t>
  </si>
  <si>
    <t xml:space="preserve">          其中：折旧和摊销额</t>
  </si>
  <si>
    <t>占营业收入比重</t>
  </si>
  <si>
    <t xml:space="preserve">    其他金融类业务成本</t>
  </si>
  <si>
    <t>减：</t>
  </si>
  <si>
    <t xml:space="preserve">   其中: 利息费用</t>
  </si>
  <si>
    <t xml:space="preserve">            利息收入</t>
  </si>
  <si>
    <t xml:space="preserve">            其他</t>
  </si>
  <si>
    <t>EBITDA</t>
  </si>
  <si>
    <t>EBIT</t>
  </si>
  <si>
    <t>加：</t>
  </si>
  <si>
    <t>占利润总额比重</t>
  </si>
  <si>
    <t>信用减值损益</t>
  </si>
  <si>
    <t>资产减值损益</t>
  </si>
  <si>
    <t>营业利润差额调整</t>
  </si>
  <si>
    <t>减：所得税费用</t>
  </si>
  <si>
    <t>减：少数股东损益</t>
  </si>
  <si>
    <t>占合并报表净利润比重</t>
  </si>
  <si>
    <t>非经常性损益</t>
  </si>
  <si>
    <t>扣非后归属母公司股东的净利润</t>
  </si>
  <si>
    <t>税后净营业利润（NOPAT）（含投资收益）</t>
  </si>
  <si>
    <t>当期发行在外普通股</t>
  </si>
  <si>
    <t>基本每股收益（元）</t>
  </si>
  <si>
    <t>稀释每股收益（元）</t>
  </si>
  <si>
    <t>1、将净利润调节为经营活动现金流量：</t>
  </si>
  <si>
    <t>净利润(包含少数股东损益）</t>
  </si>
  <si>
    <t>非现金支出：</t>
  </si>
  <si>
    <t>资产减值损益、信用减值损益</t>
  </si>
  <si>
    <t>资产折旧与摊销</t>
  </si>
  <si>
    <t>其中: 固定资产、油气资产、生产性生物资产折旧/折耗</t>
  </si>
  <si>
    <t>无形资产摊销</t>
  </si>
  <si>
    <t>长期待摊费用摊销</t>
  </si>
  <si>
    <t>使用权资产折旧</t>
  </si>
  <si>
    <t>非经营性收益：</t>
  </si>
  <si>
    <t>处置资产的损失（收益以“-”号填列）</t>
  </si>
  <si>
    <t>公允价值变动损失（收益以“－”号填列）</t>
  </si>
  <si>
    <t>财务费用（收益以“－”号填列）</t>
  </si>
  <si>
    <t>投资损失（收益以“－”号填列）</t>
  </si>
  <si>
    <t>递延所得税资产减少（增加以“－”号填列）</t>
  </si>
  <si>
    <t>递延所得税负债增加（减少以“－”号填列）</t>
  </si>
  <si>
    <t>营运资金的变动:</t>
  </si>
  <si>
    <t>存货的减少（增加以“－”号填列）</t>
  </si>
  <si>
    <t>经营性应收项目的减少（增加以“－”号填列）</t>
  </si>
  <si>
    <t>其中: 应收款项的减少（增加以“－”号填列）</t>
  </si>
  <si>
    <t>预付账款的减少（增加以“－”号填列）</t>
  </si>
  <si>
    <t>合同资产的减少（增加以“－”号填列）</t>
  </si>
  <si>
    <t>经营性应付项目的增加（减少以“－”号填列）</t>
  </si>
  <si>
    <t>其中: 应付款项的增加（减少以“－”号填列）</t>
  </si>
  <si>
    <t>预收账款的增加（减少以“－”号填列）</t>
  </si>
  <si>
    <t>应付职工薪酬的增加（减少以“－”号填列）</t>
  </si>
  <si>
    <t>应交税费的增加（减少以“－”号填列）</t>
  </si>
  <si>
    <t>合同负债的增加（减少以“－”号填列）</t>
  </si>
  <si>
    <t>经营活动产生的现金流量净额</t>
  </si>
  <si>
    <t>2、投资活动产生的现金流量</t>
  </si>
  <si>
    <t>其中: 金融资产的减少（增加以“－”号填列）</t>
  </si>
  <si>
    <t>其他债权投资的减少（增加以“－”号填列）</t>
  </si>
  <si>
    <t>长期应收款的减少（增加以“－”号填列）</t>
  </si>
  <si>
    <t>长期股权投资的减少（增加以“－”号填列）</t>
  </si>
  <si>
    <t>投资性房地产的减少（增加以“－”号填列）</t>
  </si>
  <si>
    <t>债权投资的减少（增加以“－”号填列）</t>
  </si>
  <si>
    <t>其他权益工具投资的减少（增加以“－”号填列）</t>
  </si>
  <si>
    <t>资本性支出</t>
  </si>
  <si>
    <t>其中: 固定资产投资</t>
  </si>
  <si>
    <t>生物资产和油气资产</t>
  </si>
  <si>
    <t>无形资产投资</t>
  </si>
  <si>
    <t>处置长期资产</t>
  </si>
  <si>
    <t>投资取得的收益</t>
  </si>
  <si>
    <t>其他项目</t>
  </si>
  <si>
    <t>投资活动产生的现金流量净额</t>
  </si>
  <si>
    <t>3、融资活动产生的现金流量</t>
  </si>
  <si>
    <t>其中: 金融负债的增加（减少以“－”号填列）</t>
  </si>
  <si>
    <t>一年内到期的非流动负债的增加（减少以“－”号填列）</t>
  </si>
  <si>
    <t>长期借款的增加（减少以“－”号填列）</t>
  </si>
  <si>
    <t>应付债券的增加（减少以“－”号填列）</t>
  </si>
  <si>
    <t>租赁负债的增加（减少以“－”号填列）</t>
  </si>
  <si>
    <t>长期应付款的增加（减少以“－”号填列）</t>
  </si>
  <si>
    <t>短期借款的增加（减少以“－”号填列）</t>
  </si>
  <si>
    <t>融资活动产生的现金流量净额</t>
  </si>
  <si>
    <t>汇率变动对现金的影响额</t>
  </si>
  <si>
    <t>现金净变动</t>
  </si>
  <si>
    <t>期初现金及现金等价物</t>
  </si>
  <si>
    <t>期末现金及现金等价物</t>
  </si>
  <si>
    <t>每股经营现金净流(元)</t>
  </si>
  <si>
    <r>
      <rPr>
        <sz val="10.5"/>
        <rFont val="宋体"/>
        <family val="3"/>
        <charset val="134"/>
      </rPr>
      <t>净资产收益率</t>
    </r>
    <r>
      <rPr>
        <sz val="10.5"/>
        <rFont val="Arial"/>
        <family val="2"/>
      </rPr>
      <t>ROE(</t>
    </r>
    <r>
      <rPr>
        <sz val="10.5"/>
        <rFont val="宋体"/>
        <family val="3"/>
        <charset val="134"/>
      </rPr>
      <t>摊薄</t>
    </r>
    <r>
      <rPr>
        <sz val="10.5"/>
        <rFont val="Arial"/>
        <family val="2"/>
      </rPr>
      <t>)</t>
    </r>
  </si>
  <si>
    <r>
      <rPr>
        <sz val="10.5"/>
        <rFont val="宋体"/>
        <family val="3"/>
        <charset val="134"/>
      </rPr>
      <t>投入资本收益率</t>
    </r>
    <r>
      <rPr>
        <sz val="10.5"/>
        <rFont val="Arial"/>
        <family val="2"/>
      </rPr>
      <t>ROIC</t>
    </r>
  </si>
  <si>
    <r>
      <rPr>
        <sz val="10.5"/>
        <rFont val="宋体"/>
        <family val="3"/>
        <charset val="134"/>
      </rPr>
      <t>总资产收益率</t>
    </r>
    <r>
      <rPr>
        <sz val="10.5"/>
        <rFont val="Arial"/>
        <family val="2"/>
      </rPr>
      <t>ROA</t>
    </r>
  </si>
  <si>
    <t xml:space="preserve">毛利率 </t>
  </si>
  <si>
    <t>EBITDA Margin</t>
  </si>
  <si>
    <t>EBIT Margin</t>
  </si>
  <si>
    <t>税前利润率</t>
  </si>
  <si>
    <t>扣除非经常性损益的净利率</t>
  </si>
  <si>
    <t>销售期间费用率</t>
  </si>
  <si>
    <t>营业收入增长率</t>
  </si>
  <si>
    <t>营业利润增长率</t>
  </si>
  <si>
    <t>扣非净利润增长率</t>
  </si>
  <si>
    <t>EBITDA增长率</t>
  </si>
  <si>
    <t>总负债增长率</t>
  </si>
  <si>
    <t>净资产增长率</t>
  </si>
  <si>
    <t>经营现金净流增长率</t>
  </si>
  <si>
    <t>付息债务增长率</t>
  </si>
  <si>
    <t>营运能力</t>
  </si>
  <si>
    <t>应收账款周转率</t>
  </si>
  <si>
    <t>存货周转率</t>
  </si>
  <si>
    <t>应付账款周转率</t>
  </si>
  <si>
    <t>总资产周转率</t>
  </si>
  <si>
    <t>固定资产周转率</t>
  </si>
  <si>
    <t>现金比率</t>
  </si>
  <si>
    <t>EBITDA/利息费用</t>
  </si>
  <si>
    <t>归母所有者权益/付息债务</t>
  </si>
  <si>
    <t>现金能力</t>
  </si>
  <si>
    <t>经营性现金净流量/净利润</t>
  </si>
  <si>
    <t>资本支出/折旧摊销</t>
  </si>
  <si>
    <t>全部资产现金回收率</t>
  </si>
  <si>
    <t>操作时间</t>
  </si>
  <si>
    <t>无风险利率</t>
  </si>
  <si>
    <t>贝塔</t>
  </si>
  <si>
    <t>计算公式：</t>
  </si>
  <si>
    <t>计算周期</t>
  </si>
  <si>
    <t>计算方法</t>
  </si>
  <si>
    <t>算术平均</t>
  </si>
  <si>
    <t>起始日期</t>
  </si>
  <si>
    <t>计算结果</t>
  </si>
  <si>
    <t>截止日期</t>
  </si>
  <si>
    <t>协方差</t>
  </si>
  <si>
    <t>方差</t>
  </si>
  <si>
    <t/>
  </si>
  <si>
    <t>日期</t>
  </si>
  <si>
    <r>
      <rPr>
        <b/>
        <sz val="10.5"/>
        <color rgb="FFFFFFFF"/>
        <rFont val="Arial"/>
        <family val="2"/>
      </rPr>
      <t>10</t>
    </r>
    <r>
      <rPr>
        <b/>
        <sz val="10.5"/>
        <color rgb="FFFFFFFF"/>
        <rFont val="微软雅黑"/>
        <family val="2"/>
        <charset val="134"/>
      </rPr>
      <t>年期国债收益率</t>
    </r>
  </si>
  <si>
    <t>估值假设</t>
  </si>
  <si>
    <t>参数设置</t>
  </si>
  <si>
    <t>参数说明</t>
  </si>
  <si>
    <t>预测期年数</t>
  </si>
  <si>
    <t>1.企业第一阶段增长年数；</t>
  </si>
  <si>
    <t>过渡期年数</t>
  </si>
  <si>
    <t>2.企业第二阶段增长年数(0-11)；</t>
  </si>
  <si>
    <t>过渡期增长率</t>
  </si>
  <si>
    <t>3.企业第二阶段增长率；</t>
  </si>
  <si>
    <t>永续增长率g</t>
  </si>
  <si>
    <t>4.企业长期稳定发展的增长率，默认2%；</t>
  </si>
  <si>
    <t>贝塔值(β)</t>
  </si>
  <si>
    <t>5.根据该股票和整体市场的历史数据，经过统计得出的市场风险指标；</t>
  </si>
  <si>
    <t>无风险利率Rf(%)</t>
  </si>
  <si>
    <t>6.以10年期国债为参考；</t>
  </si>
  <si>
    <t>市场的预期收益率Rm(%)</t>
  </si>
  <si>
    <t>7.可参考第三方数据或历史指数收益率的平均值（建议参考沪深300历史10年平均收益水平）；</t>
  </si>
  <si>
    <t>所得税率T(%)</t>
  </si>
  <si>
    <t>8.默认使用企业法定所得税率，可手动调整；</t>
  </si>
  <si>
    <t>剩余月份</t>
  </si>
  <si>
    <t>9.为了更精准的估值结果，此处为剩余月份（如：当前为4月，则剩余月份为8）</t>
  </si>
  <si>
    <t>资本成本</t>
  </si>
  <si>
    <t>债务资本成本Kd</t>
  </si>
  <si>
    <t>1.付息债务的成本（此处根据利息费用计算得到综合利率，可手动调整）</t>
  </si>
  <si>
    <t>债务资本比重Wd</t>
  </si>
  <si>
    <t>2.付息债务/（付息债务+企业市值），未上市企业请参考可比公司平均水平</t>
  </si>
  <si>
    <t>股权资本成本Ke</t>
  </si>
  <si>
    <t>3.Ke=Rf+β*（Rm-Rf)</t>
  </si>
  <si>
    <t>加权平均资本成本WACC</t>
  </si>
  <si>
    <t>4.WACC=Kd*Wd(1-T)+Ke*(1-Wd)</t>
  </si>
  <si>
    <t>绝对估值法</t>
  </si>
  <si>
    <t>FCFF估值</t>
  </si>
  <si>
    <t>息前税后利润(NOPAT)</t>
  </si>
  <si>
    <t>加：非现金调整</t>
  </si>
  <si>
    <t>减：营运资本的增加</t>
  </si>
  <si>
    <t>减：资本性投资</t>
  </si>
  <si>
    <t>公司自由现金流量FCFF</t>
  </si>
  <si>
    <t>过渡期自由现金流</t>
  </si>
  <si>
    <t>FCFF预测期现值</t>
  </si>
  <si>
    <t>FCFF过渡期现值</t>
  </si>
  <si>
    <t>FCFF永续价值现值</t>
  </si>
  <si>
    <t>企业价值</t>
  </si>
  <si>
    <t>加：非核心资产价值</t>
  </si>
  <si>
    <t>减：付息债务</t>
  </si>
  <si>
    <t>减：少数股东权益</t>
  </si>
  <si>
    <t>股权价值</t>
  </si>
  <si>
    <t>总股本</t>
  </si>
  <si>
    <t>每股价值</t>
  </si>
  <si>
    <t>折现率变化值</t>
  </si>
  <si>
    <t>永续增长率变化值</t>
  </si>
  <si>
    <t>每股价值敏感性分析</t>
  </si>
  <si>
    <t>股权价值敏感性分析</t>
  </si>
  <si>
    <t>P/E</t>
  </si>
  <si>
    <t>P/B</t>
  </si>
  <si>
    <t>P/S</t>
  </si>
  <si>
    <t>FCFE估值</t>
  </si>
  <si>
    <t>加：折旧与摊销</t>
  </si>
  <si>
    <t>加：新增付息债务</t>
  </si>
  <si>
    <t>加：其他非现金调整</t>
  </si>
  <si>
    <t>股权自由现金流量FCFE</t>
  </si>
  <si>
    <t>FCFE预测期现值</t>
  </si>
  <si>
    <t>FCFE过渡期现值</t>
  </si>
  <si>
    <t>FCFE永续价值现值</t>
  </si>
  <si>
    <t>DDM估值</t>
  </si>
  <si>
    <t>现金红利总额</t>
  </si>
  <si>
    <t>过渡期现金红利总额</t>
  </si>
  <si>
    <t>股利预测期现值</t>
  </si>
  <si>
    <t>股利过渡期现值</t>
  </si>
  <si>
    <t>股利永续价值现值</t>
  </si>
  <si>
    <t>EVA经济附加值</t>
  </si>
  <si>
    <t>经济附加值EVA</t>
  </si>
  <si>
    <t>过渡期经济附加值</t>
  </si>
  <si>
    <t>EVA预测期现值</t>
  </si>
  <si>
    <t>EVA过渡期现值</t>
  </si>
  <si>
    <t>EVA永续价值现值</t>
  </si>
  <si>
    <t>加：投入资本</t>
  </si>
  <si>
    <t>相对估值法</t>
  </si>
  <si>
    <t>每股收益</t>
  </si>
  <si>
    <t>每股营业收入</t>
  </si>
  <si>
    <t>每股经营活动现金流</t>
  </si>
  <si>
    <t>PE(TTM)</t>
  </si>
  <si>
    <t>PB(MRQ)</t>
  </si>
  <si>
    <t>PS(TTM)</t>
  </si>
  <si>
    <t>同业均值</t>
  </si>
  <si>
    <t>PE估值</t>
  </si>
  <si>
    <t>合理PE区间</t>
  </si>
  <si>
    <t>～</t>
  </si>
  <si>
    <t>最新收盘价：</t>
  </si>
  <si>
    <t>股价区间</t>
  </si>
  <si>
    <t>股价中值</t>
  </si>
  <si>
    <r>
      <rPr>
        <sz val="10.5"/>
        <rFont val="Arial"/>
        <family val="2"/>
      </rPr>
      <t xml:space="preserve">                         PE
</t>
    </r>
    <r>
      <rPr>
        <sz val="10.5"/>
        <rFont val="宋体"/>
        <family val="3"/>
        <charset val="134"/>
      </rPr>
      <t>预测</t>
    </r>
    <r>
      <rPr>
        <sz val="10.5"/>
        <rFont val="Arial"/>
        <family val="2"/>
      </rPr>
      <t>EPS</t>
    </r>
  </si>
  <si>
    <t>PB估值</t>
  </si>
  <si>
    <t>合理PB区间</t>
  </si>
  <si>
    <r>
      <rPr>
        <sz val="10.5"/>
        <rFont val="Arial"/>
        <family val="2"/>
      </rPr>
      <t xml:space="preserve">                         PB
</t>
    </r>
    <r>
      <rPr>
        <sz val="10.5"/>
        <rFont val="宋体"/>
        <family val="3"/>
        <charset val="134"/>
      </rPr>
      <t>预测</t>
    </r>
    <r>
      <rPr>
        <sz val="10.5"/>
        <rFont val="Arial"/>
        <family val="2"/>
      </rPr>
      <t>BVPS</t>
    </r>
  </si>
  <si>
    <t>PS估值</t>
  </si>
  <si>
    <t>合理PS区间</t>
  </si>
  <si>
    <r>
      <rPr>
        <sz val="10.5"/>
        <rFont val="Arial"/>
        <family val="2"/>
      </rPr>
      <t xml:space="preserve">                         PS 
</t>
    </r>
    <r>
      <rPr>
        <sz val="10.5"/>
        <rFont val="宋体"/>
        <family val="3"/>
        <charset val="134"/>
      </rPr>
      <t>每股营业收入</t>
    </r>
  </si>
  <si>
    <t>PCF估值</t>
  </si>
  <si>
    <t>合理PCF区间</t>
  </si>
  <si>
    <r>
      <rPr>
        <sz val="10.5"/>
        <rFont val="Arial"/>
        <family val="2"/>
      </rPr>
      <t xml:space="preserve">                       PCF
 </t>
    </r>
    <r>
      <rPr>
        <sz val="10.5"/>
        <rFont val="宋体"/>
        <family val="3"/>
        <charset val="134"/>
      </rPr>
      <t>每股经营现金流</t>
    </r>
  </si>
  <si>
    <t>可比公司</t>
  </si>
  <si>
    <t>收盘价(元）</t>
  </si>
  <si>
    <t>目标价共识(元)</t>
  </si>
  <si>
    <t>毛利率(%)</t>
  </si>
  <si>
    <t>EPS(元/股)</t>
  </si>
  <si>
    <t>ROE(%)</t>
  </si>
  <si>
    <t>1H24</t>
  </si>
  <si>
    <t>均值</t>
  </si>
  <si>
    <t>一、按影响因素测算</t>
  </si>
  <si>
    <t>参数预测（%）</t>
  </si>
  <si>
    <t>调整后</t>
  </si>
  <si>
    <t>营业成本增长率</t>
  </si>
  <si>
    <t>主营税金率</t>
  </si>
  <si>
    <t>销售费用率</t>
  </si>
  <si>
    <t>管理费用率</t>
  </si>
  <si>
    <t>研发费用率</t>
  </si>
  <si>
    <t>参数变动对利润表的影响</t>
  </si>
  <si>
    <t>调整前</t>
  </si>
  <si>
    <t>变动</t>
  </si>
  <si>
    <t xml:space="preserve"> </t>
  </si>
  <si>
    <t>营业利润率</t>
  </si>
  <si>
    <t>净利润率</t>
  </si>
  <si>
    <t>EPS(摊薄）</t>
  </si>
  <si>
    <t>1.毛利-基于营业收入和营业成本</t>
  </si>
  <si>
    <t>变化幅度：</t>
  </si>
  <si>
    <t>毛利变动(%)</t>
  </si>
  <si>
    <t>2.净利润-基于收入完成度和毛利率</t>
  </si>
  <si>
    <t>收入完成度变化幅度：</t>
  </si>
  <si>
    <t>毛利率变化幅度：</t>
  </si>
  <si>
    <t>净利润（绝对值）</t>
  </si>
  <si>
    <t>收入完成度</t>
  </si>
  <si>
    <t>3.净利润-基于可选变量变动</t>
  </si>
  <si>
    <t>二、按产品测算</t>
  </si>
  <si>
    <t>产品</t>
  </si>
  <si>
    <t>单产品营业收入</t>
  </si>
  <si>
    <t>占比</t>
  </si>
  <si>
    <t>单产品营业成本</t>
  </si>
  <si>
    <r>
      <rPr>
        <b/>
        <sz val="10.5"/>
        <rFont val="微软雅黑"/>
        <family val="2"/>
        <charset val="134"/>
      </rPr>
      <t>单产品</t>
    </r>
    <r>
      <rPr>
        <b/>
        <sz val="10.5"/>
        <color rgb="FFFF0000"/>
        <rFont val="微软雅黑"/>
        <family val="2"/>
        <charset val="134"/>
      </rPr>
      <t>价格波动</t>
    </r>
    <r>
      <rPr>
        <b/>
        <sz val="10.5"/>
        <rFont val="微软雅黑"/>
        <family val="2"/>
        <charset val="134"/>
      </rPr>
      <t>盈利敏感性测算</t>
    </r>
  </si>
  <si>
    <r>
      <rPr>
        <b/>
        <sz val="10.5"/>
        <rFont val="微软雅黑"/>
        <family val="2"/>
        <charset val="134"/>
      </rPr>
      <t>单产品</t>
    </r>
    <r>
      <rPr>
        <b/>
        <sz val="10.5"/>
        <color rgb="FFFF0000"/>
        <rFont val="微软雅黑"/>
        <family val="2"/>
        <charset val="134"/>
      </rPr>
      <t>销量波动</t>
    </r>
    <r>
      <rPr>
        <b/>
        <sz val="10.5"/>
        <rFont val="微软雅黑"/>
        <family val="2"/>
        <charset val="134"/>
      </rPr>
      <t>盈利敏感性测算</t>
    </r>
  </si>
  <si>
    <r>
      <rPr>
        <b/>
        <sz val="10.5"/>
        <rFont val="微软雅黑"/>
        <family val="2"/>
        <charset val="134"/>
      </rPr>
      <t>单产品</t>
    </r>
    <r>
      <rPr>
        <b/>
        <sz val="10.5"/>
        <color rgb="FFFF0000"/>
        <rFont val="微软雅黑"/>
        <family val="2"/>
        <charset val="134"/>
      </rPr>
      <t>原材料价格波动</t>
    </r>
    <r>
      <rPr>
        <b/>
        <sz val="10.5"/>
        <rFont val="微软雅黑"/>
        <family val="2"/>
        <charset val="134"/>
      </rPr>
      <t>盈利敏感性测算</t>
    </r>
  </si>
  <si>
    <t xml:space="preserve">单产品价格波动 </t>
  </si>
  <si>
    <t xml:space="preserve">单产品销量波动 </t>
  </si>
  <si>
    <t xml:space="preserve">原材料价格波动 </t>
  </si>
  <si>
    <t>原材料占产品成本比重</t>
  </si>
  <si>
    <t>营收变动</t>
  </si>
  <si>
    <t>营业成本变动</t>
  </si>
  <si>
    <t>毛利变动</t>
  </si>
  <si>
    <t>毛利率变动</t>
  </si>
  <si>
    <t>利润表（单季度）</t>
  </si>
  <si>
    <t>减: 营业成本</t>
  </si>
  <si>
    <t>加: 其他收益</t>
  </si>
  <si>
    <t>EPS（摊薄）</t>
  </si>
  <si>
    <t>财务指标（单季度）</t>
  </si>
  <si>
    <t>主要比率</t>
  </si>
  <si>
    <t>财务费用/营业收入</t>
  </si>
  <si>
    <t>同比增长率</t>
  </si>
  <si>
    <t>归母净利润</t>
  </si>
  <si>
    <t>环比增长率</t>
  </si>
  <si>
    <t>利润表(单位：人民币元)</t>
  </si>
  <si>
    <t>行次</t>
  </si>
  <si>
    <t>1Q16</t>
  </si>
  <si>
    <t>1H16</t>
  </si>
  <si>
    <t>3Q16</t>
  </si>
  <si>
    <t>1Q17</t>
  </si>
  <si>
    <t>1H17</t>
  </si>
  <si>
    <t>3Q17</t>
  </si>
  <si>
    <t>1Q18</t>
  </si>
  <si>
    <t>1H18</t>
  </si>
  <si>
    <t>3Q18</t>
  </si>
  <si>
    <t>1Q19</t>
  </si>
  <si>
    <t>1H19</t>
  </si>
  <si>
    <t>3Q19</t>
  </si>
  <si>
    <t>1Q20</t>
  </si>
  <si>
    <t>1H20</t>
  </si>
  <si>
    <t>3Q20</t>
  </si>
  <si>
    <t>1Q21</t>
  </si>
  <si>
    <t>1H21</t>
  </si>
  <si>
    <t>3Q21</t>
  </si>
  <si>
    <t>1Q22</t>
  </si>
  <si>
    <t>1H22</t>
  </si>
  <si>
    <t>3Q22</t>
  </si>
  <si>
    <t>1Q23</t>
  </si>
  <si>
    <t>1H23</t>
  </si>
  <si>
    <t>3Q23</t>
  </si>
  <si>
    <t>1Q24</t>
  </si>
  <si>
    <t>3Q24</t>
  </si>
  <si>
    <t>V_LRFPB_XSL.ZYYWSR</t>
  </si>
  <si>
    <t>V_LRFPB_XSL.ZYYWSRJE</t>
  </si>
  <si>
    <t>V_LRFPB_XSL.QTJRLYWSR</t>
  </si>
  <si>
    <t>V_LRFPB_XSL.YYZCB</t>
  </si>
  <si>
    <t>V_LRFPB_XSL.ZYYWCB</t>
  </si>
  <si>
    <t>V_LRFPB_XSL.ZYYWSJJFJ</t>
  </si>
  <si>
    <t>V_LRFPB_XSL.YYFY</t>
  </si>
  <si>
    <t>V_LRFPB_XSL.GLFY</t>
  </si>
  <si>
    <t>V_LRFPB_XSL.YFFY</t>
  </si>
  <si>
    <t>V_LRFPB_XSL.CWFY</t>
  </si>
  <si>
    <t>V_LRFPB_XSL.LXFY</t>
  </si>
  <si>
    <t>财务费用:利息费用</t>
  </si>
  <si>
    <t>V_LRFPB_XSL.LXSR</t>
  </si>
  <si>
    <t>财务费用:利息收入</t>
  </si>
  <si>
    <t>V_LRFPB_XSL.QTJRLYWCB</t>
  </si>
  <si>
    <t>V_LRFPB_XSL.ZCJZSS</t>
  </si>
  <si>
    <t>V_LRFPB_XSL.GYJZBDSY</t>
  </si>
  <si>
    <t>公允价值变动收益（损失以“-”号填列）</t>
  </si>
  <si>
    <t>V_LRFPB_XSL.TZSY</t>
  </si>
  <si>
    <t>投资收益（损失以“-”号填列）</t>
  </si>
  <si>
    <t>V_LRFPB_XSL.DLYQYTZSY</t>
  </si>
  <si>
    <t>其中：对联营企业和合营企业的投资收益</t>
  </si>
  <si>
    <t>V_LRFPB_XSL.QTSY2</t>
  </si>
  <si>
    <t>V_LRFPB_XSL.ZCCZSY</t>
  </si>
  <si>
    <t>V_LRFPB_XSL.XYJZSS</t>
  </si>
  <si>
    <t>V_LRFPB_XSL.JCKTQSY</t>
  </si>
  <si>
    <t>V_LRFPB_XSL.HDJSY</t>
  </si>
  <si>
    <t>V_LRFPB_XSL.YYLRCE</t>
  </si>
  <si>
    <t>营业利润差额</t>
  </si>
  <si>
    <t>V_LRFPB_XSL.YYLR</t>
  </si>
  <si>
    <t>V_LRFPB_XSL.YYWSR</t>
  </si>
  <si>
    <t>V_LRFPB_XSL.YYWZC</t>
  </si>
  <si>
    <t>V_LRFPB_XSL.LRZECE</t>
  </si>
  <si>
    <t>利润总额差额</t>
  </si>
  <si>
    <t>V_LRFPB_XSL.LRZE</t>
  </si>
  <si>
    <t>V_LRFPB_XSL.SDS</t>
  </si>
  <si>
    <t>减：所得税</t>
  </si>
  <si>
    <t>V_LRFPB_XSL.JLR</t>
  </si>
  <si>
    <t>V_LRFPB_XSL.CXJYJLR</t>
  </si>
  <si>
    <t>持续经营净利润</t>
  </si>
  <si>
    <t>V_LRFPB_XSL.ZZJYJLR</t>
  </si>
  <si>
    <t>终止经营净利润</t>
  </si>
  <si>
    <t>V_LRFPB_XSL.SSGDSY</t>
  </si>
  <si>
    <t>V_LRFPB_XSL.GSMGSSYZJLR</t>
  </si>
  <si>
    <t>归属于母公司所有者的净利润</t>
  </si>
  <si>
    <t>V_LRFPB_XSL.KF</t>
  </si>
  <si>
    <t>V_LRFPB_XSL.JBMGSY</t>
  </si>
  <si>
    <t>基本每股收益(元)</t>
  </si>
  <si>
    <t>V_LRFPB_XSL.XSMGSY</t>
  </si>
  <si>
    <t>稀释每股收益(元)</t>
  </si>
  <si>
    <t>V_LRFPB_XSL.JBMGSY2</t>
  </si>
  <si>
    <t>基本每股收益(未调整)(元）</t>
  </si>
  <si>
    <t>V_LRFPB_XSL.XSQLR</t>
  </si>
  <si>
    <t>V_LRFPB_XSL.EBITDA</t>
  </si>
  <si>
    <t>资产负债表(单位：人民币元)</t>
  </si>
  <si>
    <t>V_ZCFZB_XSL.HBZJ</t>
  </si>
  <si>
    <t>V_ZCFZB_XSL.JYXJRZC</t>
  </si>
  <si>
    <t>V_ZCFZB_XSL.DQTZJE</t>
  </si>
  <si>
    <t>短期投资净额</t>
  </si>
  <si>
    <t>V_ZCFZB_XSL.YSPJ</t>
  </si>
  <si>
    <t>V_ZCFZB_XSL.YSZK</t>
  </si>
  <si>
    <t>V_ZCFZB_XSL.QTYSK</t>
  </si>
  <si>
    <t>V_ZCFZB_XSL.YUFZK</t>
  </si>
  <si>
    <t>V_ZCFZB_XSL.CHJE</t>
  </si>
  <si>
    <t>存货净额</t>
  </si>
  <si>
    <t>V_ZCFZB_XSL.YNNDQFLDZC</t>
  </si>
  <si>
    <t>V_ZCFZB_XSL.YNNDQCQZQTZ</t>
  </si>
  <si>
    <t>一年内到期的长期债券投资</t>
  </si>
  <si>
    <t>V_ZCFZB_XSL.QTLDZC</t>
  </si>
  <si>
    <t>V_ZCFZB_XSL.LDZCHJ</t>
  </si>
  <si>
    <t>流动资产合计</t>
  </si>
  <si>
    <t>V_ZCFZB_XSL.KGCSJRZCTZJE</t>
  </si>
  <si>
    <t>可供出售金融资产投资净额</t>
  </si>
  <si>
    <t>V_ZCFZB_XSL.CYZDQTZJE</t>
  </si>
  <si>
    <t>持有至到期投资净额</t>
  </si>
  <si>
    <t>V_ZCFZB_XSL.CQYSK</t>
  </si>
  <si>
    <t>V_ZCFZB_XSL.CQGQTZJE</t>
  </si>
  <si>
    <t>长期股权投资净额</t>
  </si>
  <si>
    <t>V_ZCFZB_XSL.CQZQTZJE</t>
  </si>
  <si>
    <t>长期债权投资净额</t>
  </si>
  <si>
    <t>V_ZCFZB_XSL.QTCQTZJE</t>
  </si>
  <si>
    <t>其他长期投资净额</t>
  </si>
  <si>
    <t>V_ZCFZB_XSL.CQTZJE</t>
  </si>
  <si>
    <t>长期投资净额</t>
  </si>
  <si>
    <t>V_ZCFZB_XSL.TZXFDC</t>
  </si>
  <si>
    <t>V_ZCFZB_XSL.GDZCJE</t>
  </si>
  <si>
    <t>固定资产净额</t>
  </si>
  <si>
    <t>V_ZCFZB_XSL.GCWZ</t>
  </si>
  <si>
    <t>工程物资</t>
  </si>
  <si>
    <t>V_ZCFZB_XSL.SCXSWZCJZ</t>
  </si>
  <si>
    <t>生产性生物资产净值</t>
  </si>
  <si>
    <t>V_ZCFZB_XSL.YQZCJZ</t>
  </si>
  <si>
    <t>油气资产净值</t>
  </si>
  <si>
    <t>V_ZCFZB_XSL.WXZCJE</t>
  </si>
  <si>
    <t>无形资产净额</t>
  </si>
  <si>
    <t>V_ZCFZB_XSL.KFZC</t>
  </si>
  <si>
    <t>V_ZCFZB_XSL.SY</t>
  </si>
  <si>
    <t>V_ZCFZB_XSL.CQDTFY</t>
  </si>
  <si>
    <t>V_ZCFZB_XSL.QTCQZC</t>
  </si>
  <si>
    <t>其他长期资产</t>
  </si>
  <si>
    <t>V_ZCFZB_XSL.DYSDSZC</t>
  </si>
  <si>
    <t>V_ZCFZB_XSL.QTFLDZC</t>
  </si>
  <si>
    <t>V_ZCFZB_XSL.FLDZCHJ</t>
  </si>
  <si>
    <t>非流动资产合计</t>
  </si>
  <si>
    <t>V_ZCFZB_XSL.ZCTSPH</t>
  </si>
  <si>
    <t>资产差额特殊报表科目及平衡</t>
  </si>
  <si>
    <t>V_ZCFZB_XSL.ZCZJ</t>
  </si>
  <si>
    <t>V_ZCFZB_XSL.DQJK</t>
  </si>
  <si>
    <t>V_ZCFZB_XSL.JYXJRFZ</t>
  </si>
  <si>
    <t>V_ZCFZB_XSL.YFPJ</t>
  </si>
  <si>
    <t>V_ZCFZB_XSL.YFZK</t>
  </si>
  <si>
    <t>V_ZCFZB_XSL.YUSZK</t>
  </si>
  <si>
    <t>预收账款(负债)</t>
  </si>
  <si>
    <t>V_ZCFZB_XSL.YFZGXC</t>
  </si>
  <si>
    <t>V_ZCFZB_XSL.YFGZ</t>
  </si>
  <si>
    <t>应付工资</t>
  </si>
  <si>
    <t>V_ZCFZB_XSL.YJSJ</t>
  </si>
  <si>
    <t>V_ZCFZB_XSL.QTYFK</t>
  </si>
  <si>
    <t>V_ZCFZB_XSL.YJFZ</t>
  </si>
  <si>
    <t>V_ZCFZB_XSL.YNNDQCQFZ</t>
  </si>
  <si>
    <t>一年内到期的长期负债</t>
  </si>
  <si>
    <t>V_ZCFZB_XSL.YNNDQFLDFZ</t>
  </si>
  <si>
    <t>V_ZCFZB_XSL.QTLDFZ</t>
  </si>
  <si>
    <t>V_ZCFZB_XSL.LDFZHJ</t>
  </si>
  <si>
    <t>流动负债合计</t>
  </si>
  <si>
    <t>V_ZCFZB_XSL.CQJK</t>
  </si>
  <si>
    <t>V_ZCFZB_XSL.YFZQ</t>
  </si>
  <si>
    <t>V_ZCFZB_XSL.CQYFK</t>
  </si>
  <si>
    <t>V_ZCFZB_XSL.YJCQFZ</t>
  </si>
  <si>
    <t>预计长期负债</t>
  </si>
  <si>
    <t>V_ZCFZB_XSL.ZXYFK</t>
  </si>
  <si>
    <t>专项应付款</t>
  </si>
  <si>
    <t>V_ZCFZB_XSL.QTFLDFZ</t>
  </si>
  <si>
    <t>V_ZCFZB_XSL.DYSKFZ</t>
  </si>
  <si>
    <t>V_ZCFZB_XSL.FLDFZHJ</t>
  </si>
  <si>
    <t>V_ZCFZB_XSL.FZTSPH</t>
  </si>
  <si>
    <t>负债差额特殊报表科目及平衡</t>
  </si>
  <si>
    <t>V_ZCFZB_XSL.FZHJ</t>
  </si>
  <si>
    <t>V_ZCFZB_XSL.GBJE</t>
  </si>
  <si>
    <t>股本净额</t>
  </si>
  <si>
    <t>V_ZCFZB_XSL.ZBGJJ</t>
  </si>
  <si>
    <t>资本公积金</t>
  </si>
  <si>
    <t>V_ZCFZB_XSL.KCG</t>
  </si>
  <si>
    <t>V_ZCFZB_XSL.YYGJJ</t>
  </si>
  <si>
    <t>盈余公积金</t>
  </si>
  <si>
    <t>V_ZCFZB_XSL.WQRTZSS</t>
  </si>
  <si>
    <t>未确认的投资损失</t>
  </si>
  <si>
    <t>V_ZCFZB_XSL.WFPLR</t>
  </si>
  <si>
    <t>V_ZCFZB_XSL.WBBBZSCE</t>
  </si>
  <si>
    <t>V_ZCFZB_XSL.GDQYTSPH</t>
  </si>
  <si>
    <t>股东权益特殊项目及报表平衡项目</t>
  </si>
  <si>
    <t>V_ZCFZB_XSL.SYMGSSYZQYHJ</t>
  </si>
  <si>
    <t>V_ZCFZB_XSL.SSGDQY</t>
  </si>
  <si>
    <t>V_ZCFZB_XSL.GDQYHJ</t>
  </si>
  <si>
    <t>V_ZCFZB_XSL.FZHGDQYTSPH</t>
  </si>
  <si>
    <t>负债及股东权益合计特殊项目及报表平衡项目</t>
  </si>
  <si>
    <t>V_ZCFZB_XSL.FZGDQYZJ</t>
  </si>
  <si>
    <t>负债和股东权益总计</t>
  </si>
  <si>
    <t>V_ZCFZB_XSL.ZJGCJE</t>
  </si>
  <si>
    <t>在建工程净额</t>
  </si>
  <si>
    <t>V_ZCFZB_XSL.QTGDZC</t>
  </si>
  <si>
    <t>其他固定资产</t>
  </si>
  <si>
    <t>V_ZCFZB_XSL.ZXCB</t>
  </si>
  <si>
    <t>V_ZCFZB_XSL.</t>
  </si>
  <si>
    <t>划分为持有待售的资产</t>
  </si>
  <si>
    <t>V_ZCFZB_XSL.CQYFZGXC</t>
  </si>
  <si>
    <t>长期应付职工薪酬</t>
  </si>
  <si>
    <t>V_ZCFZB_XSL.QTZHSY</t>
  </si>
  <si>
    <t>V_ZCFZB_XSL.QTQYGJ</t>
  </si>
  <si>
    <t>V_ZCFZB_XSL.CYDSZC</t>
  </si>
  <si>
    <t>V_ZCFZB_XSL.CYDSFZ</t>
  </si>
  <si>
    <t>V_ZCFZB_XSL.FIN_ASSETS_COST_SHARING</t>
  </si>
  <si>
    <t>以摊余成本计算的金融资产</t>
  </si>
  <si>
    <t>V_ZCFZB_XSL.FIN_ASSETS_FAIR_VALUE</t>
  </si>
  <si>
    <t>以公允价值计算且其变动计入其他综合的金融资产</t>
  </si>
  <si>
    <t>V_ZCFZB_XSL.CONTRACTUAL_ASSETS</t>
  </si>
  <si>
    <t>V_ZCFZB_XSL.CONTRACT_LIABILITIES</t>
  </si>
  <si>
    <t>V_ZCFZB_XSL.ACCOUNTS_RECEIVABLE_BILL</t>
  </si>
  <si>
    <t>应收票据及应收账款</t>
  </si>
  <si>
    <t>V_ZCFZB_XSL.ACCOUNTS_PAYABLE</t>
  </si>
  <si>
    <t>应付票据及应付账款</t>
  </si>
  <si>
    <t>V_ZCFZB_XSL.DEFERRED_INC</t>
  </si>
  <si>
    <t>V_ZCFZB_XSL.DERIVATIVE_FIN_ASSETS</t>
  </si>
  <si>
    <t>V_ZCFZB_XSL.DEFERRED_INC_NON_CUR_LIAB</t>
  </si>
  <si>
    <t>递延收益非流动负债</t>
  </si>
  <si>
    <t>V_ZCFZB_XSL.DERIVATIVE_FIN_LIAB</t>
  </si>
  <si>
    <t>V_ZCFZB_XSL.OTH_RCV_TOT</t>
  </si>
  <si>
    <t>其他应收款(合计)</t>
  </si>
  <si>
    <t>V_ZCFZB_XSL.STM_BS_TOT</t>
  </si>
  <si>
    <t>固定资产(合计)</t>
  </si>
  <si>
    <t>V_ZCFZB_XSL.CONST_IN_PROG_TOT</t>
  </si>
  <si>
    <t>在建工程(合计)</t>
  </si>
  <si>
    <t>V_ZCFZB_XSL.OTH_PAYABLE_TOT</t>
  </si>
  <si>
    <t>其他应付款(合计)</t>
  </si>
  <si>
    <t>V_ZCFZB_XSL.LT_PAYABLE_TOT</t>
  </si>
  <si>
    <t>长期应付款(合计)</t>
  </si>
  <si>
    <t>V_ZCFZB_XSL.DEBT_INVESTMENT</t>
  </si>
  <si>
    <t>V_ZCFZB_XSL.OTHER_DEBT_INVESTMENT</t>
  </si>
  <si>
    <t>V_ZCFZB_XSL.OTHER_EQUITY_INVESTMENT</t>
  </si>
  <si>
    <t>V_ZCFZB_XSL.OTHER_ILLIQUIDFINANCIAL_ASSETS</t>
  </si>
  <si>
    <t>V_ZCFZB_XSL.OTHER_SUSTAINABLE_BOND</t>
  </si>
  <si>
    <t>其他权益工具:永续债</t>
  </si>
  <si>
    <t>V_ZCFZB_XSL.RECEIVABLES_FINANCING</t>
  </si>
  <si>
    <t>V_ZCFZB_XSL.RIGHT_USE_ASSETS</t>
  </si>
  <si>
    <t>V_ZCFZB_XSL.LEASE_LIAB</t>
  </si>
  <si>
    <t>现金流量表(单位：人民币元)</t>
  </si>
  <si>
    <t>一、经营活动产生的现金流量</t>
  </si>
  <si>
    <t>V_XJLLB_XSL.XSSPTGLRDDXJ</t>
  </si>
  <si>
    <t>销售商品、提供劳务收到的现金</t>
  </si>
  <si>
    <t>V_XJLLB_XSL.SDZJ</t>
  </si>
  <si>
    <t>收到的租金</t>
  </si>
  <si>
    <t>V_XJLLB_XSL.ZZSK</t>
  </si>
  <si>
    <t>收到的增值税销项税和退回的增值税款</t>
  </si>
  <si>
    <t>V_XJLLB_XSL.ZZSYW</t>
  </si>
  <si>
    <t>收到的除增值税以外的其他税费返还</t>
  </si>
  <si>
    <t>V_XJLLB_XSL.SFH</t>
  </si>
  <si>
    <t>收到的税费返还</t>
  </si>
  <si>
    <t>V_XJLLB_XSL.HDYGXJ</t>
  </si>
  <si>
    <t>收到其他与经营活动有关的现金</t>
  </si>
  <si>
    <t>V_XJLLB_XSL.JYHDXJLRXJ</t>
  </si>
  <si>
    <t>经营活动现金流入小计</t>
  </si>
  <si>
    <t>V_XJLLB_XSL.GMSPJSFWZC</t>
  </si>
  <si>
    <t>购买商品、接受劳务所支付的现金</t>
  </si>
  <si>
    <t>V_XJLLB_XSL.ZLXJ</t>
  </si>
  <si>
    <t>经营租赁所付的现金</t>
  </si>
  <si>
    <t>V_XJLLB_XSL.ZGGZ</t>
  </si>
  <si>
    <t>支付给职工以及为职工支付现金</t>
  </si>
  <si>
    <t>V_XJLLB_XSL.ZFZZS</t>
  </si>
  <si>
    <t>支付的增值税款</t>
  </si>
  <si>
    <t>V_XJLLB_XSL.SDS</t>
  </si>
  <si>
    <t>支付的所得税款</t>
  </si>
  <si>
    <t>V_XJLLB_XSL.QTS</t>
  </si>
  <si>
    <t>支付的除增值税、所得税以外的其他税费</t>
  </si>
  <si>
    <t>V_XJLLB_XSL.GXS</t>
  </si>
  <si>
    <t>支付的各项税费</t>
  </si>
  <si>
    <t>V_XJLLB_XSL.JYHDXJ</t>
  </si>
  <si>
    <t>支付的其他与经营活动有关的现金</t>
  </si>
  <si>
    <t>V_XJLLB_XSL.HDCSXJL</t>
  </si>
  <si>
    <t>经营活动现金流出小计</t>
  </si>
  <si>
    <t>V_XJLLB_XSL.HDCSXJLLJE</t>
  </si>
  <si>
    <t>V_XJLLB_XSL.SHTZSD</t>
  </si>
  <si>
    <t>收回投资所收到的现金</t>
  </si>
  <si>
    <t>V_XJLLB_XSL.FDGLLXXJ</t>
  </si>
  <si>
    <t>分得股利或利润所收到的现金</t>
  </si>
  <si>
    <t>V_XJLLB_XSL.ZQLX</t>
  </si>
  <si>
    <t>取得债券利息收入所收到的现金</t>
  </si>
  <si>
    <t>V_XJLLB_XSL.TZSYXJ</t>
  </si>
  <si>
    <t>取得投资收益收到的现金</t>
  </si>
  <si>
    <t>V_XJLLB_XSL.GDZCHB</t>
  </si>
  <si>
    <t>处置固定资产、无形资产和其他长期资产收回的现金</t>
  </si>
  <si>
    <t>V_XJLLB_XSL.ZGSJQTDWSD</t>
  </si>
  <si>
    <t>处置子公司及其他营业单位收到的现金净额</t>
  </si>
  <si>
    <t>V_XJLLB_XSL.QTTZYGXJ</t>
  </si>
  <si>
    <t>收到的其他与投资活动有关的现金</t>
  </si>
  <si>
    <t>V_XJLLB_XSL.TZHDHDXJLXJ</t>
  </si>
  <si>
    <t>投资活动现金流入小计</t>
  </si>
  <si>
    <t>V_XJLLB_XSL.GDZCZFXJ</t>
  </si>
  <si>
    <t>购建固定资产、无形资产和其他长期资产支付的现金</t>
  </si>
  <si>
    <t>V_XJLLB_XSL.TZZFXJ</t>
  </si>
  <si>
    <t>投资支付的现金</t>
  </si>
  <si>
    <t>V_XJLLB_XSL.QYXTZXJ</t>
  </si>
  <si>
    <t>权益性投资所付的现金</t>
  </si>
  <si>
    <t>V_XJLLB_XSL.ZQXTZXJ</t>
  </si>
  <si>
    <t>债权性投资所付的现金</t>
  </si>
  <si>
    <t>V_XJLLB_XSL.ZGSJQTDWZF</t>
  </si>
  <si>
    <t>取得子公司及其他营业单位支付的现金净额</t>
  </si>
  <si>
    <t>V_XJLLB_XSL.QTHDTZXJ</t>
  </si>
  <si>
    <t>支付的其他与投资活动有关的现金</t>
  </si>
  <si>
    <t>V_XJLLB_XSL.TZHDCXXJLXJ</t>
  </si>
  <si>
    <t>投资活动现金流出小计</t>
  </si>
  <si>
    <t>V_XJLLB_XSL.TZHDCSXJLJE</t>
  </si>
  <si>
    <t xml:space="preserve">投资活动产生的现金流量净额 </t>
  </si>
  <si>
    <t>筹资活动产生的现金流量</t>
  </si>
  <si>
    <t>V_XJLLB_XSL.XSTZSDXJ</t>
  </si>
  <si>
    <t>吸收投资收到的现金</t>
  </si>
  <si>
    <t>V_XJLLB_XSL.</t>
  </si>
  <si>
    <t>其中：子公司吸收少数股东投资收到的现金</t>
  </si>
  <si>
    <t>V_XJLLB_XSL.QYXTZ</t>
  </si>
  <si>
    <t>吸收权益性投资所收到的现金</t>
  </si>
  <si>
    <t>V_XJLLB_XSL.ZGSSDZJ</t>
  </si>
  <si>
    <t>其中：子公司吸收少数股东权益性投资收到的现金</t>
  </si>
  <si>
    <t>V_XJLLB_XSL.FXZQSDXJ</t>
  </si>
  <si>
    <t>发行债券所收到的现金</t>
  </si>
  <si>
    <t>V_XJLLB_XSL.JKSDXJ</t>
  </si>
  <si>
    <t>取得借款收到的现金</t>
  </si>
  <si>
    <t>V_XJLLB_XSL.SDQTYCZHDYGXJ</t>
  </si>
  <si>
    <t>收到的其他与筹资活动有关的现金</t>
  </si>
  <si>
    <t>V_XJLLB_XSL.CZHDXJ</t>
  </si>
  <si>
    <t>筹资活动现金流入小计</t>
  </si>
  <si>
    <t>V_XJLLB_XSL.CHZWSFXJ</t>
  </si>
  <si>
    <t>偿还债务所付的现金</t>
  </si>
  <si>
    <t>V_XJLLB_XSL.CZFYSFXJ</t>
  </si>
  <si>
    <t xml:space="preserve">发生筹资费用所付的现金 </t>
  </si>
  <si>
    <t>V_XJLLB_XSL.FPGLSFXJ</t>
  </si>
  <si>
    <t>分配股利、利润或偿付利息支付的现金</t>
  </si>
  <si>
    <t>分配股利或利润所付的现金</t>
  </si>
  <si>
    <t>V_XJLLB_XSL.ZGSZFGL</t>
  </si>
  <si>
    <t>其中：子公司支付少数股东的股利</t>
  </si>
  <si>
    <t>V_XJLLB_XSL.ZFGLSFXJ</t>
  </si>
  <si>
    <t>偿付利息所支付的现金</t>
  </si>
  <si>
    <t>V_XJLLB_XSL.RZZLSFXJ</t>
  </si>
  <si>
    <t>融资租赁所支付的现金</t>
  </si>
  <si>
    <t>V_XJLLB_XSL.JSZCZBSFXJ</t>
  </si>
  <si>
    <t>减少注册资本所支付的现金</t>
  </si>
  <si>
    <t>V_XJLLB_XSL.ZGSZFGD</t>
  </si>
  <si>
    <t>其中：子公司依法减资支付给少数股东的现金</t>
  </si>
  <si>
    <t xml:space="preserve"> 其中：支付的中长期债券利息</t>
  </si>
  <si>
    <t>V_XJLLB_XSL.ZFQTCZHDXJ</t>
  </si>
  <si>
    <t>支付的其他与筹资活动有关的现金</t>
  </si>
  <si>
    <t>V_XJLLB_XSL.CZHDXJLXJ</t>
  </si>
  <si>
    <t>筹资活动现金流出小计</t>
  </si>
  <si>
    <t>V_XJLLB_XSL.CZJDXJLLJE</t>
  </si>
  <si>
    <t>筹资活动产生的现金流量净额</t>
  </si>
  <si>
    <t>V_XJLLB_XSL.HLBDXJYX</t>
  </si>
  <si>
    <t>V_XJLLB_XSL.XJDJWJZJE</t>
  </si>
  <si>
    <t>现金及现金等价物净增加额</t>
  </si>
  <si>
    <t>V_XJLLB_XSL.QCXJJXJDJWYE</t>
  </si>
  <si>
    <t>加：期初现金及现金等价物余额</t>
  </si>
  <si>
    <t>V_XJLLB_XSL.QMXJJXJDJWYE</t>
  </si>
  <si>
    <t>期末现金及现金等价物余额</t>
  </si>
  <si>
    <t>附注</t>
  </si>
  <si>
    <t>V_XJLLB_XSL.GDZCDCZW</t>
  </si>
  <si>
    <t>以固定资产偿还债务</t>
  </si>
  <si>
    <t>V_XJLLB_XSL.TZCHZW</t>
  </si>
  <si>
    <t>以投资偿还债务</t>
  </si>
  <si>
    <t>V_XJLLB_XSL.GDZCCQTZ</t>
  </si>
  <si>
    <t>以固定资产进行长期投资</t>
  </si>
  <si>
    <t>V_XJLLB_XSL.CHDZ</t>
  </si>
  <si>
    <t>以存货偿还债务</t>
  </si>
  <si>
    <t>V_XJLLB_XSL.RZZLGDZC</t>
  </si>
  <si>
    <t>融资租赁固定资产</t>
  </si>
  <si>
    <t>1、将净利润调节为经营活动的现金流量</t>
  </si>
  <si>
    <t>V_XJLLB_XSL.JLR</t>
  </si>
  <si>
    <t>V_XJLLB_XSL.SSGDSY</t>
  </si>
  <si>
    <t>加：少数股东损益</t>
  </si>
  <si>
    <t>V_XJLLB_XSL.GBLR</t>
  </si>
  <si>
    <t>购并利润</t>
  </si>
  <si>
    <t>V_XJLLB_XSL.WQRTZSS</t>
  </si>
  <si>
    <t>减：未确认的投资损失</t>
  </si>
  <si>
    <t>V_XJLLB_XSL.HZZB</t>
  </si>
  <si>
    <t>计提的坏账准备或转销的坏账</t>
  </si>
  <si>
    <t>V_XJLLB_XSL.JTZCJZZB</t>
  </si>
  <si>
    <t>加：资产减值准备</t>
  </si>
  <si>
    <t>V_XJLLB_XSL.GYSZJ</t>
  </si>
  <si>
    <t>固定资产折旧、油气资产折耗、生产性生物资产折旧</t>
  </si>
  <si>
    <t>V_XJLLB_XSL.GDZCZJ</t>
  </si>
  <si>
    <t>固定资产折旧</t>
  </si>
  <si>
    <t>V_XJLLB_XSL.WXJCTX</t>
  </si>
  <si>
    <t>V_XJLLB_XSL.DTFTX</t>
  </si>
  <si>
    <t>V_XJLLB_XSL.CQZCSS</t>
  </si>
  <si>
    <t>处置固定资产、无形资产和其他长期资产的损失（收益以“－”号填列）</t>
  </si>
  <si>
    <t>V_XJLLB_XSL.ZCBSSS</t>
  </si>
  <si>
    <t>固定资产报废损失</t>
  </si>
  <si>
    <t>V_XJLLB_XSL.GYJZBDSS</t>
  </si>
  <si>
    <t>V_XJLLB_XSL.CWFY</t>
  </si>
  <si>
    <t>V_XJLLB_XSL.TZSS</t>
  </si>
  <si>
    <t>V_XJLLB_XSL.DYSDSZCJS</t>
  </si>
  <si>
    <t>V_XJLLB_XSL.DYSDSFZZJ</t>
  </si>
  <si>
    <t>V_XJLLB_XSL.SKDX</t>
  </si>
  <si>
    <t>递延税款贷项(减:借项)</t>
  </si>
  <si>
    <t>V_XJLLB_XSL.CHJS</t>
  </si>
  <si>
    <t>V_XJLLB_XSL.JYXMJS</t>
  </si>
  <si>
    <t>V_XJLLB_XSL.JYXMZJ</t>
  </si>
  <si>
    <t>V_XJLLB_XSL.ZZSZJE</t>
  </si>
  <si>
    <t>增值税增加净额(减:减少)</t>
  </si>
  <si>
    <t>V_XJLLB_XSL.QT</t>
  </si>
  <si>
    <t>V_XJLLB_XSL.XJLZE</t>
  </si>
  <si>
    <t>2、不涉及现金收支的重大投资和筹资活动：</t>
  </si>
  <si>
    <t>V_XJLLB_XSL.ZWZWZB</t>
  </si>
  <si>
    <t>债务转为资本</t>
  </si>
  <si>
    <t>V_XJLLB_XSL.YNNDQKZHGSZQ</t>
  </si>
  <si>
    <t>一年内到期的可转换公司债券</t>
  </si>
  <si>
    <t>V_XJLLB_XSL.RZZLGDZC2</t>
  </si>
  <si>
    <t>融资租入固定资产</t>
  </si>
  <si>
    <t>3、现金及现金等价物净增加情况</t>
  </si>
  <si>
    <t>V_XJLLB_XSL.HBZJQMYE</t>
  </si>
  <si>
    <t>现金的期末余额</t>
  </si>
  <si>
    <t>V_XJLLB_XSL.HBZHQCTE</t>
  </si>
  <si>
    <t>减：现金的期初余额</t>
  </si>
  <si>
    <t>V_XJLLB_XSL.XJDJWQMYE</t>
  </si>
  <si>
    <t>加：现金等价物的期末余额</t>
  </si>
  <si>
    <t>V_XJLLB_XSL.XJDJWQCYE</t>
  </si>
  <si>
    <t>减：现金等价物的期初余额</t>
  </si>
  <si>
    <t>V_XJLLB_XSL.XJXJDJWZE</t>
  </si>
  <si>
    <t>(附注)现金及现金等价物净增加额</t>
  </si>
  <si>
    <t>V_XJLLB_XSL.GDZCZJ2</t>
  </si>
  <si>
    <t>固定资产折旧、油气资产折耗、生产性生物资产折旧2</t>
  </si>
  <si>
    <t>V_XJLLB_XSL.SYQZCZJ</t>
  </si>
  <si>
    <t>权益变动</t>
  </si>
  <si>
    <t>1Q25</t>
  </si>
  <si>
    <t>1H25</t>
  </si>
  <si>
    <t>V_ZCFZB_XSL.ZGB</t>
  </si>
  <si>
    <t>流通总股本</t>
  </si>
  <si>
    <t>V_DIVID_XSL.PGJG</t>
  </si>
  <si>
    <t>配股价格</t>
  </si>
  <si>
    <t>V_DIVID_XSL.PGSJSL</t>
  </si>
  <si>
    <t>配股实际数量(万股)</t>
  </si>
  <si>
    <t>V_DIVID_XSL.PSFY</t>
  </si>
  <si>
    <t>配售费用</t>
  </si>
  <si>
    <t>V_DIVID_XSL.MJZJ</t>
  </si>
  <si>
    <t>募集资金(元)</t>
  </si>
  <si>
    <t>V_DIVID_XSL.MGSZ</t>
  </si>
  <si>
    <t>每股送转</t>
  </si>
  <si>
    <t>V_DIVID_XSL.MGPXSQ</t>
  </si>
  <si>
    <t>每股派息(税前)(元)</t>
  </si>
  <si>
    <t>V_DIVID_XSL.MGPXSH</t>
  </si>
  <si>
    <t>每股派息(税后)(元)</t>
  </si>
  <si>
    <t>V_DIVID_XSL.JZGB</t>
  </si>
  <si>
    <t>基准股本(万股)</t>
  </si>
  <si>
    <t>V_DIVID_XSL.MGSGBL</t>
  </si>
  <si>
    <t>每股送股比例</t>
  </si>
  <si>
    <t>V_DIVID_XSL.MGZZBL</t>
  </si>
  <si>
    <t>每股转增比例</t>
  </si>
  <si>
    <t>V_DIVID_XSL.XJFHZE2</t>
  </si>
  <si>
    <t>现金分红总额</t>
  </si>
  <si>
    <t>V_DIVID_XSL.XGFXJG</t>
  </si>
  <si>
    <t>新股发行价格(元)</t>
  </si>
  <si>
    <t>V_DIVID_XSL.MZ</t>
  </si>
  <si>
    <t>面值</t>
  </si>
  <si>
    <t>V_DIVID_XSL.XGFXSL</t>
  </si>
  <si>
    <t>新股发行数量</t>
  </si>
  <si>
    <t>V_DIVID_XSL.XGFXFY</t>
  </si>
  <si>
    <t>新股发行费用(万元)</t>
  </si>
  <si>
    <t>V_DIVID_XSL.ZFJG</t>
  </si>
  <si>
    <t>增发价格(元)</t>
  </si>
  <si>
    <t>V_DIVID_XSL.ZFFXSL</t>
  </si>
  <si>
    <t>增发发行数量(万股)</t>
  </si>
  <si>
    <t>V_DIVID_XSL.ZFMJZJ</t>
  </si>
  <si>
    <t>增发募集资金（元）</t>
  </si>
  <si>
    <t>V_DIVID_XSL.ZFFXFY</t>
  </si>
  <si>
    <t>增发发行费用(元)</t>
  </si>
  <si>
    <t>V_DIVID_XSL.HGSL</t>
  </si>
  <si>
    <t>回购数量</t>
  </si>
  <si>
    <t>V_DIVID_XSL.HGJE</t>
  </si>
  <si>
    <t>回购金额（元）</t>
  </si>
  <si>
    <t>财务摘要</t>
  </si>
  <si>
    <t>V_CWZYB_XSL.MGJZC</t>
  </si>
  <si>
    <t>V_CWZYB_XSL.LDBL</t>
  </si>
  <si>
    <t>V_CWZYB_XSL.CHZZTS</t>
  </si>
  <si>
    <t>V_CWZYB_XSL.YSZKZZTS</t>
  </si>
  <si>
    <t>V_CWZYB_XSL.CHZZL</t>
  </si>
  <si>
    <t>V_CWZYB_XSL.YSZKZZL</t>
  </si>
  <si>
    <t>V_CWZYB_XSL.LDZCZZL</t>
  </si>
  <si>
    <t>流动资产周转率</t>
  </si>
  <si>
    <t>V_CWZYB_XSL.GDZCZZL</t>
  </si>
  <si>
    <t>V_CWZYB_XSL.ZZCZZL</t>
  </si>
  <si>
    <t>V_CWZYB_XSL.JQPJJZCSYL</t>
  </si>
  <si>
    <t>加权平均净资产收益率(%)</t>
  </si>
  <si>
    <t>财务附注数据(单位：人民币元)</t>
  </si>
  <si>
    <t>序号</t>
  </si>
  <si>
    <t>字段名称</t>
  </si>
  <si>
    <t>对应科目</t>
  </si>
  <si>
    <t>科目明细</t>
  </si>
  <si>
    <t>FZB_GDZC_YZ</t>
  </si>
  <si>
    <t>固定资产-原值</t>
  </si>
  <si>
    <t>FZB_GDZC_LJZJ</t>
  </si>
  <si>
    <t>固定资产-累计折旧</t>
  </si>
  <si>
    <t>FZB_GDZC_JZZB</t>
  </si>
  <si>
    <t>固定资产-减值准备</t>
  </si>
  <si>
    <t>FZB_GDZC_JE</t>
  </si>
  <si>
    <t>固定资产-净额</t>
  </si>
  <si>
    <t>FZB_TZXFDC_YZ</t>
  </si>
  <si>
    <t>投资性房地产-原值</t>
  </si>
  <si>
    <t>FZB_TZXFDC_LJZJHTX</t>
  </si>
  <si>
    <t>投资性房地产-累计折旧和累计摊销合计</t>
  </si>
  <si>
    <t>FZB_TZXFDC_JZZB</t>
  </si>
  <si>
    <t>投资性房地产-减值准备</t>
  </si>
  <si>
    <t>FZB_TZXFDC_JE</t>
  </si>
  <si>
    <t>投资性房地产-净额</t>
  </si>
  <si>
    <t>FZB_WXZC_YZ</t>
  </si>
  <si>
    <t>无形资产-原值</t>
  </si>
  <si>
    <t>FZB_WXZC_LJTX</t>
  </si>
  <si>
    <t>无形资产-累计摊销</t>
  </si>
  <si>
    <t>FZB_WXZC_JZZB</t>
  </si>
  <si>
    <t>无形资产-减值准备</t>
  </si>
  <si>
    <t>FZB_WXZC_JE</t>
  </si>
  <si>
    <t>无形资产-净额</t>
  </si>
  <si>
    <t>FZB_SYQZC_YZ</t>
  </si>
  <si>
    <t>使用权资产-原值</t>
  </si>
  <si>
    <t>FZB_SYQZC_LJTX</t>
  </si>
  <si>
    <t>使用权资产-累计折旧和累计摊销合计</t>
  </si>
  <si>
    <t>FZB_SYQZC_JZZB</t>
  </si>
  <si>
    <t>使用权资产-减值准备</t>
  </si>
  <si>
    <t>FZB_SYQZC_JE</t>
  </si>
  <si>
    <t>使用权资产-净额</t>
  </si>
  <si>
    <t>FZB_SCXSWZC_YZ</t>
  </si>
  <si>
    <t>生产性生物资产-原值</t>
  </si>
  <si>
    <t>FZB_SCXSWZC_LJTX</t>
  </si>
  <si>
    <t>生产性生物资产-累计摊销</t>
  </si>
  <si>
    <t>FZB_SCXSWZC_JZZB</t>
  </si>
  <si>
    <t>生产性生物资产-减值准备</t>
  </si>
  <si>
    <t>FZB_SCXSWZC_JE</t>
  </si>
  <si>
    <t>生产性生物资产-净额</t>
  </si>
  <si>
    <t>FZB_YQZC_YZ</t>
  </si>
  <si>
    <t>油气资产-原值</t>
  </si>
  <si>
    <t>FZB_YQZC_LJTX</t>
  </si>
  <si>
    <t>油气资产-累计摊销</t>
  </si>
  <si>
    <t>FZB_YQZC_JZZB</t>
  </si>
  <si>
    <t>油气资产-减值准备</t>
  </si>
  <si>
    <t>FZB_YQZC_JE</t>
  </si>
  <si>
    <t>油气资产-净额</t>
  </si>
  <si>
    <t>若要参考单季度利润表数据，请在销售预测表AL-AW列填写预测参数</t>
    <phoneticPr fontId="140" type="noConversion"/>
  </si>
  <si>
    <t xml:space="preserve">          3、此页数据更新可能会导致结构发生变化，可新建一个副本保存数据。</t>
    <phoneticPr fontId="140" type="noConversion"/>
  </si>
  <si>
    <t>财务估值模型V.12</t>
    <phoneticPr fontId="140" type="noConversion"/>
  </si>
  <si>
    <r>
      <t>点击下方</t>
    </r>
    <r>
      <rPr>
        <b/>
        <sz val="10.5"/>
        <color rgb="FFFF0000"/>
        <rFont val="宋体"/>
        <family val="3"/>
        <charset val="134"/>
      </rPr>
      <t>蓝色单元格</t>
    </r>
    <r>
      <rPr>
        <b/>
        <sz val="10.5"/>
        <rFont val="宋体"/>
        <family val="3"/>
        <charset val="134"/>
      </rPr>
      <t>，通过下拉框选择两个不同的参数</t>
    </r>
    <phoneticPr fontId="140" type="noConversion"/>
  </si>
  <si>
    <r>
      <t>说明：</t>
    </r>
    <r>
      <rPr>
        <b/>
        <sz val="12"/>
        <rFont val="微软雅黑"/>
        <family val="2"/>
        <charset val="134"/>
      </rPr>
      <t>1、预测年度可分项直接在黄色单元格填写各项目收入、成本金额，最后可以在</t>
    </r>
    <r>
      <rPr>
        <b/>
        <sz val="12"/>
        <color rgb="FFFF0000"/>
        <rFont val="微软雅黑"/>
        <family val="2"/>
        <charset val="134"/>
      </rPr>
      <t>第5行、第7行求和</t>
    </r>
    <r>
      <rPr>
        <b/>
        <sz val="12"/>
        <rFont val="微软雅黑"/>
        <family val="2"/>
        <charset val="134"/>
      </rPr>
      <t>；</t>
    </r>
  </si>
  <si>
    <r>
      <t xml:space="preserve">          2、请</t>
    </r>
    <r>
      <rPr>
        <b/>
        <sz val="12"/>
        <color rgb="FFFF0000"/>
        <rFont val="微软雅黑"/>
        <family val="2"/>
        <charset val="134"/>
      </rPr>
      <t>不要在A-AD列插入或删除列</t>
    </r>
    <r>
      <rPr>
        <b/>
        <sz val="12"/>
        <rFont val="微软雅黑"/>
        <family val="2"/>
        <charset val="134"/>
      </rPr>
      <t>，</t>
    </r>
    <r>
      <rPr>
        <b/>
        <sz val="12"/>
        <color rgb="FFFF0000"/>
        <rFont val="微软雅黑"/>
        <family val="2"/>
        <charset val="134"/>
      </rPr>
      <t>不要更改表名</t>
    </r>
    <r>
      <rPr>
        <b/>
        <sz val="12"/>
        <rFont val="微软雅黑"/>
        <family val="2"/>
        <charset val="134"/>
      </rPr>
      <t>，可能会影响数据提取！</t>
    </r>
    <phoneticPr fontId="1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</si>
</sst>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 * #,##0.00_ ;_ * \-#,##0.00_ ;_ * &quot;-&quot;??_ ;_ @_ "/>
    <numFmt numFmtId="176" formatCode="_(* #,##0.00_);_(* \(#,##0.00\);_(* &quot;-&quot;??_);_(@_)"/>
    <numFmt numFmtId="177" formatCode="#,##0.0_);[Red]\(#,##0.0\)"/>
    <numFmt numFmtId="178" formatCode="#,##0;[Red]\(#,##0\)"/>
    <numFmt numFmtId="179" formatCode="[Blue]0.00%;[Blue]\(0.00%\)"/>
    <numFmt numFmtId="180" formatCode="0.00_ ;[Red]\-0.00\ "/>
    <numFmt numFmtId="181" formatCode="#,##0_ "/>
    <numFmt numFmtId="182" formatCode="#,##0.0_ ;[Red]\-#,##0.0\ "/>
    <numFmt numFmtId="183" formatCode="#,##0.00_ ;[Red]\-#,##0.00\ "/>
    <numFmt numFmtId="184" formatCode="0&quot;E&quot;"/>
    <numFmt numFmtId="185" formatCode="0.0%"/>
    <numFmt numFmtId="186" formatCode="#,##0.0000_ ;[Red]\-#,##0.0000\ "/>
    <numFmt numFmtId="187" formatCode="#,##0.00;[Red]#,##0.00"/>
    <numFmt numFmtId="188" formatCode="#,##0.00_ "/>
    <numFmt numFmtId="189" formatCode="0_ ;[Red]\-0\ "/>
    <numFmt numFmtId="190" formatCode="0\A"/>
    <numFmt numFmtId="191" formatCode="0&quot;A&quot;"/>
    <numFmt numFmtId="192" formatCode="0.0000_ ;[Red]\-0.0000\ "/>
    <numFmt numFmtId="193" formatCode="0.0_ "/>
    <numFmt numFmtId="194" formatCode="0.0_);[Red]\(0.0\)"/>
    <numFmt numFmtId="195" formatCode="#,##0.0_);\(#,##0.0\)"/>
    <numFmt numFmtId="196" formatCode="0.000_ ;[Red]\-0.000\ "/>
    <numFmt numFmtId="197" formatCode="0.000000_ "/>
    <numFmt numFmtId="198" formatCode="#,##0.000_ ;[Red]\-#,##0.000\ "/>
    <numFmt numFmtId="199" formatCode="&quot;$&quot;#,##0.0_);[Red]\(&quot;$&quot;#,##0.0\)"/>
    <numFmt numFmtId="200" formatCode="0\F"/>
    <numFmt numFmtId="201" formatCode="#,##0_ ;[Red]\-#,##0\ "/>
    <numFmt numFmtId="202" formatCode="#,##0.0_ "/>
    <numFmt numFmtId="203" formatCode="0.00_);[Red]\(0.00\)"/>
    <numFmt numFmtId="204" formatCode="yyyy"/>
    <numFmt numFmtId="205" formatCode="0_ "/>
    <numFmt numFmtId="206" formatCode="_(* #,##0_);_(* \(#,##0\);_(* &quot;-&quot;??_);_(@_)"/>
    <numFmt numFmtId="207" formatCode="#,##0.00_ ;[Red]\-#,##0.00\ ;_(* &quot;-&quot;??_)"/>
    <numFmt numFmtId="208" formatCode="0.0_ ;[Red]\-0.0\ "/>
    <numFmt numFmtId="209" formatCode="#,##0.00_);[Red]\(#,##0.00\)"/>
    <numFmt numFmtId="210" formatCode="0.0000_ "/>
  </numFmts>
  <fonts count="172">
    <font>
      <sz val="12"/>
      <name val="宋体"/>
      <charset val="134"/>
    </font>
    <font>
      <sz val="10.5"/>
      <name val="Arial"/>
      <family val="2"/>
    </font>
    <font>
      <sz val="10.5"/>
      <color theme="1"/>
      <name val="宋体"/>
      <family val="3"/>
      <charset val="134"/>
    </font>
    <font>
      <sz val="10.5"/>
      <color theme="1"/>
      <name val="Arial"/>
      <family val="2"/>
    </font>
    <font>
      <b/>
      <sz val="10.5"/>
      <color indexed="9"/>
      <name val="宋体"/>
      <family val="3"/>
      <charset val="134"/>
    </font>
    <font>
      <sz val="10.5"/>
      <name val="宋体"/>
      <family val="3"/>
      <charset val="134"/>
    </font>
    <font>
      <b/>
      <sz val="12"/>
      <color theme="0"/>
      <name val="宋体"/>
      <family val="3"/>
      <charset val="134"/>
    </font>
    <font>
      <b/>
      <sz val="10.5"/>
      <color theme="0"/>
      <name val="宋体"/>
      <family val="3"/>
      <charset val="134"/>
    </font>
    <font>
      <b/>
      <sz val="10.5"/>
      <color theme="0"/>
      <name val="Arial"/>
      <family val="2"/>
    </font>
    <font>
      <b/>
      <sz val="10.5"/>
      <name val="宋体"/>
      <family val="3"/>
      <charset val="134"/>
    </font>
    <font>
      <sz val="10.5"/>
      <color indexed="12"/>
      <name val="宋体"/>
      <family val="3"/>
      <charset val="134"/>
    </font>
    <font>
      <sz val="10.5"/>
      <color indexed="12"/>
      <name val="Arial"/>
      <family val="2"/>
    </font>
    <font>
      <sz val="10.5"/>
      <color rgb="FF333333"/>
      <name val="宋体"/>
      <family val="3"/>
      <charset val="134"/>
    </font>
    <font>
      <b/>
      <sz val="10.5"/>
      <color indexed="9"/>
      <name val="Arial"/>
      <family val="2"/>
    </font>
    <font>
      <sz val="10.5"/>
      <color indexed="9"/>
      <name val="Arial"/>
      <family val="2"/>
    </font>
    <font>
      <sz val="10.5"/>
      <color theme="0"/>
      <name val="Arial"/>
      <family val="2"/>
    </font>
    <font>
      <b/>
      <sz val="10.5"/>
      <name val="Arial"/>
      <family val="2"/>
    </font>
    <font>
      <sz val="10.5"/>
      <color indexed="9"/>
      <name val="宋体"/>
      <family val="3"/>
      <charset val="134"/>
    </font>
    <font>
      <sz val="10.5"/>
      <color indexed="10"/>
      <name val="宋体"/>
      <family val="3"/>
      <charset val="134"/>
    </font>
    <font>
      <b/>
      <sz val="12"/>
      <name val="宋体"/>
      <family val="3"/>
      <charset val="134"/>
    </font>
    <font>
      <b/>
      <sz val="10.5"/>
      <color theme="0"/>
      <name val="微软雅黑"/>
      <family val="2"/>
      <charset val="134"/>
    </font>
    <font>
      <b/>
      <sz val="10.5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b/>
      <sz val="10"/>
      <color theme="1"/>
      <name val="Arial"/>
      <family val="2"/>
    </font>
    <font>
      <sz val="10.5"/>
      <color theme="1"/>
      <name val="微软雅黑"/>
      <family val="2"/>
      <charset val="134"/>
    </font>
    <font>
      <sz val="10"/>
      <color theme="1"/>
      <name val="Arial"/>
      <family val="2"/>
    </font>
    <font>
      <b/>
      <i/>
      <sz val="10.5"/>
      <color rgb="FF0000FF"/>
      <name val="微软雅黑"/>
      <family val="2"/>
      <charset val="134"/>
    </font>
    <font>
      <sz val="10.5"/>
      <name val="微软雅黑"/>
      <family val="2"/>
      <charset val="134"/>
    </font>
    <font>
      <sz val="10.5"/>
      <name val="Arial "/>
      <family val="2"/>
    </font>
    <font>
      <b/>
      <sz val="10.5"/>
      <color rgb="FFFFFF00"/>
      <name val="Arial"/>
      <family val="2"/>
    </font>
    <font>
      <b/>
      <sz val="10.5"/>
      <color indexed="12"/>
      <name val="Arial"/>
      <family val="2"/>
    </font>
    <font>
      <sz val="10.5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.5"/>
      <color rgb="FFFF0000"/>
      <name val="宋体"/>
      <family val="3"/>
      <charset val="134"/>
    </font>
    <font>
      <sz val="10.5"/>
      <name val="宋体"/>
      <family val="3"/>
      <charset val="134"/>
      <scheme val="minor"/>
    </font>
    <font>
      <b/>
      <sz val="10.5"/>
      <name val="宋体"/>
      <family val="3"/>
      <charset val="134"/>
      <scheme val="minor"/>
    </font>
    <font>
      <i/>
      <sz val="10.5"/>
      <color rgb="FF0000FF"/>
      <name val="宋体"/>
      <family val="3"/>
      <charset val="134"/>
      <scheme val="minor"/>
    </font>
    <font>
      <b/>
      <sz val="12"/>
      <color indexed="9"/>
      <name val="微软雅黑"/>
      <family val="2"/>
      <charset val="134"/>
    </font>
    <font>
      <b/>
      <sz val="10.5"/>
      <color indexed="9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i/>
      <sz val="10.5"/>
      <color indexed="12"/>
      <name val="微软雅黑"/>
      <family val="2"/>
      <charset val="134"/>
    </font>
    <font>
      <i/>
      <sz val="10.5"/>
      <color rgb="FF0000FF"/>
      <name val="Arial "/>
      <family val="2"/>
    </font>
    <font>
      <i/>
      <sz val="10.5"/>
      <name val="微软雅黑"/>
      <family val="2"/>
      <charset val="134"/>
    </font>
    <font>
      <sz val="10.5"/>
      <color rgb="FF0000FF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i/>
      <sz val="10.5"/>
      <color rgb="FF0000FF"/>
      <name val="微软雅黑"/>
      <family val="2"/>
      <charset val="134"/>
    </font>
    <font>
      <i/>
      <sz val="10.5"/>
      <color rgb="FF0000FF"/>
      <name val="Arial"/>
      <family val="2"/>
    </font>
    <font>
      <b/>
      <sz val="12"/>
      <name val="微软雅黑"/>
      <family val="2"/>
      <charset val="134"/>
    </font>
    <font>
      <sz val="10.5"/>
      <color theme="1"/>
      <name val="宋体"/>
      <family val="3"/>
      <charset val="134"/>
      <scheme val="minor"/>
    </font>
    <font>
      <sz val="10.5"/>
      <color theme="1"/>
      <name val="Arial Narrow"/>
      <family val="2"/>
    </font>
    <font>
      <b/>
      <sz val="10.5"/>
      <color rgb="FFFF0000"/>
      <name val="微软雅黑"/>
      <family val="2"/>
      <charset val="134"/>
    </font>
    <font>
      <sz val="10.5"/>
      <color theme="9" tint="-0.499984740745262"/>
      <name val="微软雅黑"/>
      <family val="2"/>
      <charset val="134"/>
    </font>
    <font>
      <sz val="12"/>
      <name val="Arial"/>
      <family val="2"/>
    </font>
    <font>
      <sz val="10.5"/>
      <color theme="0"/>
      <name val="宋体"/>
      <family val="3"/>
      <charset val="134"/>
    </font>
    <font>
      <i/>
      <sz val="10.5"/>
      <name val="Arial "/>
      <family val="2"/>
    </font>
    <font>
      <b/>
      <sz val="10.5"/>
      <name val="Arial "/>
      <family val="2"/>
    </font>
    <font>
      <sz val="10.5"/>
      <name val="Arial Narrow"/>
      <family val="2"/>
    </font>
    <font>
      <sz val="10.5"/>
      <color rgb="FFFF0000"/>
      <name val="微软雅黑"/>
      <family val="2"/>
      <charset val="134"/>
    </font>
    <font>
      <b/>
      <sz val="12"/>
      <name val="Arial"/>
      <family val="2"/>
    </font>
    <font>
      <sz val="10"/>
      <name val="微软雅黑"/>
      <family val="2"/>
      <charset val="134"/>
    </font>
    <font>
      <sz val="12"/>
      <name val="微软雅黑"/>
      <family val="2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b/>
      <sz val="12"/>
      <color rgb="FFFF0000"/>
      <name val="宋体"/>
      <family val="3"/>
      <charset val="134"/>
    </font>
    <font>
      <sz val="10.5"/>
      <color indexed="9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b/>
      <sz val="11"/>
      <color indexed="9"/>
      <name val="微软雅黑"/>
      <family val="2"/>
      <charset val="134"/>
    </font>
    <font>
      <i/>
      <sz val="10"/>
      <name val="宋体"/>
      <family val="3"/>
      <charset val="134"/>
    </font>
    <font>
      <sz val="10.5"/>
      <color indexed="10"/>
      <name val="Arial"/>
      <family val="2"/>
    </font>
    <font>
      <i/>
      <sz val="10.5"/>
      <name val="Arial"/>
      <family val="2"/>
    </font>
    <font>
      <sz val="12"/>
      <color theme="3" tint="-0.249977111117893"/>
      <name val="楷体"/>
      <family val="3"/>
      <charset val="134"/>
    </font>
    <font>
      <b/>
      <sz val="10.5"/>
      <color indexed="10"/>
      <name val="微软雅黑"/>
      <family val="2"/>
      <charset val="134"/>
    </font>
    <font>
      <i/>
      <sz val="10"/>
      <name val="微软雅黑"/>
      <family val="2"/>
      <charset val="134"/>
    </font>
    <font>
      <sz val="10.5"/>
      <color indexed="8"/>
      <name val="微软雅黑"/>
      <family val="2"/>
      <charset val="134"/>
    </font>
    <font>
      <b/>
      <sz val="12"/>
      <color theme="3" tint="-0.249977111117893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b/>
      <i/>
      <sz val="10.5"/>
      <color rgb="FF0000FF"/>
      <name val="Arial"/>
      <family val="2"/>
    </font>
    <font>
      <b/>
      <sz val="10.5"/>
      <color rgb="FF0000FF"/>
      <name val="Arial"/>
      <family val="2"/>
    </font>
    <font>
      <i/>
      <sz val="10.5"/>
      <color rgb="FFFF0000"/>
      <name val="Arial"/>
      <family val="2"/>
    </font>
    <font>
      <sz val="10.5"/>
      <color rgb="FFFF0000"/>
      <name val="Arial"/>
      <family val="2"/>
    </font>
    <font>
      <b/>
      <sz val="10.5"/>
      <color rgb="FFFF0000"/>
      <name val="幼圆"/>
      <family val="3"/>
      <charset val="134"/>
    </font>
    <font>
      <b/>
      <i/>
      <sz val="10.5"/>
      <color rgb="FFFF0000"/>
      <name val="Arial"/>
      <family val="2"/>
    </font>
    <font>
      <b/>
      <sz val="10.5"/>
      <color rgb="FFFF0000"/>
      <name val="Arial"/>
      <family val="2"/>
    </font>
    <font>
      <b/>
      <i/>
      <sz val="10.5"/>
      <name val="微软雅黑"/>
      <family val="2"/>
      <charset val="134"/>
    </font>
    <font>
      <i/>
      <sz val="10.5"/>
      <color rgb="FFFF0000"/>
      <name val="微软雅黑"/>
      <family val="2"/>
      <charset val="134"/>
    </font>
    <font>
      <i/>
      <sz val="10.5"/>
      <color rgb="FFFF0000"/>
      <name val="宋体"/>
      <family val="3"/>
      <charset val="134"/>
    </font>
    <font>
      <b/>
      <i/>
      <u/>
      <sz val="10.5"/>
      <name val="微软雅黑"/>
      <family val="2"/>
      <charset val="134"/>
    </font>
    <font>
      <sz val="10.5"/>
      <name val="楷体_GB2312"/>
      <family val="2"/>
    </font>
    <font>
      <b/>
      <sz val="10.5"/>
      <name val="楷体_GB2312"/>
      <family val="2"/>
    </font>
    <font>
      <sz val="10.5"/>
      <color indexed="10"/>
      <name val="微软雅黑"/>
      <family val="2"/>
      <charset val="134"/>
    </font>
    <font>
      <i/>
      <sz val="10"/>
      <name val="Arial"/>
      <family val="2"/>
    </font>
    <font>
      <b/>
      <sz val="10.5"/>
      <color indexed="56"/>
      <name val="微软雅黑"/>
      <family val="2"/>
      <charset val="134"/>
    </font>
    <font>
      <b/>
      <sz val="10.5"/>
      <color indexed="56"/>
      <name val="Arial"/>
      <family val="2"/>
    </font>
    <font>
      <b/>
      <sz val="10.5"/>
      <color theme="5" tint="-0.249977111117893"/>
      <name val="微软雅黑"/>
      <family val="2"/>
      <charset val="134"/>
    </font>
    <font>
      <i/>
      <sz val="10.5"/>
      <name val="宋体"/>
      <family val="3"/>
      <charset val="134"/>
    </font>
    <font>
      <b/>
      <sz val="10.5"/>
      <color indexed="12"/>
      <name val="微软雅黑"/>
      <family val="2"/>
      <charset val="134"/>
    </font>
    <font>
      <sz val="10.5"/>
      <color indexed="12"/>
      <name val="微软雅黑"/>
      <family val="2"/>
      <charset val="134"/>
    </font>
    <font>
      <i/>
      <sz val="10.5"/>
      <color indexed="12"/>
      <name val="Arial"/>
      <family val="2"/>
    </font>
    <font>
      <b/>
      <sz val="10.5"/>
      <color indexed="63"/>
      <name val="微软雅黑"/>
      <family val="2"/>
      <charset val="134"/>
    </font>
    <font>
      <sz val="10.5"/>
      <color indexed="63"/>
      <name val="Arial"/>
      <family val="2"/>
    </font>
    <font>
      <sz val="10.5"/>
      <color rgb="FFFF0000"/>
      <name val="宋体"/>
      <family val="3"/>
      <charset val="134"/>
    </font>
    <font>
      <i/>
      <sz val="10.5"/>
      <color theme="0"/>
      <name val="Arial"/>
      <family val="2"/>
    </font>
    <font>
      <b/>
      <i/>
      <sz val="10.5"/>
      <name val="Arial"/>
      <family val="2"/>
    </font>
    <font>
      <i/>
      <sz val="10.5"/>
      <color theme="1"/>
      <name val="Arial"/>
      <family val="2"/>
    </font>
    <font>
      <i/>
      <sz val="10.5"/>
      <color indexed="8"/>
      <name val="Arial"/>
      <family val="2"/>
    </font>
    <font>
      <b/>
      <i/>
      <sz val="10.5"/>
      <color theme="0"/>
      <name val="Arial"/>
      <family val="2"/>
    </font>
    <font>
      <b/>
      <i/>
      <sz val="10.5"/>
      <color indexed="8"/>
      <name val="Arial"/>
      <family val="2"/>
    </font>
    <font>
      <i/>
      <sz val="10.5"/>
      <color indexed="10"/>
      <name val="微软雅黑"/>
      <family val="2"/>
      <charset val="134"/>
    </font>
    <font>
      <b/>
      <sz val="10.5"/>
      <color indexed="10"/>
      <name val="Arial"/>
      <family val="2"/>
    </font>
    <font>
      <i/>
      <sz val="10.5"/>
      <color theme="0"/>
      <name val="宋体"/>
      <family val="3"/>
      <charset val="134"/>
    </font>
    <font>
      <i/>
      <sz val="10.5"/>
      <color theme="1"/>
      <name val="宋体"/>
      <family val="3"/>
      <charset val="134"/>
    </font>
    <font>
      <i/>
      <sz val="10.5"/>
      <color theme="1"/>
      <name val="微软雅黑"/>
      <family val="2"/>
      <charset val="134"/>
    </font>
    <font>
      <b/>
      <sz val="10.5"/>
      <color theme="1"/>
      <name val="Arial"/>
      <family val="2"/>
    </font>
    <font>
      <sz val="10.5"/>
      <color theme="0" tint="-0.14966277047029022"/>
      <name val="宋体"/>
      <family val="3"/>
      <charset val="134"/>
    </font>
    <font>
      <b/>
      <sz val="10.5"/>
      <color theme="0" tint="-0.14966277047029022"/>
      <name val="宋体"/>
      <family val="3"/>
      <charset val="134"/>
    </font>
    <font>
      <b/>
      <sz val="10.5"/>
      <color theme="1"/>
      <name val="Arial "/>
      <family val="2"/>
    </font>
    <font>
      <sz val="10.5"/>
      <color theme="1"/>
      <name val="Arial "/>
      <family val="2"/>
    </font>
    <font>
      <sz val="10.5"/>
      <color rgb="FF0000FF"/>
      <name val="Arial "/>
      <family val="2"/>
    </font>
    <font>
      <i/>
      <sz val="12"/>
      <name val="宋体"/>
      <family val="3"/>
      <charset val="134"/>
    </font>
    <font>
      <i/>
      <sz val="12"/>
      <color rgb="FF0000FF"/>
      <name val="宋体"/>
      <family val="3"/>
      <charset val="134"/>
    </font>
    <font>
      <i/>
      <sz val="10.5"/>
      <color rgb="FF0000FF"/>
      <name val="宋体"/>
      <family val="3"/>
      <charset val="134"/>
    </font>
    <font>
      <sz val="10.5"/>
      <color rgb="FF0000FF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name val="Times New Roman"/>
      <family val="1"/>
    </font>
    <font>
      <sz val="9"/>
      <color theme="0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theme="0"/>
      <name val="宋体"/>
      <family val="3"/>
      <charset val="134"/>
    </font>
    <font>
      <b/>
      <sz val="18"/>
      <color rgb="FF3366FF"/>
      <name val="宋体"/>
      <family val="3"/>
      <charset val="134"/>
    </font>
    <font>
      <b/>
      <sz val="10"/>
      <color theme="0"/>
      <name val="Times New Roman"/>
      <family val="1"/>
    </font>
    <font>
      <u/>
      <sz val="10"/>
      <color indexed="12"/>
      <name val="宋体"/>
      <family val="3"/>
      <charset val="134"/>
    </font>
    <font>
      <u/>
      <sz val="10"/>
      <color rgb="FF0000FF"/>
      <name val="宋体"/>
      <family val="3"/>
      <charset val="134"/>
    </font>
    <font>
      <sz val="9"/>
      <name val="Times New Roman"/>
      <family val="1"/>
    </font>
    <font>
      <sz val="9"/>
      <color theme="0"/>
      <name val="Arial"/>
      <family val="2"/>
    </font>
    <font>
      <b/>
      <sz val="9"/>
      <color theme="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sz val="10"/>
      <color rgb="FF0066CC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vertAlign val="subscript"/>
      <sz val="10"/>
      <name val="Bookman"/>
      <family val="1"/>
    </font>
    <font>
      <b/>
      <sz val="8"/>
      <name val="Arial"/>
      <family val="2"/>
    </font>
    <font>
      <sz val="9"/>
      <name val="LucidaSans"/>
      <family val="1"/>
    </font>
    <font>
      <sz val="8"/>
      <color indexed="8"/>
      <name val="Arial"/>
      <family val="2"/>
    </font>
    <font>
      <sz val="7"/>
      <name val="Arial"/>
      <family val="2"/>
    </font>
    <font>
      <sz val="10"/>
      <name val="MS Sans Serif"/>
      <family val="2"/>
    </font>
    <font>
      <b/>
      <sz val="10"/>
      <color rgb="FFFFFFFF"/>
      <name val="Arial"/>
      <family val="2"/>
    </font>
    <font>
      <sz val="11"/>
      <color theme="1"/>
      <name val="宋体"/>
      <family val="3"/>
      <charset val="134"/>
      <scheme val="minor"/>
    </font>
    <font>
      <vertAlign val="subscript"/>
      <sz val="10"/>
      <name val="Arial"/>
      <family val="2"/>
    </font>
    <font>
      <sz val="12"/>
      <name val="Times New Roman"/>
      <family val="1"/>
    </font>
    <font>
      <b/>
      <sz val="10.5"/>
      <color rgb="FFFFFFFF"/>
      <name val="Arial"/>
      <family val="2"/>
    </font>
    <font>
      <b/>
      <sz val="10.5"/>
      <color rgb="FFFFFFFF"/>
      <name val="微软雅黑"/>
      <family val="2"/>
      <charset val="134"/>
    </font>
    <font>
      <b/>
      <sz val="10"/>
      <color indexed="63"/>
      <name val="宋体"/>
      <family val="3"/>
      <charset val="134"/>
    </font>
    <font>
      <sz val="10"/>
      <color indexed="63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2"/>
      <color rgb="FFFFFF00"/>
      <name val="微软雅黑"/>
      <family val="2"/>
      <charset val="134"/>
    </font>
    <font>
      <sz val="10"/>
      <color indexed="81"/>
      <name val="宋体"/>
      <family val="3"/>
      <charset val="134"/>
    </font>
    <font>
      <b/>
      <sz val="10.5"/>
      <color theme="1"/>
      <name val="宋体"/>
      <family val="3"/>
      <charset val="134"/>
    </font>
    <font>
      <i/>
      <sz val="10.5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i/>
      <sz val="10.5"/>
      <color rgb="FF000000"/>
      <name val="宋体"/>
      <family val="3"/>
      <charset val="134"/>
    </font>
    <font>
      <b/>
      <i/>
      <sz val="10.5"/>
      <name val="宋体"/>
      <family val="3"/>
      <charset val="134"/>
    </font>
    <font>
      <i/>
      <sz val="10.5"/>
      <color rgb="FF000000"/>
      <name val="Arial"/>
      <family val="2"/>
    </font>
    <font>
      <b/>
      <sz val="10.5"/>
      <color rgb="FF000000"/>
      <name val="宋体"/>
      <family val="3"/>
      <charset val="134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707022309030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78484450819421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0" tint="-0.149601733451338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4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6398815881832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70C25"/>
        <bgColor indexed="64"/>
      </patternFill>
    </fill>
    <fill>
      <patternFill patternType="solid">
        <fgColor rgb="FFF2F2F2"/>
        <bgColor indexed="64"/>
      </patternFill>
    </fill>
  </fills>
  <borders count="7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0" tint="-0.34998626667073579"/>
      </right>
      <top/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/>
      </bottom>
      <diagonal/>
    </border>
    <border>
      <left/>
      <right style="thin">
        <color theme="0" tint="-0.34998626667073579"/>
      </right>
      <top/>
      <bottom style="thin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51"/>
      </left>
      <right style="thin">
        <color indexed="51"/>
      </right>
      <top style="medium">
        <color auto="1"/>
      </top>
      <bottom style="thin">
        <color indexed="5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double">
        <color auto="1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theme="3" tint="0.39963988158818325"/>
      </left>
      <right/>
      <top style="thin">
        <color theme="3" tint="0.39963988158818325"/>
      </top>
      <bottom/>
      <diagonal/>
    </border>
    <border>
      <left/>
      <right style="thin">
        <color theme="3" tint="0.39963988158818325"/>
      </right>
      <top style="thin">
        <color theme="3" tint="0.39963988158818325"/>
      </top>
      <bottom/>
      <diagonal/>
    </border>
    <border>
      <left/>
      <right/>
      <top style="thin">
        <color theme="3" tint="0.39963988158818325"/>
      </top>
      <bottom/>
      <diagonal/>
    </border>
    <border>
      <left style="thin">
        <color theme="3" tint="0.39963988158818325"/>
      </left>
      <right/>
      <top/>
      <bottom/>
      <diagonal/>
    </border>
    <border>
      <left/>
      <right style="thin">
        <color theme="3" tint="0.39963988158818325"/>
      </right>
      <top/>
      <bottom/>
      <diagonal/>
    </border>
    <border>
      <left style="thin">
        <color theme="3" tint="0.39967040009765925"/>
      </left>
      <right/>
      <top/>
      <bottom/>
      <diagonal/>
    </border>
    <border>
      <left style="thin">
        <color theme="3" tint="0.39963988158818325"/>
      </left>
      <right/>
      <top/>
      <bottom style="thin">
        <color theme="3" tint="0.39963988158818325"/>
      </bottom>
      <diagonal/>
    </border>
    <border>
      <left/>
      <right style="thin">
        <color theme="3" tint="0.39963988158818325"/>
      </right>
      <top/>
      <bottom style="thin">
        <color theme="3" tint="0.39963988158818325"/>
      </bottom>
      <diagonal/>
    </border>
    <border>
      <left style="thin">
        <color theme="3" tint="0.39967040009765925"/>
      </left>
      <right/>
      <top/>
      <bottom style="thin">
        <color theme="3" tint="0.39967040009765925"/>
      </bottom>
      <diagonal/>
    </border>
    <border>
      <left/>
      <right/>
      <top/>
      <bottom style="thin">
        <color theme="3" tint="0.39963988158818325"/>
      </bottom>
      <diagonal/>
    </border>
    <border>
      <left/>
      <right/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5">
    <xf numFmtId="0" fontId="0" fillId="0" borderId="0">
      <alignment vertical="center"/>
    </xf>
    <xf numFmtId="176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2" fontId="144" fillId="0" borderId="68"/>
    <xf numFmtId="0" fontId="145" fillId="26" borderId="69">
      <alignment horizontal="left"/>
    </xf>
    <xf numFmtId="40" fontId="146" fillId="0" borderId="0" applyFont="0" applyFill="0" applyBorder="0" applyAlignment="0" applyProtection="0"/>
    <xf numFmtId="177" fontId="147" fillId="27" borderId="70">
      <protection locked="0"/>
    </xf>
    <xf numFmtId="178" fontId="148" fillId="0" borderId="0" applyBorder="0" applyAlignment="0"/>
    <xf numFmtId="0" fontId="149" fillId="0" borderId="0"/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10" fontId="32" fillId="0" borderId="0" applyFont="0" applyFill="0" applyBorder="0" applyAlignment="0" applyProtection="0"/>
    <xf numFmtId="0" fontId="150" fillId="28" borderId="0">
      <alignment horizontal="center" vertical="center" wrapText="1"/>
    </xf>
    <xf numFmtId="0" fontId="151" fillId="0" borderId="0"/>
    <xf numFmtId="0" fontId="151" fillId="0" borderId="0"/>
    <xf numFmtId="0" fontId="151" fillId="0" borderId="0">
      <alignment vertical="center"/>
    </xf>
    <xf numFmtId="0" fontId="151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/>
    <xf numFmtId="0" fontId="64" fillId="0" borderId="0">
      <alignment vertical="center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>
      <alignment vertical="center"/>
    </xf>
    <xf numFmtId="0" fontId="151" fillId="0" borderId="0"/>
    <xf numFmtId="0" fontId="64" fillId="0" borderId="0"/>
    <xf numFmtId="2" fontId="152" fillId="0" borderId="0"/>
    <xf numFmtId="0" fontId="32" fillId="0" borderId="0" applyNumberForma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128" fillId="18" borderId="0">
      <alignment horizontal="center" vertical="center" wrapText="1"/>
    </xf>
    <xf numFmtId="0" fontId="128" fillId="29" borderId="0">
      <alignment horizontal="center" vertical="center" wrapText="1"/>
    </xf>
    <xf numFmtId="0" fontId="128" fillId="18" borderId="0">
      <alignment horizontal="center" vertical="center" wrapText="1"/>
    </xf>
    <xf numFmtId="176" fontId="64" fillId="0" borderId="0" applyFont="0" applyFill="0" applyBorder="0" applyAlignment="0" applyProtection="0">
      <alignment vertical="center"/>
    </xf>
    <xf numFmtId="176" fontId="64" fillId="0" borderId="0" applyFont="0" applyFill="0" applyBorder="0" applyAlignment="0" applyProtection="0">
      <alignment vertical="center"/>
    </xf>
    <xf numFmtId="43" fontId="64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0" fontId="153" fillId="0" borderId="0"/>
    <xf numFmtId="179" fontId="32" fillId="3" borderId="0">
      <alignment horizontal="right" vertical="center"/>
    </xf>
  </cellStyleXfs>
  <cellXfs count="1187">
    <xf numFmtId="0" fontId="0" fillId="0" borderId="0" xfId="0">
      <alignment vertical="center"/>
    </xf>
    <xf numFmtId="180" fontId="1" fillId="2" borderId="0" xfId="0" applyNumberFormat="1" applyFont="1" applyFill="1">
      <alignment vertical="center"/>
    </xf>
    <xf numFmtId="180" fontId="1" fillId="3" borderId="1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180" fontId="4" fillId="2" borderId="0" xfId="0" applyNumberFormat="1" applyFont="1" applyFill="1" applyAlignment="1">
      <alignment horizontal="center" vertical="center"/>
    </xf>
    <xf numFmtId="180" fontId="5" fillId="2" borderId="0" xfId="0" applyNumberFormat="1" applyFont="1" applyFill="1" applyAlignment="1">
      <alignment horizontal="right" vertical="center"/>
    </xf>
    <xf numFmtId="180" fontId="1" fillId="2" borderId="0" xfId="0" applyNumberFormat="1" applyFont="1" applyFill="1" applyAlignment="1">
      <alignment horizontal="right" vertical="center"/>
    </xf>
    <xf numFmtId="180" fontId="6" fillId="4" borderId="0" xfId="0" applyNumberFormat="1" applyFont="1" applyFill="1" applyAlignment="1">
      <alignment horizontal="left" vertical="center"/>
    </xf>
    <xf numFmtId="180" fontId="7" fillId="4" borderId="0" xfId="0" applyNumberFormat="1" applyFont="1" applyFill="1" applyAlignment="1">
      <alignment horizontal="center" vertical="center"/>
    </xf>
    <xf numFmtId="180" fontId="8" fillId="4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80" fontId="5" fillId="0" borderId="3" xfId="0" applyNumberFormat="1" applyFont="1" applyBorder="1" applyAlignment="1">
      <alignment horizontal="right" vertical="center"/>
    </xf>
    <xf numFmtId="180" fontId="1" fillId="0" borderId="3" xfId="0" applyNumberFormat="1" applyFont="1" applyBorder="1" applyAlignment="1">
      <alignment horizontal="right" vertical="center"/>
    </xf>
    <xf numFmtId="180" fontId="1" fillId="0" borderId="1" xfId="0" applyNumberFormat="1" applyFont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181" fontId="3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181" fontId="3" fillId="2" borderId="0" xfId="0" applyNumberFormat="1" applyFont="1" applyFill="1">
      <alignment vertical="center"/>
    </xf>
    <xf numFmtId="180" fontId="13" fillId="2" borderId="0" xfId="0" applyNumberFormat="1" applyFont="1" applyFill="1" applyAlignment="1">
      <alignment horizontal="right" vertical="center"/>
    </xf>
    <xf numFmtId="180" fontId="14" fillId="2" borderId="0" xfId="0" applyNumberFormat="1" applyFont="1" applyFill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49" fontId="1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14" fontId="5" fillId="2" borderId="0" xfId="0" applyNumberFormat="1" applyFont="1" applyFill="1">
      <alignment vertical="center"/>
    </xf>
    <xf numFmtId="14" fontId="1" fillId="2" borderId="0" xfId="0" applyNumberFormat="1" applyFont="1" applyFill="1">
      <alignment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16" fillId="2" borderId="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80" fontId="5" fillId="2" borderId="0" xfId="0" applyNumberFormat="1" applyFont="1" applyFill="1">
      <alignment vertical="center"/>
    </xf>
    <xf numFmtId="180" fontId="1" fillId="2" borderId="0" xfId="31" applyNumberFormat="1" applyFont="1" applyFill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182" fontId="5" fillId="2" borderId="0" xfId="1" applyNumberFormat="1" applyFont="1" applyFill="1" applyBorder="1" applyAlignment="1">
      <alignment vertical="center"/>
    </xf>
    <xf numFmtId="182" fontId="1" fillId="2" borderId="0" xfId="1" applyNumberFormat="1" applyFont="1" applyFill="1" applyBorder="1" applyAlignment="1">
      <alignment vertical="center"/>
    </xf>
    <xf numFmtId="180" fontId="5" fillId="2" borderId="0" xfId="0" applyNumberFormat="1" applyFon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80" fontId="11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19" fillId="2" borderId="0" xfId="0" applyFont="1" applyFill="1">
      <alignment vertical="center"/>
    </xf>
    <xf numFmtId="0" fontId="0" fillId="2" borderId="0" xfId="0" applyFill="1">
      <alignment vertical="center"/>
    </xf>
    <xf numFmtId="0" fontId="8" fillId="2" borderId="0" xfId="0" applyFont="1" applyFill="1" applyAlignment="1">
      <alignment horizontal="center" vertical="center"/>
    </xf>
    <xf numFmtId="0" fontId="20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1" fillId="2" borderId="6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22" fillId="2" borderId="0" xfId="1" applyNumberFormat="1" applyFont="1" applyFill="1" applyBorder="1" applyAlignment="1">
      <alignment vertical="center"/>
    </xf>
    <xf numFmtId="183" fontId="23" fillId="2" borderId="0" xfId="1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left" vertical="center" indent="1"/>
    </xf>
    <xf numFmtId="183" fontId="25" fillId="2" borderId="0" xfId="1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>
      <alignment vertical="center"/>
    </xf>
    <xf numFmtId="183" fontId="25" fillId="2" borderId="0" xfId="2" applyNumberFormat="1" applyFont="1" applyFill="1" applyBorder="1" applyAlignment="1">
      <alignment horizontal="right" vertical="center"/>
    </xf>
    <xf numFmtId="0" fontId="22" fillId="2" borderId="5" xfId="0" applyFont="1" applyFill="1" applyBorder="1">
      <alignment vertical="center"/>
    </xf>
    <xf numFmtId="183" fontId="23" fillId="2" borderId="5" xfId="2" applyNumberFormat="1" applyFont="1" applyFill="1" applyBorder="1" applyAlignment="1">
      <alignment horizontal="right" vertical="center"/>
    </xf>
    <xf numFmtId="183" fontId="23" fillId="2" borderId="5" xfId="1" applyNumberFormat="1" applyFont="1" applyFill="1" applyBorder="1" applyAlignment="1">
      <alignment horizontal="right" vertical="center"/>
    </xf>
    <xf numFmtId="0" fontId="22" fillId="2" borderId="0" xfId="0" applyFont="1" applyFill="1">
      <alignment vertical="center"/>
    </xf>
    <xf numFmtId="0" fontId="26" fillId="2" borderId="7" xfId="0" applyFont="1" applyFill="1" applyBorder="1">
      <alignment vertical="center"/>
    </xf>
    <xf numFmtId="183" fontId="23" fillId="2" borderId="0" xfId="2" applyNumberFormat="1" applyFont="1" applyFill="1" applyBorder="1" applyAlignment="1">
      <alignment horizontal="right" vertical="center"/>
    </xf>
    <xf numFmtId="0" fontId="24" fillId="2" borderId="8" xfId="0" applyFont="1" applyFill="1" applyBorder="1">
      <alignment vertical="center"/>
    </xf>
    <xf numFmtId="183" fontId="25" fillId="2" borderId="8" xfId="2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left" vertical="center" indent="2"/>
    </xf>
    <xf numFmtId="10" fontId="28" fillId="2" borderId="0" xfId="1" applyNumberFormat="1" applyFont="1" applyFill="1" applyBorder="1" applyAlignment="1">
      <alignment horizontal="right" vertical="center"/>
    </xf>
    <xf numFmtId="0" fontId="24" fillId="2" borderId="5" xfId="0" applyFont="1" applyFill="1" applyBorder="1">
      <alignment vertical="center"/>
    </xf>
    <xf numFmtId="10" fontId="28" fillId="2" borderId="5" xfId="1" applyNumberFormat="1" applyFont="1" applyFill="1" applyBorder="1" applyAlignment="1">
      <alignment horizontal="right" vertical="center"/>
    </xf>
    <xf numFmtId="0" fontId="0" fillId="2" borderId="5" xfId="0" applyFill="1" applyBorder="1">
      <alignment vertical="center"/>
    </xf>
    <xf numFmtId="0" fontId="0" fillId="2" borderId="8" xfId="0" applyFill="1" applyBorder="1">
      <alignment vertical="center"/>
    </xf>
    <xf numFmtId="10" fontId="28" fillId="2" borderId="8" xfId="1" applyNumberFormat="1" applyFont="1" applyFill="1" applyBorder="1" applyAlignment="1">
      <alignment horizontal="right" vertical="center"/>
    </xf>
    <xf numFmtId="184" fontId="29" fillId="4" borderId="0" xfId="0" applyNumberFormat="1" applyFont="1" applyFill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184" fontId="30" fillId="2" borderId="9" xfId="0" applyNumberFormat="1" applyFont="1" applyFill="1" applyBorder="1" applyAlignment="1">
      <alignment horizontal="center" vertical="center"/>
    </xf>
    <xf numFmtId="183" fontId="31" fillId="5" borderId="0" xfId="13" applyNumberFormat="1" applyFont="1" applyFill="1" applyAlignment="1">
      <alignment horizontal="right" vertical="center"/>
    </xf>
    <xf numFmtId="183" fontId="32" fillId="2" borderId="0" xfId="1" applyNumberFormat="1" applyFont="1" applyFill="1" applyBorder="1" applyAlignment="1">
      <alignment horizontal="right" vertical="center"/>
    </xf>
    <xf numFmtId="183" fontId="33" fillId="2" borderId="5" xfId="1" applyNumberFormat="1" applyFont="1" applyFill="1" applyBorder="1" applyAlignment="1">
      <alignment horizontal="right" vertical="center"/>
    </xf>
    <xf numFmtId="183" fontId="33" fillId="2" borderId="0" xfId="1" applyNumberFormat="1" applyFont="1" applyFill="1" applyBorder="1" applyAlignment="1">
      <alignment horizontal="right" vertical="center"/>
    </xf>
    <xf numFmtId="183" fontId="32" fillId="2" borderId="8" xfId="2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0" fontId="35" fillId="2" borderId="0" xfId="0" applyFont="1" applyFill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7" fillId="2" borderId="0" xfId="0" applyFont="1" applyFill="1">
      <alignment vertical="center"/>
    </xf>
    <xf numFmtId="0" fontId="1" fillId="0" borderId="0" xfId="0" applyFont="1">
      <alignment vertical="center"/>
    </xf>
    <xf numFmtId="0" fontId="27" fillId="0" borderId="0" xfId="0" applyFont="1">
      <alignment vertical="center"/>
    </xf>
    <xf numFmtId="0" fontId="35" fillId="0" borderId="0" xfId="0" applyFont="1">
      <alignment vertical="center"/>
    </xf>
    <xf numFmtId="0" fontId="38" fillId="4" borderId="0" xfId="0" applyFont="1" applyFill="1" applyAlignment="1">
      <alignment horizontal="left" vertical="center"/>
    </xf>
    <xf numFmtId="0" fontId="39" fillId="4" borderId="0" xfId="0" applyFont="1" applyFill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184" fontId="16" fillId="2" borderId="8" xfId="0" applyNumberFormat="1" applyFont="1" applyFill="1" applyBorder="1" applyAlignment="1">
      <alignment horizontal="center" vertical="center"/>
    </xf>
    <xf numFmtId="184" fontId="9" fillId="2" borderId="8" xfId="0" applyNumberFormat="1" applyFont="1" applyFill="1" applyBorder="1" applyAlignment="1">
      <alignment horizontal="center" vertical="center"/>
    </xf>
    <xf numFmtId="49" fontId="27" fillId="0" borderId="0" xfId="0" applyNumberFormat="1" applyFont="1">
      <alignment vertical="center"/>
    </xf>
    <xf numFmtId="10" fontId="1" fillId="0" borderId="0" xfId="0" applyNumberFormat="1" applyFont="1" applyAlignment="1">
      <alignment horizontal="right" vertical="center"/>
    </xf>
    <xf numFmtId="10" fontId="1" fillId="6" borderId="0" xfId="1" applyNumberFormat="1" applyFont="1" applyFill="1" applyBorder="1" applyAlignment="1">
      <alignment horizontal="right" vertical="center"/>
    </xf>
    <xf numFmtId="0" fontId="40" fillId="2" borderId="0" xfId="0" applyFont="1" applyFill="1" applyAlignment="1">
      <alignment horizontal="left" vertical="center"/>
    </xf>
    <xf numFmtId="49" fontId="27" fillId="0" borderId="8" xfId="0" applyNumberFormat="1" applyFont="1" applyBorder="1">
      <alignment vertical="center"/>
    </xf>
    <xf numFmtId="10" fontId="1" fillId="0" borderId="8" xfId="0" applyNumberFormat="1" applyFont="1" applyBorder="1" applyAlignment="1">
      <alignment horizontal="right" vertical="center"/>
    </xf>
    <xf numFmtId="10" fontId="1" fillId="6" borderId="8" xfId="1" applyNumberFormat="1" applyFont="1" applyFill="1" applyBorder="1" applyAlignment="1">
      <alignment horizontal="right" vertical="center"/>
    </xf>
    <xf numFmtId="10" fontId="1" fillId="0" borderId="0" xfId="0" applyNumberFormat="1" applyFont="1">
      <alignment vertical="center"/>
    </xf>
    <xf numFmtId="0" fontId="21" fillId="2" borderId="0" xfId="0" applyFont="1" applyFill="1" applyAlignment="1">
      <alignment horizontal="left" vertical="center"/>
    </xf>
    <xf numFmtId="184" fontId="9" fillId="8" borderId="8" xfId="0" applyNumberFormat="1" applyFont="1" applyFill="1" applyBorder="1" applyAlignment="1">
      <alignment horizontal="center" vertical="center"/>
    </xf>
    <xf numFmtId="183" fontId="16" fillId="2" borderId="0" xfId="0" applyNumberFormat="1" applyFont="1" applyFill="1" applyAlignment="1">
      <alignment horizontal="right" vertical="center"/>
    </xf>
    <xf numFmtId="183" fontId="16" fillId="8" borderId="0" xfId="0" applyNumberFormat="1" applyFont="1" applyFill="1" applyAlignment="1">
      <alignment horizontal="right" vertical="center"/>
    </xf>
    <xf numFmtId="10" fontId="16" fillId="2" borderId="0" xfId="0" applyNumberFormat="1" applyFont="1" applyFill="1" applyAlignment="1">
      <alignment horizontal="right" vertical="center"/>
    </xf>
    <xf numFmtId="0" fontId="27" fillId="0" borderId="0" xfId="0" applyFont="1" applyAlignment="1">
      <alignment horizontal="left" vertical="center"/>
    </xf>
    <xf numFmtId="183" fontId="1" fillId="2" borderId="0" xfId="0" applyNumberFormat="1" applyFont="1" applyFill="1" applyAlignment="1">
      <alignment horizontal="right" vertical="center"/>
    </xf>
    <xf numFmtId="183" fontId="1" fillId="8" borderId="0" xfId="0" applyNumberFormat="1" applyFont="1" applyFill="1" applyAlignment="1">
      <alignment horizontal="right" vertical="center"/>
    </xf>
    <xf numFmtId="10" fontId="1" fillId="2" borderId="0" xfId="0" applyNumberFormat="1" applyFont="1" applyFill="1" applyAlignment="1">
      <alignment horizontal="right" vertical="center"/>
    </xf>
    <xf numFmtId="0" fontId="41" fillId="0" borderId="0" xfId="0" applyFont="1" applyAlignment="1">
      <alignment horizontal="left" vertical="center" indent="1"/>
    </xf>
    <xf numFmtId="10" fontId="42" fillId="2" borderId="0" xfId="13" applyNumberFormat="1" applyFont="1" applyFill="1" applyBorder="1" applyAlignment="1">
      <alignment horizontal="right" vertical="center"/>
    </xf>
    <xf numFmtId="10" fontId="42" fillId="8" borderId="0" xfId="13" applyNumberFormat="1" applyFont="1" applyFill="1" applyBorder="1" applyAlignment="1">
      <alignment horizontal="right" vertical="center"/>
    </xf>
    <xf numFmtId="183" fontId="31" fillId="2" borderId="0" xfId="0" applyNumberFormat="1" applyFont="1" applyFill="1" applyAlignment="1">
      <alignment horizontal="right" vertical="center"/>
    </xf>
    <xf numFmtId="182" fontId="27" fillId="2" borderId="0" xfId="0" applyNumberFormat="1" applyFont="1" applyFill="1" applyAlignment="1">
      <alignment horizontal="left" vertical="center"/>
    </xf>
    <xf numFmtId="182" fontId="27" fillId="0" borderId="0" xfId="0" applyNumberFormat="1" applyFont="1" applyAlignment="1">
      <alignment horizontal="left" vertical="center"/>
    </xf>
    <xf numFmtId="10" fontId="31" fillId="2" borderId="0" xfId="0" applyNumberFormat="1" applyFont="1" applyFill="1" applyAlignment="1">
      <alignment horizontal="right" vertical="center"/>
    </xf>
    <xf numFmtId="10" fontId="31" fillId="8" borderId="0" xfId="0" applyNumberFormat="1" applyFont="1" applyFill="1" applyAlignment="1">
      <alignment horizontal="right" vertical="center"/>
    </xf>
    <xf numFmtId="182" fontId="21" fillId="2" borderId="0" xfId="0" applyNumberFormat="1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indent="1"/>
    </xf>
    <xf numFmtId="182" fontId="21" fillId="0" borderId="0" xfId="0" applyNumberFormat="1" applyFont="1" applyAlignment="1">
      <alignment horizontal="left" vertical="center"/>
    </xf>
    <xf numFmtId="182" fontId="27" fillId="0" borderId="5" xfId="0" applyNumberFormat="1" applyFont="1" applyBorder="1" applyAlignment="1">
      <alignment horizontal="left" vertical="center"/>
    </xf>
    <xf numFmtId="183" fontId="1" fillId="2" borderId="5" xfId="0" applyNumberFormat="1" applyFont="1" applyFill="1" applyBorder="1" applyAlignment="1">
      <alignment horizontal="right" vertical="center"/>
    </xf>
    <xf numFmtId="183" fontId="1" fillId="8" borderId="5" xfId="0" applyNumberFormat="1" applyFont="1" applyFill="1" applyBorder="1" applyAlignment="1">
      <alignment horizontal="right" vertical="center"/>
    </xf>
    <xf numFmtId="10" fontId="1" fillId="2" borderId="5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left" vertical="center" indent="1"/>
    </xf>
    <xf numFmtId="10" fontId="44" fillId="2" borderId="0" xfId="0" applyNumberFormat="1" applyFont="1" applyFill="1" applyAlignment="1">
      <alignment horizontal="right" vertical="center"/>
    </xf>
    <xf numFmtId="10" fontId="44" fillId="8" borderId="0" xfId="0" applyNumberFormat="1" applyFont="1" applyFill="1" applyAlignment="1">
      <alignment horizontal="right" vertical="center"/>
    </xf>
    <xf numFmtId="0" fontId="45" fillId="2" borderId="0" xfId="0" applyFont="1" applyFill="1">
      <alignment vertical="center"/>
    </xf>
    <xf numFmtId="0" fontId="27" fillId="2" borderId="0" xfId="0" applyFont="1" applyFill="1" applyAlignment="1">
      <alignment horizontal="right" vertical="center"/>
    </xf>
    <xf numFmtId="0" fontId="21" fillId="2" borderId="0" xfId="0" applyFont="1" applyFill="1">
      <alignment vertical="center"/>
    </xf>
    <xf numFmtId="0" fontId="21" fillId="7" borderId="11" xfId="0" applyFont="1" applyFill="1" applyBorder="1" applyAlignment="1">
      <alignment horizontal="center" vertical="center"/>
    </xf>
    <xf numFmtId="0" fontId="36" fillId="0" borderId="12" xfId="0" applyFont="1" applyBorder="1">
      <alignment vertical="center"/>
    </xf>
    <xf numFmtId="0" fontId="21" fillId="0" borderId="13" xfId="0" applyFont="1" applyBorder="1">
      <alignment vertical="center"/>
    </xf>
    <xf numFmtId="183" fontId="28" fillId="2" borderId="14" xfId="41" applyNumberFormat="1" applyFont="1" applyFill="1" applyBorder="1">
      <alignment vertical="center"/>
    </xf>
    <xf numFmtId="10" fontId="1" fillId="0" borderId="15" xfId="13" applyNumberFormat="1" applyFont="1" applyFill="1" applyBorder="1" applyAlignment="1">
      <alignment horizontal="center" vertical="center"/>
    </xf>
    <xf numFmtId="10" fontId="1" fillId="6" borderId="15" xfId="1" applyNumberFormat="1" applyFont="1" applyFill="1" applyBorder="1" applyAlignment="1">
      <alignment horizontal="center" vertical="center"/>
    </xf>
    <xf numFmtId="0" fontId="27" fillId="2" borderId="0" xfId="0" applyFont="1" applyFill="1">
      <alignment vertical="center"/>
    </xf>
    <xf numFmtId="0" fontId="5" fillId="2" borderId="0" xfId="0" applyFont="1" applyFill="1" applyAlignment="1">
      <alignment horizontal="left"/>
    </xf>
    <xf numFmtId="183" fontId="5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16" fillId="2" borderId="0" xfId="0" applyFont="1" applyFill="1">
      <alignment vertical="center"/>
    </xf>
    <xf numFmtId="10" fontId="36" fillId="2" borderId="0" xfId="0" applyNumberFormat="1" applyFont="1" applyFill="1">
      <alignment vertical="center"/>
    </xf>
    <xf numFmtId="185" fontId="36" fillId="2" borderId="0" xfId="0" applyNumberFormat="1" applyFont="1" applyFill="1">
      <alignment vertical="center"/>
    </xf>
    <xf numFmtId="185" fontId="27" fillId="2" borderId="0" xfId="0" applyNumberFormat="1" applyFont="1" applyFill="1">
      <alignment vertical="center"/>
    </xf>
    <xf numFmtId="10" fontId="5" fillId="2" borderId="0" xfId="0" applyNumberFormat="1" applyFont="1" applyFill="1" applyAlignment="1">
      <alignment horizontal="right" vertical="center"/>
    </xf>
    <xf numFmtId="10" fontId="28" fillId="2" borderId="0" xfId="0" applyNumberFormat="1" applyFont="1" applyFill="1" applyAlignment="1">
      <alignment horizontal="right" vertical="center"/>
    </xf>
    <xf numFmtId="0" fontId="16" fillId="0" borderId="0" xfId="0" applyFont="1">
      <alignment vertical="center"/>
    </xf>
    <xf numFmtId="0" fontId="21" fillId="0" borderId="0" xfId="0" applyFont="1">
      <alignment vertical="center"/>
    </xf>
    <xf numFmtId="10" fontId="1" fillId="2" borderId="0" xfId="13" applyNumberFormat="1" applyFont="1" applyFill="1" applyBorder="1">
      <alignment vertical="center"/>
    </xf>
    <xf numFmtId="10" fontId="1" fillId="0" borderId="17" xfId="13" applyNumberFormat="1" applyFont="1" applyFill="1" applyBorder="1" applyAlignment="1">
      <alignment horizontal="center" vertical="center"/>
    </xf>
    <xf numFmtId="0" fontId="36" fillId="2" borderId="0" xfId="0" applyFont="1" applyFill="1">
      <alignment vertical="center"/>
    </xf>
    <xf numFmtId="10" fontId="1" fillId="0" borderId="0" xfId="13" applyNumberFormat="1" applyFont="1" applyFill="1" applyBorder="1">
      <alignment vertical="center"/>
    </xf>
    <xf numFmtId="10" fontId="1" fillId="0" borderId="18" xfId="13" applyNumberFormat="1" applyFont="1" applyFill="1" applyBorder="1" applyAlignment="1">
      <alignment horizontal="center" vertical="center"/>
    </xf>
    <xf numFmtId="10" fontId="1" fillId="6" borderId="18" xfId="1" applyNumberFormat="1" applyFont="1" applyFill="1" applyBorder="1" applyAlignment="1">
      <alignment horizontal="center" vertical="center"/>
    </xf>
    <xf numFmtId="10" fontId="1" fillId="0" borderId="20" xfId="13" applyNumberFormat="1" applyFont="1" applyFill="1" applyBorder="1" applyAlignment="1">
      <alignment horizontal="center" vertical="center"/>
    </xf>
    <xf numFmtId="10" fontId="28" fillId="2" borderId="21" xfId="0" applyNumberFormat="1" applyFont="1" applyFill="1" applyBorder="1" applyAlignment="1">
      <alignment horizontal="right" vertical="center"/>
    </xf>
    <xf numFmtId="10" fontId="28" fillId="2" borderId="8" xfId="0" applyNumberFormat="1" applyFont="1" applyFill="1" applyBorder="1" applyAlignment="1">
      <alignment horizontal="right" vertical="center"/>
    </xf>
    <xf numFmtId="183" fontId="9" fillId="2" borderId="0" xfId="41" applyNumberFormat="1" applyFont="1" applyFill="1" applyBorder="1">
      <alignment vertical="center"/>
    </xf>
    <xf numFmtId="185" fontId="11" fillId="2" borderId="0" xfId="13" applyNumberFormat="1" applyFont="1" applyFill="1" applyBorder="1">
      <alignment vertical="center"/>
    </xf>
    <xf numFmtId="183" fontId="28" fillId="2" borderId="0" xfId="0" applyNumberFormat="1" applyFont="1" applyFill="1" applyAlignment="1">
      <alignment horizontal="right" vertical="center"/>
    </xf>
    <xf numFmtId="183" fontId="28" fillId="2" borderId="21" xfId="0" applyNumberFormat="1" applyFont="1" applyFill="1" applyBorder="1" applyAlignment="1">
      <alignment horizontal="right" vertical="center"/>
    </xf>
    <xf numFmtId="183" fontId="28" fillId="2" borderId="8" xfId="0" applyNumberFormat="1" applyFont="1" applyFill="1" applyBorder="1" applyAlignment="1">
      <alignment horizontal="right" vertical="center"/>
    </xf>
    <xf numFmtId="0" fontId="21" fillId="2" borderId="8" xfId="0" applyFont="1" applyFill="1" applyBorder="1">
      <alignment vertical="center"/>
    </xf>
    <xf numFmtId="0" fontId="16" fillId="2" borderId="8" xfId="0" applyFont="1" applyFill="1" applyBorder="1" applyAlignment="1">
      <alignment horizontal="center" vertical="center"/>
    </xf>
    <xf numFmtId="183" fontId="1" fillId="6" borderId="0" xfId="1" applyNumberFormat="1" applyFont="1" applyFill="1" applyBorder="1" applyAlignment="1">
      <alignment horizontal="right" vertical="center"/>
    </xf>
    <xf numFmtId="0" fontId="46" fillId="2" borderId="0" xfId="0" applyFont="1" applyFill="1" applyAlignment="1">
      <alignment horizontal="left" vertical="center" indent="1"/>
    </xf>
    <xf numFmtId="0" fontId="46" fillId="0" borderId="0" xfId="0" applyFont="1" applyAlignment="1">
      <alignment horizontal="left" vertical="center" indent="1"/>
    </xf>
    <xf numFmtId="10" fontId="47" fillId="0" borderId="0" xfId="0" applyNumberFormat="1" applyFont="1" applyAlignment="1">
      <alignment horizontal="right" vertical="center"/>
    </xf>
    <xf numFmtId="0" fontId="21" fillId="0" borderId="5" xfId="0" applyFont="1" applyBorder="1" applyAlignment="1">
      <alignment horizontal="left" vertical="center"/>
    </xf>
    <xf numFmtId="0" fontId="16" fillId="0" borderId="5" xfId="0" applyFont="1" applyBorder="1">
      <alignment vertical="center"/>
    </xf>
    <xf numFmtId="183" fontId="16" fillId="0" borderId="5" xfId="0" applyNumberFormat="1" applyFont="1" applyBorder="1">
      <alignment vertical="center"/>
    </xf>
    <xf numFmtId="0" fontId="21" fillId="0" borderId="5" xfId="0" applyFont="1" applyBorder="1">
      <alignment vertical="center"/>
    </xf>
    <xf numFmtId="184" fontId="16" fillId="0" borderId="15" xfId="0" applyNumberFormat="1" applyFont="1" applyBorder="1" applyAlignment="1">
      <alignment horizontal="center" vertical="center"/>
    </xf>
    <xf numFmtId="183" fontId="1" fillId="0" borderId="0" xfId="0" applyNumberFormat="1" applyFont="1" applyAlignment="1">
      <alignment horizontal="right" vertical="center"/>
    </xf>
    <xf numFmtId="186" fontId="1" fillId="0" borderId="0" xfId="0" applyNumberFormat="1" applyFont="1" applyAlignment="1">
      <alignment horizontal="right" vertical="center"/>
    </xf>
    <xf numFmtId="10" fontId="28" fillId="2" borderId="22" xfId="0" applyNumberFormat="1" applyFont="1" applyFill="1" applyBorder="1" applyAlignment="1">
      <alignment horizontal="right" vertical="center"/>
    </xf>
    <xf numFmtId="10" fontId="28" fillId="2" borderId="23" xfId="0" applyNumberFormat="1" applyFont="1" applyFill="1" applyBorder="1" applyAlignment="1">
      <alignment horizontal="right" vertical="center"/>
    </xf>
    <xf numFmtId="0" fontId="48" fillId="2" borderId="0" xfId="0" applyFont="1" applyFill="1">
      <alignment vertical="center"/>
    </xf>
    <xf numFmtId="183" fontId="28" fillId="2" borderId="22" xfId="0" applyNumberFormat="1" applyFont="1" applyFill="1" applyBorder="1" applyAlignment="1">
      <alignment horizontal="right" vertical="center"/>
    </xf>
    <xf numFmtId="183" fontId="28" fillId="2" borderId="23" xfId="0" applyNumberFormat="1" applyFont="1" applyFill="1" applyBorder="1" applyAlignment="1">
      <alignment horizontal="right" vertical="center"/>
    </xf>
    <xf numFmtId="10" fontId="1" fillId="2" borderId="15" xfId="13" applyNumberFormat="1" applyFont="1" applyFill="1" applyBorder="1" applyAlignment="1">
      <alignment horizontal="center" vertical="center"/>
    </xf>
    <xf numFmtId="10" fontId="1" fillId="2" borderId="18" xfId="13" applyNumberFormat="1" applyFont="1" applyFill="1" applyBorder="1" applyAlignment="1">
      <alignment horizontal="center" vertical="center"/>
    </xf>
    <xf numFmtId="10" fontId="1" fillId="2" borderId="20" xfId="13" applyNumberFormat="1" applyFont="1" applyFill="1" applyBorder="1" applyAlignment="1">
      <alignment horizontal="center" vertical="center"/>
    </xf>
    <xf numFmtId="183" fontId="1" fillId="2" borderId="0" xfId="1" applyNumberFormat="1" applyFont="1" applyFill="1" applyBorder="1" applyAlignment="1">
      <alignment horizontal="right" vertical="center"/>
    </xf>
    <xf numFmtId="10" fontId="47" fillId="2" borderId="0" xfId="0" applyNumberFormat="1" applyFont="1" applyFill="1" applyAlignment="1">
      <alignment horizontal="right" vertical="center"/>
    </xf>
    <xf numFmtId="184" fontId="16" fillId="2" borderId="0" xfId="0" applyNumberFormat="1" applyFont="1" applyFill="1" applyAlignment="1">
      <alignment horizontal="center" vertical="center"/>
    </xf>
    <xf numFmtId="10" fontId="1" fillId="2" borderId="0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84" fontId="1" fillId="2" borderId="0" xfId="0" applyNumberFormat="1" applyFont="1" applyFill="1" applyAlignment="1">
      <alignment horizontal="right" vertical="center"/>
    </xf>
    <xf numFmtId="10" fontId="1" fillId="2" borderId="17" xfId="13" applyNumberFormat="1" applyFont="1" applyFill="1" applyBorder="1" applyAlignment="1">
      <alignment horizontal="center" vertical="center"/>
    </xf>
    <xf numFmtId="183" fontId="1" fillId="2" borderId="0" xfId="0" applyNumberFormat="1" applyFont="1" applyFill="1">
      <alignment vertical="center"/>
    </xf>
    <xf numFmtId="183" fontId="1" fillId="0" borderId="0" xfId="0" applyNumberFormat="1" applyFont="1">
      <alignment vertical="center"/>
    </xf>
    <xf numFmtId="0" fontId="22" fillId="2" borderId="0" xfId="30" applyFont="1" applyFill="1" applyAlignment="1">
      <alignment horizontal="center" vertical="center"/>
    </xf>
    <xf numFmtId="0" fontId="22" fillId="0" borderId="0" xfId="30" applyFont="1" applyAlignment="1">
      <alignment horizontal="center"/>
    </xf>
    <xf numFmtId="0" fontId="49" fillId="0" borderId="0" xfId="30" applyFont="1" applyAlignment="1">
      <alignment vertical="center"/>
    </xf>
    <xf numFmtId="0" fontId="49" fillId="2" borderId="0" xfId="30" applyFont="1" applyFill="1" applyAlignment="1">
      <alignment vertical="center"/>
    </xf>
    <xf numFmtId="0" fontId="24" fillId="0" borderId="0" xfId="30" applyFont="1" applyAlignment="1">
      <alignment horizontal="left"/>
    </xf>
    <xf numFmtId="187" fontId="50" fillId="0" borderId="24" xfId="30" applyNumberFormat="1" applyFont="1" applyBorder="1" applyAlignment="1">
      <alignment horizontal="right"/>
    </xf>
    <xf numFmtId="187" fontId="50" fillId="0" borderId="25" xfId="30" applyNumberFormat="1" applyFont="1" applyBorder="1" applyAlignment="1">
      <alignment horizontal="right"/>
    </xf>
    <xf numFmtId="187" fontId="50" fillId="0" borderId="0" xfId="30" applyNumberFormat="1" applyFont="1" applyAlignment="1">
      <alignment horizontal="right"/>
    </xf>
    <xf numFmtId="0" fontId="49" fillId="2" borderId="0" xfId="30" applyFont="1" applyFill="1"/>
    <xf numFmtId="0" fontId="49" fillId="0" borderId="0" xfId="30" applyFont="1"/>
    <xf numFmtId="180" fontId="39" fillId="4" borderId="0" xfId="0" applyNumberFormat="1" applyFont="1" applyFill="1" applyAlignment="1">
      <alignment horizontal="center" vertical="center"/>
    </xf>
    <xf numFmtId="49" fontId="24" fillId="0" borderId="5" xfId="30" applyNumberFormat="1" applyFont="1" applyBorder="1" applyAlignment="1">
      <alignment horizontal="center" vertical="center"/>
    </xf>
    <xf numFmtId="0" fontId="22" fillId="0" borderId="5" xfId="30" applyFont="1" applyBorder="1" applyAlignment="1">
      <alignment horizontal="center" vertical="center"/>
    </xf>
    <xf numFmtId="0" fontId="24" fillId="0" borderId="0" xfId="30" applyFont="1" applyAlignment="1">
      <alignment horizontal="left" vertical="center"/>
    </xf>
    <xf numFmtId="188" fontId="50" fillId="0" borderId="24" xfId="30" applyNumberFormat="1" applyFont="1" applyBorder="1" applyAlignment="1">
      <alignment horizontal="right" vertical="center"/>
    </xf>
    <xf numFmtId="188" fontId="50" fillId="2" borderId="25" xfId="30" applyNumberFormat="1" applyFont="1" applyFill="1" applyBorder="1" applyAlignment="1">
      <alignment horizontal="right" vertical="center"/>
    </xf>
    <xf numFmtId="188" fontId="50" fillId="2" borderId="24" xfId="30" applyNumberFormat="1" applyFont="1" applyFill="1" applyBorder="1" applyAlignment="1">
      <alignment horizontal="right" vertical="center"/>
    </xf>
    <xf numFmtId="183" fontId="50" fillId="0" borderId="0" xfId="30" applyNumberFormat="1" applyFont="1" applyAlignment="1">
      <alignment horizontal="right" vertical="center"/>
    </xf>
    <xf numFmtId="188" fontId="51" fillId="8" borderId="26" xfId="30" applyNumberFormat="1" applyFont="1" applyFill="1" applyBorder="1" applyAlignment="1">
      <alignment horizontal="left" vertical="center"/>
    </xf>
    <xf numFmtId="188" fontId="50" fillId="8" borderId="27" xfId="30" applyNumberFormat="1" applyFont="1" applyFill="1" applyBorder="1" applyAlignment="1">
      <alignment horizontal="right" vertical="center"/>
    </xf>
    <xf numFmtId="188" fontId="50" fillId="8" borderId="28" xfId="30" applyNumberFormat="1" applyFont="1" applyFill="1" applyBorder="1" applyAlignment="1">
      <alignment horizontal="right" vertical="center"/>
    </xf>
    <xf numFmtId="183" fontId="50" fillId="8" borderId="26" xfId="30" applyNumberFormat="1" applyFont="1" applyFill="1" applyBorder="1" applyAlignment="1">
      <alignment horizontal="right" vertical="center"/>
    </xf>
    <xf numFmtId="0" fontId="24" fillId="2" borderId="0" xfId="30" applyFont="1" applyFill="1" applyAlignment="1">
      <alignment horizontal="left" vertical="center"/>
    </xf>
    <xf numFmtId="183" fontId="50" fillId="2" borderId="0" xfId="30" applyNumberFormat="1" applyFont="1" applyFill="1" applyAlignment="1">
      <alignment horizontal="right" vertical="center"/>
    </xf>
    <xf numFmtId="183" fontId="50" fillId="0" borderId="0" xfId="30" applyNumberFormat="1" applyFont="1" applyAlignment="1">
      <alignment horizontal="right"/>
    </xf>
    <xf numFmtId="0" fontId="22" fillId="0" borderId="29" xfId="30" applyFont="1" applyBorder="1" applyAlignment="1">
      <alignment horizontal="center" vertical="center"/>
    </xf>
    <xf numFmtId="183" fontId="50" fillId="0" borderId="24" xfId="30" applyNumberFormat="1" applyFont="1" applyBorder="1" applyAlignment="1">
      <alignment horizontal="right" vertical="center"/>
    </xf>
    <xf numFmtId="183" fontId="50" fillId="8" borderId="27" xfId="30" applyNumberFormat="1" applyFont="1" applyFill="1" applyBorder="1" applyAlignment="1">
      <alignment horizontal="right" vertical="center"/>
    </xf>
    <xf numFmtId="183" fontId="50" fillId="2" borderId="24" xfId="30" applyNumberFormat="1" applyFont="1" applyFill="1" applyBorder="1" applyAlignment="1">
      <alignment horizontal="right" vertical="center"/>
    </xf>
    <xf numFmtId="183" fontId="50" fillId="0" borderId="24" xfId="30" applyNumberFormat="1" applyFont="1" applyBorder="1" applyAlignment="1">
      <alignment horizontal="right"/>
    </xf>
    <xf numFmtId="0" fontId="22" fillId="2" borderId="0" xfId="30" applyFont="1" applyFill="1" applyAlignment="1">
      <alignment horizontal="center"/>
    </xf>
    <xf numFmtId="0" fontId="49" fillId="2" borderId="0" xfId="30" applyFont="1" applyFill="1" applyAlignment="1">
      <alignment horizontal="right" vertical="center"/>
    </xf>
    <xf numFmtId="0" fontId="49" fillId="2" borderId="0" xfId="30" applyFont="1" applyFill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180" fontId="39" fillId="4" borderId="0" xfId="0" applyNumberFormat="1" applyFont="1" applyFill="1" applyAlignment="1">
      <alignment horizontal="left"/>
    </xf>
    <xf numFmtId="189" fontId="1" fillId="2" borderId="30" xfId="0" applyNumberFormat="1" applyFont="1" applyFill="1" applyBorder="1" applyAlignment="1">
      <alignment horizontal="center" vertical="center"/>
    </xf>
    <xf numFmtId="0" fontId="52" fillId="0" borderId="0" xfId="0" applyFont="1">
      <alignment vertical="center"/>
    </xf>
    <xf numFmtId="10" fontId="1" fillId="10" borderId="0" xfId="0" applyNumberFormat="1" applyFont="1" applyFill="1" applyAlignment="1">
      <alignment horizontal="center" vertical="center"/>
    </xf>
    <xf numFmtId="10" fontId="1" fillId="2" borderId="30" xfId="0" applyNumberFormat="1" applyFont="1" applyFill="1" applyBorder="1" applyAlignment="1">
      <alignment horizontal="center" vertical="center"/>
    </xf>
    <xf numFmtId="10" fontId="1" fillId="8" borderId="30" xfId="0" applyNumberFormat="1" applyFont="1" applyFill="1" applyBorder="1" applyAlignment="1">
      <alignment horizontal="center" vertical="center"/>
    </xf>
    <xf numFmtId="189" fontId="1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2" fillId="2" borderId="0" xfId="0" applyFont="1" applyFill="1">
      <alignment vertical="center"/>
    </xf>
    <xf numFmtId="10" fontId="1" fillId="0" borderId="0" xfId="0" applyNumberFormat="1" applyFont="1" applyAlignment="1">
      <alignment horizontal="center" vertical="center"/>
    </xf>
    <xf numFmtId="0" fontId="45" fillId="0" borderId="0" xfId="0" applyFont="1">
      <alignment vertical="center"/>
    </xf>
    <xf numFmtId="0" fontId="48" fillId="0" borderId="0" xfId="0" applyFont="1">
      <alignment vertical="center"/>
    </xf>
    <xf numFmtId="183" fontId="53" fillId="0" borderId="0" xfId="41" applyNumberFormat="1" applyFont="1" applyAlignment="1">
      <alignment horizontal="right" vertical="center"/>
    </xf>
    <xf numFmtId="0" fontId="54" fillId="0" borderId="0" xfId="0" applyFont="1">
      <alignment vertical="center"/>
    </xf>
    <xf numFmtId="190" fontId="1" fillId="11" borderId="0" xfId="0" applyNumberFormat="1" applyFont="1" applyFill="1" applyAlignment="1">
      <alignment horizontal="right" vertical="center"/>
    </xf>
    <xf numFmtId="184" fontId="1" fillId="11" borderId="0" xfId="0" applyNumberFormat="1" applyFont="1" applyFill="1" applyAlignment="1">
      <alignment horizontal="right" vertical="center"/>
    </xf>
    <xf numFmtId="183" fontId="28" fillId="2" borderId="0" xfId="21" applyNumberFormat="1" applyFont="1" applyFill="1" applyAlignment="1">
      <alignment horizontal="right" vertical="center"/>
    </xf>
    <xf numFmtId="183" fontId="28" fillId="0" borderId="0" xfId="0" applyNumberFormat="1" applyFont="1">
      <alignment vertical="center"/>
    </xf>
    <xf numFmtId="10" fontId="55" fillId="2" borderId="0" xfId="21" applyNumberFormat="1" applyFont="1" applyFill="1" applyAlignment="1">
      <alignment horizontal="right" vertical="center"/>
    </xf>
    <xf numFmtId="10" fontId="28" fillId="0" borderId="0" xfId="0" applyNumberFormat="1" applyFont="1" applyAlignment="1">
      <alignment horizontal="right" vertical="center"/>
    </xf>
    <xf numFmtId="183" fontId="28" fillId="0" borderId="0" xfId="0" applyNumberFormat="1" applyFont="1" applyAlignment="1">
      <alignment horizontal="right" vertical="center"/>
    </xf>
    <xf numFmtId="183" fontId="56" fillId="2" borderId="0" xfId="21" applyNumberFormat="1" applyFont="1" applyFill="1" applyAlignment="1">
      <alignment horizontal="right" vertical="center"/>
    </xf>
    <xf numFmtId="183" fontId="56" fillId="0" borderId="0" xfId="0" applyNumberFormat="1" applyFont="1" applyAlignment="1">
      <alignment horizontal="right" vertical="center"/>
    </xf>
    <xf numFmtId="183" fontId="57" fillId="2" borderId="0" xfId="21" applyNumberFormat="1" applyFont="1" applyFill="1" applyAlignment="1">
      <alignment horizontal="right" vertical="center"/>
    </xf>
    <xf numFmtId="183" fontId="57" fillId="0" borderId="0" xfId="0" applyNumberFormat="1" applyFont="1">
      <alignment vertical="center"/>
    </xf>
    <xf numFmtId="183" fontId="5" fillId="0" borderId="0" xfId="0" applyNumberFormat="1" applyFont="1" applyAlignment="1">
      <alignment horizontal="right" vertical="center"/>
    </xf>
    <xf numFmtId="183" fontId="5" fillId="0" borderId="0" xfId="0" applyNumberFormat="1" applyFont="1">
      <alignment vertical="center"/>
    </xf>
    <xf numFmtId="183" fontId="56" fillId="2" borderId="0" xfId="0" applyNumberFormat="1" applyFont="1" applyFill="1" applyAlignment="1">
      <alignment horizontal="right" vertical="center"/>
    </xf>
    <xf numFmtId="0" fontId="21" fillId="12" borderId="0" xfId="29" applyFont="1" applyFill="1">
      <alignment vertical="center"/>
    </xf>
    <xf numFmtId="183" fontId="56" fillId="12" borderId="0" xfId="29" applyNumberFormat="1" applyFont="1" applyFill="1" applyAlignment="1">
      <alignment horizontal="right" vertical="center"/>
    </xf>
    <xf numFmtId="0" fontId="21" fillId="2" borderId="0" xfId="29" applyFont="1" applyFill="1">
      <alignment vertical="center"/>
    </xf>
    <xf numFmtId="183" fontId="56" fillId="2" borderId="0" xfId="29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textRotation="255"/>
    </xf>
    <xf numFmtId="10" fontId="28" fillId="2" borderId="0" xfId="13" applyNumberFormat="1" applyFont="1" applyFill="1" applyBorder="1">
      <alignment vertical="center"/>
    </xf>
    <xf numFmtId="0" fontId="5" fillId="0" borderId="31" xfId="0" applyFont="1" applyBorder="1" applyAlignment="1">
      <alignment vertical="center" textRotation="255"/>
    </xf>
    <xf numFmtId="0" fontId="5" fillId="0" borderId="32" xfId="0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185" fontId="11" fillId="0" borderId="33" xfId="13" applyNumberFormat="1" applyFont="1" applyFill="1" applyBorder="1">
      <alignment vertical="center"/>
    </xf>
    <xf numFmtId="0" fontId="5" fillId="0" borderId="10" xfId="0" applyFont="1" applyBorder="1">
      <alignment vertical="center"/>
    </xf>
    <xf numFmtId="0" fontId="5" fillId="0" borderId="34" xfId="0" applyFont="1" applyBorder="1" applyAlignment="1">
      <alignment vertical="center" textRotation="255"/>
    </xf>
    <xf numFmtId="0" fontId="5" fillId="0" borderId="35" xfId="0" applyFont="1" applyBorder="1" applyAlignment="1">
      <alignment horizontal="left" vertical="center"/>
    </xf>
    <xf numFmtId="0" fontId="5" fillId="0" borderId="8" xfId="0" applyFont="1" applyBorder="1" applyAlignment="1">
      <alignment horizontal="left"/>
    </xf>
    <xf numFmtId="185" fontId="11" fillId="0" borderId="36" xfId="13" applyNumberFormat="1" applyFont="1" applyFill="1" applyBorder="1">
      <alignment vertical="center"/>
    </xf>
    <xf numFmtId="183" fontId="5" fillId="0" borderId="8" xfId="0" applyNumberFormat="1" applyFont="1" applyBorder="1" applyAlignment="1">
      <alignment horizontal="right" vertical="center"/>
    </xf>
    <xf numFmtId="183" fontId="28" fillId="2" borderId="37" xfId="41" applyNumberFormat="1" applyFont="1" applyFill="1" applyBorder="1" applyAlignment="1">
      <alignment horizontal="right" vertical="center"/>
    </xf>
    <xf numFmtId="10" fontId="28" fillId="13" borderId="0" xfId="13" applyNumberFormat="1" applyFont="1" applyFill="1" applyBorder="1" applyAlignment="1">
      <alignment horizontal="right" vertical="center"/>
    </xf>
    <xf numFmtId="10" fontId="28" fillId="14" borderId="0" xfId="13" applyNumberFormat="1" applyFont="1" applyFill="1" applyBorder="1" applyAlignment="1">
      <alignment horizontal="right" vertical="center"/>
    </xf>
    <xf numFmtId="10" fontId="28" fillId="13" borderId="37" xfId="13" applyNumberFormat="1" applyFont="1" applyFill="1" applyBorder="1">
      <alignment vertical="center"/>
    </xf>
    <xf numFmtId="183" fontId="28" fillId="8" borderId="0" xfId="0" applyNumberFormat="1" applyFont="1" applyFill="1" applyAlignment="1">
      <alignment horizontal="right" vertical="center"/>
    </xf>
    <xf numFmtId="10" fontId="28" fillId="14" borderId="37" xfId="13" applyNumberFormat="1" applyFont="1" applyFill="1" applyBorder="1">
      <alignment vertical="center"/>
    </xf>
    <xf numFmtId="10" fontId="28" fillId="13" borderId="35" xfId="13" applyNumberFormat="1" applyFont="1" applyFill="1" applyBorder="1">
      <alignment vertical="center"/>
    </xf>
    <xf numFmtId="183" fontId="28" fillId="8" borderId="8" xfId="0" applyNumberFormat="1" applyFont="1" applyFill="1" applyBorder="1" applyAlignment="1">
      <alignment horizontal="right" vertical="center"/>
    </xf>
    <xf numFmtId="0" fontId="1" fillId="13" borderId="0" xfId="0" applyFont="1" applyFill="1" applyAlignment="1">
      <alignment horizontal="left"/>
    </xf>
    <xf numFmtId="184" fontId="1" fillId="13" borderId="0" xfId="0" applyNumberFormat="1" applyFont="1" applyFill="1" applyAlignment="1">
      <alignment horizontal="right"/>
    </xf>
    <xf numFmtId="0" fontId="5" fillId="0" borderId="39" xfId="0" applyFont="1" applyBorder="1">
      <alignment vertical="center"/>
    </xf>
    <xf numFmtId="183" fontId="5" fillId="0" borderId="23" xfId="0" applyNumberFormat="1" applyFont="1" applyBorder="1" applyAlignment="1">
      <alignment horizontal="right" vertical="center"/>
    </xf>
    <xf numFmtId="10" fontId="28" fillId="13" borderId="22" xfId="13" applyNumberFormat="1" applyFont="1" applyFill="1" applyBorder="1" applyAlignment="1">
      <alignment horizontal="right" vertical="center"/>
    </xf>
    <xf numFmtId="183" fontId="28" fillId="8" borderId="22" xfId="0" applyNumberFormat="1" applyFont="1" applyFill="1" applyBorder="1" applyAlignment="1">
      <alignment horizontal="right" vertical="center"/>
    </xf>
    <xf numFmtId="0" fontId="1" fillId="13" borderId="0" xfId="0" applyFont="1" applyFill="1" applyAlignment="1">
      <alignment horizontal="center" vertical="center"/>
    </xf>
    <xf numFmtId="183" fontId="1" fillId="0" borderId="0" xfId="41" applyNumberFormat="1" applyFont="1" applyBorder="1" applyAlignment="1">
      <alignment horizontal="right" vertical="center"/>
    </xf>
    <xf numFmtId="183" fontId="1" fillId="2" borderId="0" xfId="41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190" fontId="1" fillId="13" borderId="0" xfId="0" applyNumberFormat="1" applyFont="1" applyFill="1" applyAlignment="1">
      <alignment horizontal="right" vertical="center"/>
    </xf>
    <xf numFmtId="184" fontId="1" fillId="13" borderId="0" xfId="0" applyNumberFormat="1" applyFont="1" applyFill="1" applyAlignment="1">
      <alignment horizontal="right" vertical="center"/>
    </xf>
    <xf numFmtId="183" fontId="16" fillId="0" borderId="0" xfId="0" applyNumberFormat="1" applyFont="1" applyAlignment="1">
      <alignment horizontal="right" vertical="center"/>
    </xf>
    <xf numFmtId="0" fontId="21" fillId="12" borderId="0" xfId="0" applyFont="1" applyFill="1">
      <alignment vertical="center"/>
    </xf>
    <xf numFmtId="183" fontId="56" fillId="12" borderId="0" xfId="0" applyNumberFormat="1" applyFont="1" applyFill="1" applyAlignment="1">
      <alignment horizontal="right" vertical="center"/>
    </xf>
    <xf numFmtId="0" fontId="1" fillId="13" borderId="0" xfId="0" applyFont="1" applyFill="1" applyAlignment="1">
      <alignment horizontal="center"/>
    </xf>
    <xf numFmtId="0" fontId="5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90" fontId="5" fillId="0" borderId="0" xfId="0" applyNumberFormat="1" applyFont="1" applyAlignment="1">
      <alignment horizontal="right" vertical="center"/>
    </xf>
    <xf numFmtId="183" fontId="1" fillId="0" borderId="0" xfId="41" applyNumberFormat="1" applyFont="1" applyAlignment="1">
      <alignment horizontal="right" vertical="center"/>
    </xf>
    <xf numFmtId="183" fontId="1" fillId="0" borderId="0" xfId="41" applyNumberFormat="1" applyFont="1">
      <alignment vertical="center"/>
    </xf>
    <xf numFmtId="10" fontId="1" fillId="0" borderId="0" xfId="41" applyNumberFormat="1" applyFont="1" applyAlignment="1">
      <alignment horizontal="right" vertical="center"/>
    </xf>
    <xf numFmtId="183" fontId="16" fillId="0" borderId="0" xfId="41" applyNumberFormat="1" applyFont="1" applyAlignment="1">
      <alignment horizontal="right" vertical="center"/>
    </xf>
    <xf numFmtId="0" fontId="57" fillId="0" borderId="0" xfId="0" applyFont="1" applyAlignment="1">
      <alignment horizontal="right" vertical="center"/>
    </xf>
    <xf numFmtId="183" fontId="59" fillId="0" borderId="0" xfId="41" applyNumberFormat="1" applyFont="1" applyAlignment="1">
      <alignment horizontal="right" vertical="center"/>
    </xf>
    <xf numFmtId="191" fontId="1" fillId="13" borderId="0" xfId="0" applyNumberFormat="1" applyFont="1" applyFill="1" applyAlignment="1">
      <alignment horizontal="center" vertical="center"/>
    </xf>
    <xf numFmtId="184" fontId="1" fillId="13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0" fillId="2" borderId="0" xfId="22" applyFont="1" applyFill="1" applyAlignment="1" applyProtection="1">
      <alignment horizontal="left" vertical="center"/>
      <protection hidden="1"/>
    </xf>
    <xf numFmtId="0" fontId="1" fillId="13" borderId="0" xfId="0" applyFont="1" applyFill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183" fontId="5" fillId="2" borderId="0" xfId="0" applyNumberFormat="1" applyFont="1" applyFill="1" applyAlignment="1">
      <alignment horizontal="left" vertical="center"/>
    </xf>
    <xf numFmtId="0" fontId="48" fillId="3" borderId="0" xfId="22" applyFont="1" applyFill="1" applyAlignment="1" applyProtection="1">
      <alignment horizontal="left" vertical="center"/>
      <protection hidden="1"/>
    </xf>
    <xf numFmtId="190" fontId="5" fillId="2" borderId="0" xfId="0" applyNumberFormat="1" applyFont="1" applyFill="1" applyAlignment="1">
      <alignment horizontal="right" vertical="center"/>
    </xf>
    <xf numFmtId="0" fontId="61" fillId="3" borderId="0" xfId="22" applyFont="1" applyFill="1" applyAlignment="1" applyProtection="1">
      <alignment horizontal="left" vertical="center"/>
      <protection hidden="1"/>
    </xf>
    <xf numFmtId="183" fontId="16" fillId="10" borderId="0" xfId="0" applyNumberFormat="1" applyFont="1" applyFill="1" applyAlignment="1">
      <alignment horizontal="center" vertical="center"/>
    </xf>
    <xf numFmtId="183" fontId="62" fillId="3" borderId="0" xfId="0" applyNumberFormat="1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183" fontId="63" fillId="3" borderId="0" xfId="0" applyNumberFormat="1" applyFont="1" applyFill="1" applyAlignment="1">
      <alignment horizontal="center" vertical="center"/>
    </xf>
    <xf numFmtId="183" fontId="9" fillId="0" borderId="0" xfId="0" applyNumberFormat="1" applyFont="1">
      <alignment vertical="center"/>
    </xf>
    <xf numFmtId="0" fontId="1" fillId="15" borderId="40" xfId="0" applyFont="1" applyFill="1" applyBorder="1" applyAlignment="1">
      <alignment vertical="center" wrapText="1"/>
    </xf>
    <xf numFmtId="183" fontId="1" fillId="15" borderId="14" xfId="0" applyNumberFormat="1" applyFont="1" applyFill="1" applyBorder="1" applyAlignment="1">
      <alignment horizontal="center" vertical="center"/>
    </xf>
    <xf numFmtId="183" fontId="1" fillId="2" borderId="41" xfId="0" applyNumberFormat="1" applyFont="1" applyFill="1" applyBorder="1" applyAlignment="1">
      <alignment horizontal="center" vertical="center"/>
    </xf>
    <xf numFmtId="183" fontId="1" fillId="2" borderId="42" xfId="0" applyNumberFormat="1" applyFont="1" applyFill="1" applyBorder="1" applyAlignment="1">
      <alignment horizontal="center" vertical="center"/>
    </xf>
    <xf numFmtId="183" fontId="1" fillId="2" borderId="15" xfId="0" applyNumberFormat="1" applyFont="1" applyFill="1" applyBorder="1" applyAlignment="1">
      <alignment horizontal="center" vertical="center"/>
    </xf>
    <xf numFmtId="183" fontId="1" fillId="2" borderId="43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83" fontId="63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192" fontId="0" fillId="2" borderId="0" xfId="0" applyNumberFormat="1" applyFill="1">
      <alignment vertical="center"/>
    </xf>
    <xf numFmtId="0" fontId="19" fillId="2" borderId="0" xfId="0" applyFont="1" applyFill="1" applyAlignment="1">
      <alignment horizontal="left" vertical="center"/>
    </xf>
    <xf numFmtId="0" fontId="65" fillId="2" borderId="0" xfId="0" applyFont="1" applyFill="1" applyAlignment="1">
      <alignment horizontal="left" vertical="center"/>
    </xf>
    <xf numFmtId="0" fontId="66" fillId="2" borderId="0" xfId="0" applyFont="1" applyFill="1">
      <alignment vertical="center"/>
    </xf>
    <xf numFmtId="0" fontId="34" fillId="2" borderId="0" xfId="0" applyFont="1" applyFill="1" applyAlignment="1">
      <alignment horizontal="center" vertical="center"/>
    </xf>
    <xf numFmtId="0" fontId="39" fillId="4" borderId="44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7" fillId="2" borderId="45" xfId="0" applyFont="1" applyFill="1" applyBorder="1" applyAlignment="1">
      <alignment horizontal="left" vertical="center"/>
    </xf>
    <xf numFmtId="0" fontId="27" fillId="2" borderId="45" xfId="0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/>
    </xf>
    <xf numFmtId="0" fontId="60" fillId="8" borderId="0" xfId="0" applyFont="1" applyFill="1" applyAlignment="1">
      <alignment vertical="top" wrapText="1"/>
    </xf>
    <xf numFmtId="0" fontId="27" fillId="2" borderId="0" xfId="0" applyFont="1" applyFill="1" applyAlignment="1">
      <alignment vertical="top"/>
    </xf>
    <xf numFmtId="0" fontId="27" fillId="8" borderId="0" xfId="0" applyFont="1" applyFill="1" applyAlignment="1">
      <alignment vertical="top" wrapText="1"/>
    </xf>
    <xf numFmtId="192" fontId="0" fillId="2" borderId="45" xfId="0" applyNumberForma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68" fillId="2" borderId="0" xfId="0" applyFont="1" applyFill="1" applyAlignment="1">
      <alignment horizontal="center"/>
    </xf>
    <xf numFmtId="0" fontId="39" fillId="4" borderId="0" xfId="0" applyFont="1" applyFill="1" applyAlignment="1">
      <alignment horizontal="center" vertical="center"/>
    </xf>
    <xf numFmtId="192" fontId="64" fillId="2" borderId="0" xfId="0" applyNumberFormat="1" applyFont="1" applyFill="1">
      <alignment vertical="center"/>
    </xf>
    <xf numFmtId="0" fontId="64" fillId="2" borderId="0" xfId="0" applyFont="1" applyFill="1">
      <alignment vertical="center"/>
    </xf>
    <xf numFmtId="180" fontId="13" fillId="2" borderId="0" xfId="0" applyNumberFormat="1" applyFont="1" applyFill="1" applyAlignment="1">
      <alignment horizontal="left"/>
    </xf>
    <xf numFmtId="0" fontId="1" fillId="2" borderId="0" xfId="0" applyFont="1" applyFill="1" applyAlignment="1"/>
    <xf numFmtId="0" fontId="16" fillId="2" borderId="9" xfId="0" applyFont="1" applyFill="1" applyBorder="1" applyAlignment="1">
      <alignment horizontal="center" vertical="center"/>
    </xf>
    <xf numFmtId="183" fontId="1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/>
    <xf numFmtId="185" fontId="32" fillId="2" borderId="0" xfId="0" applyNumberFormat="1" applyFont="1" applyFill="1" applyAlignment="1">
      <alignment horizontal="right" vertical="center"/>
    </xf>
    <xf numFmtId="182" fontId="5" fillId="2" borderId="0" xfId="1" applyNumberFormat="1" applyFont="1" applyFill="1" applyBorder="1" applyAlignment="1"/>
    <xf numFmtId="0" fontId="32" fillId="2" borderId="0" xfId="0" applyFont="1" applyFill="1">
      <alignment vertical="center"/>
    </xf>
    <xf numFmtId="0" fontId="16" fillId="2" borderId="0" xfId="0" applyFont="1" applyFill="1" applyAlignment="1"/>
    <xf numFmtId="180" fontId="13" fillId="0" borderId="0" xfId="0" applyNumberFormat="1" applyFont="1" applyAlignment="1">
      <alignment horizontal="left"/>
    </xf>
    <xf numFmtId="0" fontId="73" fillId="0" borderId="0" xfId="0" applyFont="1">
      <alignment vertical="center"/>
    </xf>
    <xf numFmtId="0" fontId="27" fillId="0" borderId="0" xfId="0" applyFont="1" applyAlignment="1"/>
    <xf numFmtId="0" fontId="1" fillId="0" borderId="0" xfId="0" applyFont="1" applyAlignment="1"/>
    <xf numFmtId="0" fontId="74" fillId="0" borderId="0" xfId="0" applyFont="1" applyAlignment="1"/>
    <xf numFmtId="0" fontId="75" fillId="0" borderId="9" xfId="0" applyFont="1" applyBorder="1" applyAlignment="1">
      <alignment horizontal="left"/>
    </xf>
    <xf numFmtId="0" fontId="27" fillId="0" borderId="9" xfId="0" applyFont="1" applyBorder="1" applyAlignment="1"/>
    <xf numFmtId="0" fontId="27" fillId="0" borderId="0" xfId="0" applyFont="1" applyAlignment="1">
      <alignment horizontal="left"/>
    </xf>
    <xf numFmtId="180" fontId="1" fillId="0" borderId="0" xfId="0" applyNumberFormat="1" applyFont="1" applyAlignment="1">
      <alignment horizontal="right"/>
    </xf>
    <xf numFmtId="0" fontId="21" fillId="0" borderId="0" xfId="0" applyFont="1" applyAlignment="1"/>
    <xf numFmtId="0" fontId="27" fillId="2" borderId="0" xfId="0" applyFont="1" applyFill="1" applyAlignment="1"/>
    <xf numFmtId="0" fontId="76" fillId="2" borderId="0" xfId="0" applyFont="1" applyFill="1">
      <alignment vertical="center"/>
    </xf>
    <xf numFmtId="0" fontId="76" fillId="0" borderId="0" xfId="0" applyFont="1" applyAlignment="1"/>
    <xf numFmtId="0" fontId="27" fillId="0" borderId="0" xfId="0" applyFont="1" applyAlignment="1">
      <alignment horizontal="left" vertical="center" indent="2"/>
    </xf>
    <xf numFmtId="0" fontId="27" fillId="0" borderId="5" xfId="0" applyFont="1" applyBorder="1" applyAlignment="1"/>
    <xf numFmtId="0" fontId="27" fillId="0" borderId="5" xfId="0" applyFont="1" applyBorder="1">
      <alignment vertical="center"/>
    </xf>
    <xf numFmtId="0" fontId="1" fillId="0" borderId="0" xfId="0" applyFont="1" applyAlignment="1">
      <alignment horizontal="center" vertical="center"/>
    </xf>
    <xf numFmtId="188" fontId="1" fillId="0" borderId="0" xfId="0" applyNumberFormat="1" applyFont="1">
      <alignment vertical="center"/>
    </xf>
    <xf numFmtId="188" fontId="16" fillId="0" borderId="0" xfId="0" applyNumberFormat="1" applyFont="1">
      <alignment vertical="center"/>
    </xf>
    <xf numFmtId="188" fontId="16" fillId="2" borderId="0" xfId="0" applyNumberFormat="1" applyFont="1" applyFill="1">
      <alignment vertical="center"/>
    </xf>
    <xf numFmtId="188" fontId="1" fillId="2" borderId="0" xfId="0" applyNumberFormat="1" applyFont="1" applyFill="1">
      <alignment vertical="center"/>
    </xf>
    <xf numFmtId="0" fontId="27" fillId="2" borderId="5" xfId="0" applyFont="1" applyFill="1" applyBorder="1">
      <alignment vertical="center"/>
    </xf>
    <xf numFmtId="182" fontId="27" fillId="0" borderId="0" xfId="0" applyNumberFormat="1" applyFont="1" applyAlignment="1">
      <alignment horizontal="right"/>
    </xf>
    <xf numFmtId="0" fontId="77" fillId="0" borderId="0" xfId="0" applyFont="1" applyAlignment="1"/>
    <xf numFmtId="0" fontId="78" fillId="0" borderId="0" xfId="0" applyFont="1" applyAlignment="1"/>
    <xf numFmtId="180" fontId="13" fillId="0" borderId="0" xfId="0" applyNumberFormat="1" applyFont="1" applyAlignment="1">
      <alignment horizontal="left" vertical="center"/>
    </xf>
    <xf numFmtId="182" fontId="79" fillId="0" borderId="0" xfId="0" applyNumberFormat="1" applyFont="1">
      <alignment vertical="center"/>
    </xf>
    <xf numFmtId="182" fontId="16" fillId="0" borderId="0" xfId="0" applyNumberFormat="1" applyFont="1">
      <alignment vertical="center"/>
    </xf>
    <xf numFmtId="182" fontId="1" fillId="2" borderId="0" xfId="0" applyNumberFormat="1" applyFont="1" applyFill="1">
      <alignment vertical="center"/>
    </xf>
    <xf numFmtId="182" fontId="1" fillId="0" borderId="0" xfId="0" applyNumberFormat="1" applyFont="1">
      <alignment vertical="center"/>
    </xf>
    <xf numFmtId="0" fontId="47" fillId="0" borderId="0" xfId="0" applyFont="1">
      <alignment vertical="center"/>
    </xf>
    <xf numFmtId="182" fontId="16" fillId="2" borderId="0" xfId="0" applyNumberFormat="1" applyFont="1" applyFill="1">
      <alignment vertical="center"/>
    </xf>
    <xf numFmtId="0" fontId="31" fillId="0" borderId="0" xfId="0" applyFont="1">
      <alignment vertical="center"/>
    </xf>
    <xf numFmtId="0" fontId="72" fillId="2" borderId="0" xfId="0" applyFont="1" applyFill="1">
      <alignment vertical="center"/>
    </xf>
    <xf numFmtId="0" fontId="72" fillId="0" borderId="0" xfId="0" applyFont="1">
      <alignment vertical="center"/>
    </xf>
    <xf numFmtId="182" fontId="80" fillId="0" borderId="0" xfId="0" applyNumberFormat="1" applyFont="1">
      <alignment vertical="center"/>
    </xf>
    <xf numFmtId="0" fontId="81" fillId="2" borderId="0" xfId="0" applyFont="1" applyFill="1">
      <alignment vertical="center"/>
    </xf>
    <xf numFmtId="182" fontId="72" fillId="0" borderId="0" xfId="0" applyNumberFormat="1" applyFont="1">
      <alignment vertical="center"/>
    </xf>
    <xf numFmtId="0" fontId="82" fillId="0" borderId="0" xfId="0" applyFont="1" applyAlignment="1">
      <alignment horizontal="right" vertical="center"/>
    </xf>
    <xf numFmtId="180" fontId="39" fillId="0" borderId="0" xfId="0" applyNumberFormat="1" applyFont="1" applyAlignment="1">
      <alignment horizontal="left" vertical="center"/>
    </xf>
    <xf numFmtId="180" fontId="39" fillId="4" borderId="0" xfId="0" applyNumberFormat="1" applyFont="1" applyFill="1" applyAlignment="1">
      <alignment horizontal="left" vertical="center"/>
    </xf>
    <xf numFmtId="180" fontId="83" fillId="4" borderId="0" xfId="0" applyNumberFormat="1" applyFont="1" applyFill="1" applyAlignment="1">
      <alignment horizontal="right" vertical="center"/>
    </xf>
    <xf numFmtId="180" fontId="16" fillId="4" borderId="0" xfId="0" applyNumberFormat="1" applyFont="1" applyFill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75" fillId="0" borderId="9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82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2" fillId="2" borderId="0" xfId="0" applyFont="1" applyFill="1" applyAlignment="1">
      <alignment horizontal="right" vertical="center"/>
    </xf>
    <xf numFmtId="182" fontId="46" fillId="0" borderId="0" xfId="0" applyNumberFormat="1" applyFont="1">
      <alignment vertical="center"/>
    </xf>
    <xf numFmtId="182" fontId="26" fillId="0" borderId="0" xfId="0" applyNumberFormat="1" applyFont="1" applyAlignment="1">
      <alignment horizontal="left" vertical="center"/>
    </xf>
    <xf numFmtId="182" fontId="46" fillId="0" borderId="0" xfId="0" applyNumberFormat="1" applyFont="1" applyAlignment="1">
      <alignment horizontal="left" vertical="center"/>
    </xf>
    <xf numFmtId="182" fontId="84" fillId="0" borderId="0" xfId="0" applyNumberFormat="1" applyFont="1" applyAlignment="1">
      <alignment horizontal="right" vertical="center"/>
    </xf>
    <xf numFmtId="10" fontId="47" fillId="0" borderId="0" xfId="2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/>
    </xf>
    <xf numFmtId="182" fontId="27" fillId="0" borderId="0" xfId="0" applyNumberFormat="1" applyFont="1">
      <alignment vertical="center"/>
    </xf>
    <xf numFmtId="182" fontId="43" fillId="0" borderId="0" xfId="0" applyNumberFormat="1" applyFont="1" applyAlignment="1">
      <alignment horizontal="left" vertical="center"/>
    </xf>
    <xf numFmtId="182" fontId="85" fillId="0" borderId="0" xfId="0" applyNumberFormat="1" applyFont="1" applyAlignment="1">
      <alignment horizontal="right" vertical="center"/>
    </xf>
    <xf numFmtId="183" fontId="72" fillId="0" borderId="0" xfId="2" applyNumberFormat="1" applyFont="1" applyFill="1" applyAlignment="1">
      <alignment horizontal="right" vertical="center"/>
    </xf>
    <xf numFmtId="182" fontId="27" fillId="2" borderId="0" xfId="0" applyNumberFormat="1" applyFont="1" applyFill="1">
      <alignment vertical="center"/>
    </xf>
    <xf numFmtId="182" fontId="43" fillId="2" borderId="0" xfId="0" applyNumberFormat="1" applyFont="1" applyFill="1" applyAlignment="1">
      <alignment horizontal="left" vertical="center"/>
    </xf>
    <xf numFmtId="182" fontId="82" fillId="2" borderId="0" xfId="0" applyNumberFormat="1" applyFont="1" applyFill="1" applyAlignment="1">
      <alignment horizontal="right" vertical="center"/>
    </xf>
    <xf numFmtId="185" fontId="72" fillId="2" borderId="0" xfId="2" applyNumberFormat="1" applyFont="1" applyFill="1" applyAlignment="1">
      <alignment horizontal="right" vertical="center"/>
    </xf>
    <xf numFmtId="182" fontId="82" fillId="0" borderId="0" xfId="0" applyNumberFormat="1" applyFont="1" applyAlignment="1">
      <alignment horizontal="right" vertical="center"/>
    </xf>
    <xf numFmtId="180" fontId="27" fillId="2" borderId="0" xfId="0" applyNumberFormat="1" applyFont="1" applyFill="1" applyAlignment="1">
      <alignment horizontal="left" vertical="center"/>
    </xf>
    <xf numFmtId="182" fontId="46" fillId="2" borderId="0" xfId="0" applyNumberFormat="1" applyFont="1" applyFill="1" applyAlignment="1">
      <alignment horizontal="left" vertical="center"/>
    </xf>
    <xf numFmtId="182" fontId="21" fillId="0" borderId="0" xfId="0" applyNumberFormat="1" applyFont="1">
      <alignment vertical="center"/>
    </xf>
    <xf numFmtId="182" fontId="43" fillId="0" borderId="5" xfId="0" applyNumberFormat="1" applyFont="1" applyBorder="1" applyAlignment="1">
      <alignment horizontal="left" vertical="center"/>
    </xf>
    <xf numFmtId="182" fontId="82" fillId="0" borderId="5" xfId="0" applyNumberFormat="1" applyFont="1" applyBorder="1" applyAlignment="1">
      <alignment horizontal="right" vertical="center"/>
    </xf>
    <xf numFmtId="183" fontId="1" fillId="0" borderId="5" xfId="0" applyNumberFormat="1" applyFont="1" applyBorder="1" applyAlignment="1">
      <alignment horizontal="right" vertical="center"/>
    </xf>
    <xf numFmtId="182" fontId="86" fillId="0" borderId="0" xfId="0" applyNumberFormat="1" applyFont="1" applyAlignment="1">
      <alignment horizontal="left" vertical="center"/>
    </xf>
    <xf numFmtId="183" fontId="16" fillId="0" borderId="0" xfId="2" applyNumberFormat="1" applyFont="1" applyFill="1" applyBorder="1" applyAlignment="1">
      <alignment horizontal="right" vertical="center"/>
    </xf>
    <xf numFmtId="10" fontId="72" fillId="0" borderId="0" xfId="2" applyNumberFormat="1" applyFont="1" applyFill="1" applyAlignment="1">
      <alignment horizontal="right" vertical="center"/>
    </xf>
    <xf numFmtId="0" fontId="46" fillId="0" borderId="0" xfId="0" applyFont="1">
      <alignment vertical="center"/>
    </xf>
    <xf numFmtId="0" fontId="46" fillId="0" borderId="0" xfId="0" applyFont="1" applyAlignment="1">
      <alignment horizontal="left" vertical="center"/>
    </xf>
    <xf numFmtId="0" fontId="81" fillId="0" borderId="0" xfId="0" applyFont="1" applyAlignment="1">
      <alignment horizontal="right" vertical="center"/>
    </xf>
    <xf numFmtId="183" fontId="1" fillId="0" borderId="0" xfId="2" applyNumberFormat="1" applyFont="1" applyFill="1" applyAlignment="1">
      <alignment horizontal="right" vertical="center"/>
    </xf>
    <xf numFmtId="10" fontId="72" fillId="0" borderId="0" xfId="2" applyNumberFormat="1" applyFont="1" applyFill="1" applyBorder="1" applyAlignment="1">
      <alignment horizontal="right" vertical="center"/>
    </xf>
    <xf numFmtId="10" fontId="72" fillId="2" borderId="0" xfId="2" applyNumberFormat="1" applyFont="1" applyFill="1" applyAlignment="1">
      <alignment horizontal="right" vertical="center"/>
    </xf>
    <xf numFmtId="182" fontId="27" fillId="2" borderId="5" xfId="0" applyNumberFormat="1" applyFont="1" applyFill="1" applyBorder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10" fontId="47" fillId="0" borderId="0" xfId="2" applyNumberFormat="1" applyFont="1" applyFill="1" applyBorder="1" applyAlignment="1">
      <alignment horizontal="right" vertical="center"/>
    </xf>
    <xf numFmtId="0" fontId="87" fillId="2" borderId="0" xfId="0" applyFont="1" applyFill="1" applyAlignment="1">
      <alignment horizontal="left" vertical="center"/>
    </xf>
    <xf numFmtId="0" fontId="44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96" fontId="16" fillId="4" borderId="0" xfId="0" applyNumberFormat="1" applyFont="1" applyFill="1" applyAlignment="1">
      <alignment horizontal="left" vertical="center"/>
    </xf>
    <xf numFmtId="180" fontId="13" fillId="4" borderId="0" xfId="0" applyNumberFormat="1" applyFont="1" applyFill="1" applyAlignment="1">
      <alignment horizontal="left" vertical="center"/>
    </xf>
    <xf numFmtId="0" fontId="30" fillId="0" borderId="9" xfId="0" applyFont="1" applyBorder="1" applyAlignment="1">
      <alignment horizontal="center" vertical="center"/>
    </xf>
    <xf numFmtId="184" fontId="30" fillId="0" borderId="9" xfId="0" applyNumberFormat="1" applyFont="1" applyBorder="1" applyAlignment="1">
      <alignment horizontal="center" vertical="center"/>
    </xf>
    <xf numFmtId="183" fontId="11" fillId="0" borderId="0" xfId="2" applyNumberFormat="1" applyFont="1" applyFill="1" applyAlignment="1">
      <alignment horizontal="right" vertical="center"/>
    </xf>
    <xf numFmtId="183" fontId="1" fillId="2" borderId="0" xfId="2" applyNumberFormat="1" applyFont="1" applyFill="1" applyAlignment="1">
      <alignment horizontal="right" vertical="center"/>
    </xf>
    <xf numFmtId="183" fontId="1" fillId="2" borderId="0" xfId="2" applyNumberFormat="1" applyFont="1" applyFill="1" applyBorder="1" applyAlignment="1">
      <alignment horizontal="right" vertical="center"/>
    </xf>
    <xf numFmtId="183" fontId="11" fillId="16" borderId="0" xfId="2" applyNumberFormat="1" applyFont="1" applyFill="1" applyAlignment="1">
      <alignment horizontal="right" vertical="center"/>
    </xf>
    <xf numFmtId="10" fontId="47" fillId="0" borderId="0" xfId="0" applyNumberFormat="1" applyFont="1">
      <alignment vertical="center"/>
    </xf>
    <xf numFmtId="0" fontId="43" fillId="2" borderId="5" xfId="0" applyFont="1" applyFill="1" applyBorder="1" applyAlignment="1">
      <alignment horizontal="left" vertical="center"/>
    </xf>
    <xf numFmtId="0" fontId="82" fillId="2" borderId="5" xfId="0" applyFont="1" applyFill="1" applyBorder="1" applyAlignment="1">
      <alignment horizontal="right" vertical="center"/>
    </xf>
    <xf numFmtId="0" fontId="85" fillId="2" borderId="0" xfId="0" applyFont="1" applyFill="1" applyAlignment="1">
      <alignment horizontal="right" vertical="center"/>
    </xf>
    <xf numFmtId="0" fontId="44" fillId="2" borderId="0" xfId="0" applyFont="1" applyFill="1" applyAlignment="1">
      <alignment horizontal="left" vertical="center"/>
    </xf>
    <xf numFmtId="0" fontId="58" fillId="2" borderId="0" xfId="0" applyFont="1" applyFill="1" applyAlignment="1">
      <alignment horizontal="left" vertical="center"/>
    </xf>
    <xf numFmtId="182" fontId="85" fillId="2" borderId="0" xfId="0" applyNumberFormat="1" applyFont="1" applyFill="1" applyAlignment="1">
      <alignment horizontal="right" vertical="center"/>
    </xf>
    <xf numFmtId="0" fontId="86" fillId="2" borderId="0" xfId="0" applyFont="1" applyFill="1" applyAlignment="1">
      <alignment horizontal="left" vertical="center"/>
    </xf>
    <xf numFmtId="0" fontId="84" fillId="2" borderId="0" xfId="0" applyFont="1" applyFill="1" applyAlignment="1">
      <alignment horizontal="right" vertical="center"/>
    </xf>
    <xf numFmtId="0" fontId="81" fillId="2" borderId="0" xfId="0" applyFont="1" applyFill="1" applyAlignment="1">
      <alignment horizontal="right" vertical="center"/>
    </xf>
    <xf numFmtId="0" fontId="46" fillId="2" borderId="0" xfId="0" applyFont="1" applyFill="1" applyAlignment="1">
      <alignment horizontal="left" vertical="center"/>
    </xf>
    <xf numFmtId="182" fontId="27" fillId="2" borderId="8" xfId="0" applyNumberFormat="1" applyFont="1" applyFill="1" applyBorder="1" applyAlignment="1">
      <alignment horizontal="left" vertical="center"/>
    </xf>
    <xf numFmtId="182" fontId="43" fillId="2" borderId="8" xfId="0" applyNumberFormat="1" applyFont="1" applyFill="1" applyBorder="1" applyAlignment="1">
      <alignment horizontal="left" vertical="center"/>
    </xf>
    <xf numFmtId="182" fontId="82" fillId="2" borderId="8" xfId="0" applyNumberFormat="1" applyFont="1" applyFill="1" applyBorder="1" applyAlignment="1">
      <alignment horizontal="right" vertical="center"/>
    </xf>
    <xf numFmtId="183" fontId="1" fillId="0" borderId="8" xfId="0" applyNumberFormat="1" applyFont="1" applyBorder="1" applyAlignment="1">
      <alignment horizontal="right" vertical="center"/>
    </xf>
    <xf numFmtId="183" fontId="16" fillId="0" borderId="0" xfId="2" applyNumberFormat="1" applyFont="1" applyFill="1" applyAlignment="1">
      <alignment horizontal="right" vertical="center"/>
    </xf>
    <xf numFmtId="180" fontId="27" fillId="0" borderId="0" xfId="0" applyNumberFormat="1" applyFont="1">
      <alignment vertical="center"/>
    </xf>
    <xf numFmtId="180" fontId="21" fillId="2" borderId="0" xfId="0" applyNumberFormat="1" applyFont="1" applyFill="1" applyAlignment="1">
      <alignment horizontal="left" vertical="center"/>
    </xf>
    <xf numFmtId="0" fontId="88" fillId="2" borderId="0" xfId="0" applyFont="1" applyFill="1" applyAlignment="1">
      <alignment horizontal="right" vertical="center"/>
    </xf>
    <xf numFmtId="0" fontId="46" fillId="2" borderId="6" xfId="0" applyFont="1" applyFill="1" applyBorder="1" applyAlignment="1">
      <alignment horizontal="left" vertical="center"/>
    </xf>
    <xf numFmtId="182" fontId="85" fillId="2" borderId="6" xfId="0" applyNumberFormat="1" applyFont="1" applyFill="1" applyBorder="1">
      <alignment vertical="center"/>
    </xf>
    <xf numFmtId="185" fontId="47" fillId="0" borderId="6" xfId="2" applyNumberFormat="1" applyFont="1" applyFill="1" applyBorder="1" applyAlignment="1">
      <alignment horizontal="right" vertical="center"/>
    </xf>
    <xf numFmtId="183" fontId="16" fillId="0" borderId="0" xfId="1" applyNumberFormat="1" applyFont="1" applyAlignment="1">
      <alignment horizontal="right" vertical="center"/>
    </xf>
    <xf numFmtId="0" fontId="58" fillId="2" borderId="0" xfId="0" applyFont="1" applyFill="1">
      <alignment vertical="center"/>
    </xf>
    <xf numFmtId="176" fontId="82" fillId="2" borderId="0" xfId="1" applyFont="1" applyFill="1" applyBorder="1" applyAlignment="1">
      <alignment horizontal="right" vertical="center"/>
    </xf>
    <xf numFmtId="183" fontId="1" fillId="0" borderId="0" xfId="2" applyNumberFormat="1" applyFont="1" applyFill="1" applyBorder="1" applyAlignment="1">
      <alignment horizontal="right" vertical="center"/>
    </xf>
    <xf numFmtId="180" fontId="27" fillId="2" borderId="0" xfId="0" applyNumberFormat="1" applyFont="1" applyFill="1">
      <alignment vertical="center"/>
    </xf>
    <xf numFmtId="180" fontId="85" fillId="2" borderId="0" xfId="0" applyNumberFormat="1" applyFont="1" applyFill="1" applyAlignment="1">
      <alignment horizontal="right" vertical="center"/>
    </xf>
    <xf numFmtId="180" fontId="27" fillId="0" borderId="0" xfId="0" applyNumberFormat="1" applyFont="1" applyAlignment="1">
      <alignment horizontal="left" vertical="center"/>
    </xf>
    <xf numFmtId="180" fontId="21" fillId="0" borderId="0" xfId="0" applyNumberFormat="1" applyFont="1" applyAlignment="1">
      <alignment horizontal="left" vertical="center"/>
    </xf>
    <xf numFmtId="180" fontId="85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0" fontId="1" fillId="0" borderId="0" xfId="1" applyNumberFormat="1" applyFont="1" applyFill="1" applyBorder="1" applyAlignment="1">
      <alignment horizontal="right" vertical="center"/>
    </xf>
    <xf numFmtId="0" fontId="27" fillId="0" borderId="6" xfId="0" applyFont="1" applyBorder="1" applyAlignment="1">
      <alignment horizontal="left" vertical="center"/>
    </xf>
    <xf numFmtId="0" fontId="88" fillId="0" borderId="6" xfId="0" applyFont="1" applyBorder="1" applyAlignment="1">
      <alignment horizontal="right" vertical="center"/>
    </xf>
    <xf numFmtId="180" fontId="1" fillId="0" borderId="6" xfId="2" applyNumberFormat="1" applyFont="1" applyFill="1" applyBorder="1" applyAlignment="1">
      <alignment horizontal="right" vertical="center"/>
    </xf>
    <xf numFmtId="197" fontId="1" fillId="0" borderId="0" xfId="0" applyNumberFormat="1" applyFont="1" applyAlignment="1">
      <alignment horizontal="right" vertical="center"/>
    </xf>
    <xf numFmtId="180" fontId="72" fillId="0" borderId="0" xfId="2" applyNumberFormat="1" applyFont="1" applyFill="1" applyBorder="1" applyAlignment="1">
      <alignment horizontal="right" vertical="center"/>
    </xf>
    <xf numFmtId="183" fontId="11" fillId="16" borderId="5" xfId="2" applyNumberFormat="1" applyFont="1" applyFill="1" applyBorder="1" applyAlignment="1">
      <alignment horizontal="right" vertical="center"/>
    </xf>
    <xf numFmtId="183" fontId="11" fillId="16" borderId="8" xfId="2" applyNumberFormat="1" applyFont="1" applyFill="1" applyBorder="1" applyAlignment="1">
      <alignment horizontal="right" vertical="center"/>
    </xf>
    <xf numFmtId="183" fontId="16" fillId="2" borderId="0" xfId="1" applyNumberFormat="1" applyFont="1" applyFill="1" applyAlignment="1">
      <alignment horizontal="right" vertical="center"/>
    </xf>
    <xf numFmtId="10" fontId="47" fillId="0" borderId="6" xfId="2" applyNumberFormat="1" applyFont="1" applyFill="1" applyBorder="1" applyAlignment="1">
      <alignment horizontal="right" vertical="center"/>
    </xf>
    <xf numFmtId="183" fontId="72" fillId="0" borderId="0" xfId="0" applyNumberFormat="1" applyFont="1" applyAlignment="1">
      <alignment horizontal="right" vertical="center"/>
    </xf>
    <xf numFmtId="183" fontId="1" fillId="0" borderId="6" xfId="0" applyNumberFormat="1" applyFont="1" applyBorder="1" applyAlignment="1">
      <alignment horizontal="right" vertical="center"/>
    </xf>
    <xf numFmtId="198" fontId="1" fillId="0" borderId="0" xfId="1" applyNumberFormat="1" applyFont="1" applyFill="1" applyBorder="1" applyAlignment="1">
      <alignment horizontal="right" vertical="center"/>
    </xf>
    <xf numFmtId="183" fontId="11" fillId="2" borderId="0" xfId="2" applyNumberFormat="1" applyFont="1" applyFill="1" applyBorder="1" applyAlignment="1">
      <alignment horizontal="right" vertical="center"/>
    </xf>
    <xf numFmtId="183" fontId="11" fillId="2" borderId="0" xfId="2" applyNumberFormat="1" applyFont="1" applyFill="1" applyAlignment="1">
      <alignment horizontal="right" vertical="center"/>
    </xf>
    <xf numFmtId="0" fontId="82" fillId="0" borderId="0" xfId="0" applyFont="1">
      <alignment vertical="center"/>
    </xf>
    <xf numFmtId="0" fontId="85" fillId="0" borderId="0" xfId="0" applyFont="1">
      <alignment vertical="center"/>
    </xf>
    <xf numFmtId="0" fontId="71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195" fontId="1" fillId="0" borderId="0" xfId="0" applyNumberFormat="1" applyFont="1">
      <alignment vertical="center"/>
    </xf>
    <xf numFmtId="0" fontId="11" fillId="0" borderId="0" xfId="0" applyFont="1">
      <alignment vertical="center"/>
    </xf>
    <xf numFmtId="0" fontId="74" fillId="0" borderId="0" xfId="0" applyFont="1">
      <alignment vertical="center"/>
    </xf>
    <xf numFmtId="195" fontId="1" fillId="0" borderId="0" xfId="0" applyNumberFormat="1" applyFont="1" applyAlignment="1">
      <alignment horizontal="center" vertical="center"/>
    </xf>
    <xf numFmtId="0" fontId="27" fillId="0" borderId="9" xfId="0" applyFont="1" applyBorder="1">
      <alignment vertical="center"/>
    </xf>
    <xf numFmtId="0" fontId="27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right" vertical="center"/>
    </xf>
    <xf numFmtId="0" fontId="89" fillId="0" borderId="0" xfId="0" applyFont="1">
      <alignment vertical="center"/>
    </xf>
    <xf numFmtId="199" fontId="27" fillId="0" borderId="0" xfId="0" applyNumberFormat="1" applyFont="1" applyAlignment="1">
      <alignment horizontal="center" vertical="center"/>
    </xf>
    <xf numFmtId="183" fontId="1" fillId="0" borderId="0" xfId="1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83" fontId="82" fillId="0" borderId="0" xfId="1" applyNumberFormat="1" applyFont="1" applyFill="1" applyBorder="1" applyAlignment="1">
      <alignment horizontal="right" vertical="center"/>
    </xf>
    <xf numFmtId="182" fontId="27" fillId="2" borderId="0" xfId="1" applyNumberFormat="1" applyFont="1" applyFill="1" applyBorder="1" applyAlignment="1">
      <alignment vertical="center"/>
    </xf>
    <xf numFmtId="183" fontId="1" fillId="0" borderId="5" xfId="1" applyNumberFormat="1" applyFont="1" applyFill="1" applyBorder="1" applyAlignment="1">
      <alignment horizontal="right" vertical="center"/>
    </xf>
    <xf numFmtId="0" fontId="51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21" fillId="0" borderId="9" xfId="0" applyFont="1" applyBorder="1">
      <alignment vertical="center"/>
    </xf>
    <xf numFmtId="183" fontId="16" fillId="2" borderId="9" xfId="1" applyNumberFormat="1" applyFont="1" applyFill="1" applyBorder="1" applyAlignment="1">
      <alignment horizontal="right" vertical="center"/>
    </xf>
    <xf numFmtId="183" fontId="16" fillId="0" borderId="0" xfId="1" applyNumberFormat="1" applyFont="1" applyFill="1" applyBorder="1" applyAlignment="1">
      <alignment horizontal="right" vertical="center"/>
    </xf>
    <xf numFmtId="182" fontId="27" fillId="0" borderId="0" xfId="1" applyNumberFormat="1" applyFont="1" applyFill="1" applyBorder="1" applyAlignment="1">
      <alignment vertical="center"/>
    </xf>
    <xf numFmtId="182" fontId="27" fillId="0" borderId="0" xfId="1" applyNumberFormat="1" applyFont="1" applyFill="1" applyBorder="1" applyAlignment="1">
      <alignment horizontal="center" vertical="center"/>
    </xf>
    <xf numFmtId="182" fontId="27" fillId="2" borderId="5" xfId="1" applyNumberFormat="1" applyFont="1" applyFill="1" applyBorder="1" applyAlignment="1">
      <alignment vertical="center"/>
    </xf>
    <xf numFmtId="182" fontId="27" fillId="0" borderId="5" xfId="1" applyNumberFormat="1" applyFont="1" applyFill="1" applyBorder="1" applyAlignment="1">
      <alignment vertical="center"/>
    </xf>
    <xf numFmtId="182" fontId="27" fillId="0" borderId="5" xfId="1" applyNumberFormat="1" applyFont="1" applyFill="1" applyBorder="1" applyAlignment="1">
      <alignment horizontal="center" vertical="center"/>
    </xf>
    <xf numFmtId="182" fontId="21" fillId="0" borderId="0" xfId="1" applyNumberFormat="1" applyFont="1" applyFill="1" applyBorder="1" applyAlignment="1">
      <alignment vertical="center"/>
    </xf>
    <xf numFmtId="182" fontId="58" fillId="0" borderId="0" xfId="1" applyNumberFormat="1" applyFont="1" applyFill="1" applyBorder="1" applyAlignment="1">
      <alignment vertical="center"/>
    </xf>
    <xf numFmtId="182" fontId="58" fillId="0" borderId="0" xfId="1" applyNumberFormat="1" applyFont="1" applyFill="1" applyBorder="1" applyAlignment="1">
      <alignment horizontal="center" vertical="center"/>
    </xf>
    <xf numFmtId="183" fontId="82" fillId="2" borderId="0" xfId="1" applyNumberFormat="1" applyFont="1" applyFill="1" applyBorder="1" applyAlignment="1">
      <alignment horizontal="right" vertical="center"/>
    </xf>
    <xf numFmtId="200" fontId="30" fillId="0" borderId="9" xfId="0" applyNumberFormat="1" applyFont="1" applyBorder="1" applyAlignment="1">
      <alignment horizontal="center" vertical="center"/>
    </xf>
    <xf numFmtId="183" fontId="1" fillId="0" borderId="0" xfId="1" applyNumberFormat="1" applyFont="1" applyFill="1" applyAlignment="1">
      <alignment horizontal="right" vertical="center"/>
    </xf>
    <xf numFmtId="183" fontId="11" fillId="16" borderId="0" xfId="0" applyNumberFormat="1" applyFont="1" applyFill="1" applyAlignment="1">
      <alignment horizontal="right" vertical="center"/>
    </xf>
    <xf numFmtId="183" fontId="82" fillId="0" borderId="0" xfId="0" applyNumberFormat="1" applyFont="1" applyAlignment="1">
      <alignment horizontal="right" vertical="center"/>
    </xf>
    <xf numFmtId="183" fontId="11" fillId="16" borderId="5" xfId="0" applyNumberFormat="1" applyFont="1" applyFill="1" applyBorder="1" applyAlignment="1">
      <alignment horizontal="right" vertical="center"/>
    </xf>
    <xf numFmtId="183" fontId="85" fillId="0" borderId="0" xfId="0" applyNumberFormat="1" applyFont="1" applyAlignment="1">
      <alignment horizontal="right" vertical="center"/>
    </xf>
    <xf numFmtId="183" fontId="16" fillId="2" borderId="0" xfId="1" applyNumberFormat="1" applyFont="1" applyFill="1" applyBorder="1" applyAlignment="1">
      <alignment horizontal="right" vertical="center"/>
    </xf>
    <xf numFmtId="183" fontId="85" fillId="0" borderId="0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30" fillId="4" borderId="0" xfId="0" applyNumberFormat="1" applyFont="1" applyFill="1" applyAlignment="1">
      <alignment horizontal="left" vertical="center"/>
    </xf>
    <xf numFmtId="188" fontId="1" fillId="0" borderId="0" xfId="0" applyNumberFormat="1" applyFont="1" applyAlignment="1">
      <alignment horizontal="left" vertical="center"/>
    </xf>
    <xf numFmtId="0" fontId="90" fillId="0" borderId="0" xfId="0" applyFont="1">
      <alignment vertical="center"/>
    </xf>
    <xf numFmtId="188" fontId="1" fillId="2" borderId="0" xfId="0" applyNumberFormat="1" applyFont="1" applyFill="1" applyAlignment="1">
      <alignment horizontal="left" vertical="center"/>
    </xf>
    <xf numFmtId="0" fontId="90" fillId="2" borderId="0" xfId="0" applyFont="1" applyFill="1">
      <alignment vertical="center"/>
    </xf>
    <xf numFmtId="0" fontId="91" fillId="0" borderId="0" xfId="0" applyFont="1">
      <alignment vertical="center"/>
    </xf>
    <xf numFmtId="182" fontId="27" fillId="2" borderId="5" xfId="0" applyNumberFormat="1" applyFont="1" applyFill="1" applyBorder="1">
      <alignment vertical="center"/>
    </xf>
    <xf numFmtId="0" fontId="92" fillId="0" borderId="5" xfId="0" applyFont="1" applyBorder="1">
      <alignment vertical="center"/>
    </xf>
    <xf numFmtId="180" fontId="39" fillId="0" borderId="9" xfId="0" applyNumberFormat="1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/>
    </xf>
    <xf numFmtId="183" fontId="16" fillId="0" borderId="9" xfId="0" applyNumberFormat="1" applyFont="1" applyBorder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92" fillId="0" borderId="0" xfId="0" applyFont="1" applyAlignment="1">
      <alignment horizontal="center" vertical="center"/>
    </xf>
    <xf numFmtId="183" fontId="71" fillId="0" borderId="0" xfId="0" applyNumberFormat="1" applyFont="1" applyAlignment="1">
      <alignment horizontal="right" vertical="center"/>
    </xf>
    <xf numFmtId="180" fontId="21" fillId="2" borderId="5" xfId="0" applyNumberFormat="1" applyFont="1" applyFill="1" applyBorder="1">
      <alignment vertical="center"/>
    </xf>
    <xf numFmtId="0" fontId="27" fillId="2" borderId="5" xfId="0" applyFont="1" applyFill="1" applyBorder="1" applyAlignment="1">
      <alignment horizontal="center" vertical="center"/>
    </xf>
    <xf numFmtId="188" fontId="1" fillId="2" borderId="5" xfId="0" applyNumberFormat="1" applyFont="1" applyFill="1" applyBorder="1" applyAlignment="1">
      <alignment horizontal="right" vertical="center"/>
    </xf>
    <xf numFmtId="0" fontId="27" fillId="0" borderId="41" xfId="0" applyFont="1" applyBorder="1">
      <alignment vertical="center"/>
    </xf>
    <xf numFmtId="188" fontId="1" fillId="0" borderId="0" xfId="0" applyNumberFormat="1" applyFont="1" applyAlignment="1">
      <alignment horizontal="right" vertical="center"/>
    </xf>
    <xf numFmtId="185" fontId="72" fillId="0" borderId="0" xfId="2" applyNumberFormat="1" applyFont="1" applyFill="1" applyBorder="1" applyAlignment="1">
      <alignment horizontal="right" vertical="center"/>
    </xf>
    <xf numFmtId="180" fontId="39" fillId="0" borderId="0" xfId="0" applyNumberFormat="1" applyFont="1" applyAlignment="1">
      <alignment horizontal="center" vertical="center"/>
    </xf>
    <xf numFmtId="180" fontId="27" fillId="2" borderId="6" xfId="0" applyNumberFormat="1" applyFont="1" applyFill="1" applyBorder="1">
      <alignment vertical="center"/>
    </xf>
    <xf numFmtId="0" fontId="27" fillId="2" borderId="6" xfId="0" applyFont="1" applyFill="1" applyBorder="1">
      <alignment vertical="center"/>
    </xf>
    <xf numFmtId="0" fontId="27" fillId="2" borderId="6" xfId="0" applyFont="1" applyFill="1" applyBorder="1" applyAlignment="1">
      <alignment horizontal="center" vertical="center"/>
    </xf>
    <xf numFmtId="183" fontId="1" fillId="2" borderId="6" xfId="0" applyNumberFormat="1" applyFont="1" applyFill="1" applyBorder="1" applyAlignment="1">
      <alignment horizontal="right" vertical="center"/>
    </xf>
    <xf numFmtId="182" fontId="77" fillId="0" borderId="0" xfId="1" applyNumberFormat="1" applyFont="1" applyFill="1" applyBorder="1" applyAlignment="1">
      <alignment vertical="center"/>
    </xf>
    <xf numFmtId="0" fontId="78" fillId="0" borderId="0" xfId="0" applyFont="1">
      <alignment vertical="center"/>
    </xf>
    <xf numFmtId="0" fontId="78" fillId="0" borderId="0" xfId="0" applyFont="1" applyAlignment="1">
      <alignment horizontal="center" vertical="center"/>
    </xf>
    <xf numFmtId="183" fontId="73" fillId="0" borderId="0" xfId="0" applyNumberFormat="1" applyFont="1">
      <alignment vertical="center"/>
    </xf>
    <xf numFmtId="182" fontId="78" fillId="0" borderId="0" xfId="1" applyNumberFormat="1" applyFont="1" applyFill="1" applyBorder="1" applyAlignment="1">
      <alignment vertical="center"/>
    </xf>
    <xf numFmtId="0" fontId="77" fillId="0" borderId="0" xfId="0" applyFont="1">
      <alignment vertical="center"/>
    </xf>
    <xf numFmtId="195" fontId="73" fillId="0" borderId="0" xfId="0" applyNumberFormat="1" applyFont="1">
      <alignment vertical="center"/>
    </xf>
    <xf numFmtId="0" fontId="78" fillId="2" borderId="0" xfId="0" applyFont="1" applyFill="1">
      <alignment vertical="center"/>
    </xf>
    <xf numFmtId="183" fontId="73" fillId="2" borderId="0" xfId="0" applyNumberFormat="1" applyFont="1" applyFill="1">
      <alignment vertical="center"/>
    </xf>
    <xf numFmtId="195" fontId="73" fillId="2" borderId="0" xfId="0" applyNumberFormat="1" applyFont="1" applyFill="1">
      <alignment vertical="center"/>
    </xf>
    <xf numFmtId="183" fontId="1" fillId="2" borderId="5" xfId="1" applyNumberFormat="1" applyFont="1" applyFill="1" applyBorder="1" applyAlignment="1">
      <alignment horizontal="right" vertical="center"/>
    </xf>
    <xf numFmtId="183" fontId="16" fillId="2" borderId="9" xfId="0" applyNumberFormat="1" applyFont="1" applyFill="1" applyBorder="1" applyAlignment="1">
      <alignment horizontal="right" vertical="center"/>
    </xf>
    <xf numFmtId="188" fontId="73" fillId="0" borderId="0" xfId="0" applyNumberFormat="1" applyFont="1" applyAlignment="1">
      <alignment horizontal="right" vertical="center"/>
    </xf>
    <xf numFmtId="0" fontId="73" fillId="2" borderId="0" xfId="0" applyFont="1" applyFill="1">
      <alignment vertical="center"/>
    </xf>
    <xf numFmtId="188" fontId="73" fillId="0" borderId="0" xfId="0" applyNumberFormat="1" applyFont="1">
      <alignment vertical="center"/>
    </xf>
    <xf numFmtId="0" fontId="61" fillId="0" borderId="0" xfId="0" applyFont="1">
      <alignment vertical="center"/>
    </xf>
    <xf numFmtId="0" fontId="9" fillId="4" borderId="0" xfId="0" applyFont="1" applyFill="1">
      <alignment vertical="center"/>
    </xf>
    <xf numFmtId="191" fontId="16" fillId="4" borderId="0" xfId="0" applyNumberFormat="1" applyFont="1" applyFill="1" applyAlignment="1">
      <alignment horizontal="center" vertical="center"/>
    </xf>
    <xf numFmtId="184" fontId="16" fillId="4" borderId="0" xfId="0" applyNumberFormat="1" applyFont="1" applyFill="1" applyAlignment="1">
      <alignment horizontal="center" vertical="center"/>
    </xf>
    <xf numFmtId="201" fontId="32" fillId="0" borderId="0" xfId="0" applyNumberFormat="1" applyFont="1" applyAlignment="1">
      <alignment horizontal="right" vertical="center"/>
    </xf>
    <xf numFmtId="185" fontId="93" fillId="0" borderId="0" xfId="2" applyNumberFormat="1" applyFont="1" applyFill="1" applyAlignment="1">
      <alignment horizontal="right" vertical="center"/>
    </xf>
    <xf numFmtId="181" fontId="32" fillId="0" borderId="0" xfId="0" applyNumberFormat="1" applyFont="1" applyAlignment="1">
      <alignment horizontal="right" vertical="center"/>
    </xf>
    <xf numFmtId="185" fontId="93" fillId="2" borderId="0" xfId="2" applyNumberFormat="1" applyFont="1" applyFill="1" applyBorder="1" applyAlignment="1">
      <alignment horizontal="right" vertical="center"/>
    </xf>
    <xf numFmtId="181" fontId="33" fillId="0" borderId="0" xfId="0" applyNumberFormat="1" applyFont="1" applyAlignment="1">
      <alignment horizontal="right" vertical="center"/>
    </xf>
    <xf numFmtId="185" fontId="93" fillId="0" borderId="0" xfId="2" applyNumberFormat="1" applyFont="1" applyFill="1" applyBorder="1" applyAlignment="1">
      <alignment horizontal="right" vertical="center"/>
    </xf>
    <xf numFmtId="0" fontId="43" fillId="0" borderId="5" xfId="0" applyFont="1" applyBorder="1" applyAlignment="1">
      <alignment horizontal="left" vertical="center"/>
    </xf>
    <xf numFmtId="185" fontId="93" fillId="0" borderId="5" xfId="2" applyNumberFormat="1" applyFont="1" applyFill="1" applyBorder="1" applyAlignment="1">
      <alignment horizontal="right" vertical="center"/>
    </xf>
    <xf numFmtId="181" fontId="32" fillId="0" borderId="5" xfId="0" applyNumberFormat="1" applyFont="1" applyBorder="1" applyAlignment="1">
      <alignment horizontal="right" vertical="center"/>
    </xf>
    <xf numFmtId="185" fontId="93" fillId="0" borderId="0" xfId="0" applyNumberFormat="1" applyFont="1" applyAlignment="1">
      <alignment horizontal="right" vertical="center"/>
    </xf>
    <xf numFmtId="181" fontId="32" fillId="0" borderId="0" xfId="2" applyNumberFormat="1" applyFont="1" applyFill="1" applyBorder="1" applyAlignment="1">
      <alignment horizontal="right" vertical="center"/>
    </xf>
    <xf numFmtId="10" fontId="93" fillId="0" borderId="0" xfId="0" applyNumberFormat="1" applyFont="1" applyAlignment="1">
      <alignment horizontal="right" vertical="center"/>
    </xf>
    <xf numFmtId="181" fontId="32" fillId="0" borderId="5" xfId="2" applyNumberFormat="1" applyFont="1" applyFill="1" applyBorder="1" applyAlignment="1">
      <alignment horizontal="right" vertical="center"/>
    </xf>
    <xf numFmtId="0" fontId="43" fillId="0" borderId="8" xfId="0" applyFont="1" applyBorder="1" applyAlignment="1">
      <alignment horizontal="left" vertical="center"/>
    </xf>
    <xf numFmtId="185" fontId="93" fillId="0" borderId="8" xfId="2" applyNumberFormat="1" applyFont="1" applyFill="1" applyBorder="1" applyAlignment="1">
      <alignment horizontal="right" vertical="center"/>
    </xf>
    <xf numFmtId="0" fontId="21" fillId="0" borderId="8" xfId="0" applyFont="1" applyBorder="1">
      <alignment vertical="center"/>
    </xf>
    <xf numFmtId="181" fontId="33" fillId="0" borderId="5" xfId="0" applyNumberFormat="1" applyFont="1" applyBorder="1" applyAlignment="1">
      <alignment horizontal="right" vertical="center"/>
    </xf>
    <xf numFmtId="181" fontId="33" fillId="0" borderId="8" xfId="0" applyNumberFormat="1" applyFont="1" applyBorder="1" applyAlignment="1">
      <alignment horizontal="right" vertical="center"/>
    </xf>
    <xf numFmtId="0" fontId="53" fillId="0" borderId="0" xfId="0" applyFont="1" applyAlignment="1">
      <alignment horizontal="right" vertical="center"/>
    </xf>
    <xf numFmtId="185" fontId="32" fillId="0" borderId="0" xfId="0" applyNumberFormat="1" applyFont="1" applyAlignment="1">
      <alignment horizontal="right" vertical="center"/>
    </xf>
    <xf numFmtId="185" fontId="53" fillId="2" borderId="0" xfId="0" applyNumberFormat="1" applyFont="1" applyFill="1" applyAlignment="1">
      <alignment horizontal="right" vertical="center"/>
    </xf>
    <xf numFmtId="0" fontId="53" fillId="2" borderId="0" xfId="0" applyFont="1" applyFill="1" applyAlignment="1">
      <alignment horizontal="right" vertical="center"/>
    </xf>
    <xf numFmtId="202" fontId="32" fillId="2" borderId="0" xfId="0" applyNumberFormat="1" applyFont="1" applyFill="1" applyAlignment="1">
      <alignment horizontal="right" vertical="center"/>
    </xf>
    <xf numFmtId="193" fontId="32" fillId="2" borderId="0" xfId="0" applyNumberFormat="1" applyFont="1" applyFill="1" applyAlignment="1">
      <alignment horizontal="right" vertical="center"/>
    </xf>
    <xf numFmtId="0" fontId="27" fillId="2" borderId="8" xfId="0" applyFont="1" applyFill="1" applyBorder="1">
      <alignment vertical="center"/>
    </xf>
    <xf numFmtId="193" fontId="32" fillId="2" borderId="8" xfId="0" applyNumberFormat="1" applyFont="1" applyFill="1" applyBorder="1" applyAlignment="1">
      <alignment horizontal="right" vertical="center"/>
    </xf>
    <xf numFmtId="0" fontId="61" fillId="2" borderId="0" xfId="0" applyFont="1" applyFill="1">
      <alignment vertical="center"/>
    </xf>
    <xf numFmtId="0" fontId="51" fillId="0" borderId="0" xfId="0" applyFont="1" applyAlignment="1">
      <alignment vertical="center" wrapText="1"/>
    </xf>
    <xf numFmtId="0" fontId="27" fillId="3" borderId="0" xfId="0" applyFont="1" applyFill="1">
      <alignment vertical="center"/>
    </xf>
    <xf numFmtId="49" fontId="27" fillId="3" borderId="0" xfId="0" applyNumberFormat="1" applyFont="1" applyFill="1">
      <alignment vertical="center"/>
    </xf>
    <xf numFmtId="14" fontId="1" fillId="0" borderId="0" xfId="0" applyNumberFormat="1" applyFont="1">
      <alignment vertical="center"/>
    </xf>
    <xf numFmtId="188" fontId="11" fillId="17" borderId="0" xfId="0" applyNumberFormat="1" applyFont="1" applyFill="1" applyAlignment="1">
      <alignment horizontal="right" vertical="center"/>
    </xf>
    <xf numFmtId="0" fontId="67" fillId="4" borderId="0" xfId="0" applyFont="1" applyFill="1">
      <alignment vertical="center"/>
    </xf>
    <xf numFmtId="0" fontId="14" fillId="4" borderId="0" xfId="0" applyFont="1" applyFill="1">
      <alignment vertical="center"/>
    </xf>
    <xf numFmtId="0" fontId="94" fillId="0" borderId="46" xfId="0" applyFont="1" applyBorder="1" applyAlignment="1">
      <alignment horizontal="center" vertical="center"/>
    </xf>
    <xf numFmtId="191" fontId="95" fillId="0" borderId="46" xfId="0" applyNumberFormat="1" applyFont="1" applyBorder="1" applyAlignment="1">
      <alignment horizontal="center" vertical="center"/>
    </xf>
    <xf numFmtId="0" fontId="95" fillId="0" borderId="46" xfId="0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188" fontId="1" fillId="2" borderId="0" xfId="0" applyNumberFormat="1" applyFont="1" applyFill="1" applyAlignment="1">
      <alignment horizontal="right" vertical="center"/>
    </xf>
    <xf numFmtId="180" fontId="1" fillId="0" borderId="0" xfId="2" applyNumberFormat="1" applyFont="1" applyFill="1" applyAlignment="1">
      <alignment horizontal="right" vertical="center"/>
    </xf>
    <xf numFmtId="185" fontId="1" fillId="0" borderId="0" xfId="2" applyNumberFormat="1" applyFont="1" applyFill="1" applyAlignment="1">
      <alignment horizontal="right" vertical="center"/>
    </xf>
    <xf numFmtId="185" fontId="1" fillId="0" borderId="0" xfId="0" applyNumberFormat="1" applyFont="1" applyAlignment="1">
      <alignment horizontal="right" vertical="center"/>
    </xf>
    <xf numFmtId="183" fontId="1" fillId="3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0" fontId="51" fillId="0" borderId="0" xfId="0" applyFont="1" applyAlignment="1">
      <alignment horizontal="left" vertical="center"/>
    </xf>
    <xf numFmtId="183" fontId="1" fillId="0" borderId="0" xfId="0" applyNumberFormat="1" applyFont="1" applyAlignment="1">
      <alignment horizontal="center" vertical="center"/>
    </xf>
    <xf numFmtId="183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7" fontId="1" fillId="0" borderId="0" xfId="0" applyNumberFormat="1" applyFont="1">
      <alignment vertical="center"/>
    </xf>
    <xf numFmtId="203" fontId="1" fillId="0" borderId="0" xfId="0" applyNumberFormat="1" applyFont="1" applyAlignment="1">
      <alignment horizontal="right" vertical="center"/>
    </xf>
    <xf numFmtId="201" fontId="1" fillId="0" borderId="0" xfId="0" applyNumberFormat="1" applyFont="1">
      <alignment vertical="center"/>
    </xf>
    <xf numFmtId="204" fontId="1" fillId="0" borderId="0" xfId="0" applyNumberFormat="1" applyFont="1" applyAlignment="1">
      <alignment horizontal="right" vertical="center"/>
    </xf>
    <xf numFmtId="203" fontId="1" fillId="0" borderId="0" xfId="0" applyNumberFormat="1" applyFont="1">
      <alignment vertical="center"/>
    </xf>
    <xf numFmtId="180" fontId="13" fillId="2" borderId="0" xfId="0" applyNumberFormat="1" applyFont="1" applyFill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97" fillId="2" borderId="0" xfId="0" applyFont="1" applyFill="1">
      <alignment vertical="center"/>
    </xf>
    <xf numFmtId="182" fontId="72" fillId="2" borderId="0" xfId="0" applyNumberFormat="1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5" fillId="2" borderId="0" xfId="0" applyFont="1" applyFill="1">
      <alignment vertical="center"/>
    </xf>
    <xf numFmtId="180" fontId="8" fillId="2" borderId="0" xfId="0" applyNumberFormat="1" applyFont="1" applyFill="1" applyAlignment="1">
      <alignment horizontal="center"/>
    </xf>
    <xf numFmtId="180" fontId="39" fillId="4" borderId="0" xfId="0" applyNumberFormat="1" applyFont="1" applyFill="1" applyAlignment="1">
      <alignment horizontal="center"/>
    </xf>
    <xf numFmtId="180" fontId="13" fillId="4" borderId="0" xfId="0" applyNumberFormat="1" applyFont="1" applyFill="1" applyAlignment="1">
      <alignment horizontal="center"/>
    </xf>
    <xf numFmtId="0" fontId="98" fillId="2" borderId="0" xfId="0" applyFont="1" applyFill="1" applyAlignment="1"/>
    <xf numFmtId="0" fontId="99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54" fillId="2" borderId="9" xfId="0" applyFont="1" applyFill="1" applyBorder="1" applyAlignment="1">
      <alignment horizontal="centerContinuous"/>
    </xf>
    <xf numFmtId="0" fontId="43" fillId="2" borderId="9" xfId="0" applyFont="1" applyFill="1" applyBorder="1" applyAlignment="1">
      <alignment horizontal="left"/>
    </xf>
    <xf numFmtId="0" fontId="27" fillId="2" borderId="9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0" fontId="8" fillId="2" borderId="0" xfId="0" applyFont="1" applyFill="1">
      <alignment vertical="center"/>
    </xf>
    <xf numFmtId="0" fontId="21" fillId="2" borderId="0" xfId="0" applyFont="1" applyFill="1" applyAlignment="1"/>
    <xf numFmtId="205" fontId="100" fillId="16" borderId="0" xfId="0" applyNumberFormat="1" applyFont="1" applyFill="1">
      <alignment vertical="center"/>
    </xf>
    <xf numFmtId="10" fontId="100" fillId="6" borderId="0" xfId="0" applyNumberFormat="1" applyFont="1" applyFill="1">
      <alignment vertical="center"/>
    </xf>
    <xf numFmtId="0" fontId="27" fillId="2" borderId="0" xfId="0" applyFont="1" applyFill="1" applyAlignment="1">
      <alignment horizontal="left"/>
    </xf>
    <xf numFmtId="0" fontId="43" fillId="2" borderId="0" xfId="0" applyFont="1" applyFill="1">
      <alignment vertical="center"/>
    </xf>
    <xf numFmtId="205" fontId="100" fillId="2" borderId="0" xfId="0" applyNumberFormat="1" applyFont="1" applyFill="1">
      <alignment vertical="center"/>
    </xf>
    <xf numFmtId="176" fontId="1" fillId="2" borderId="0" xfId="1" applyFont="1" applyFill="1">
      <alignment vertical="center"/>
    </xf>
    <xf numFmtId="0" fontId="43" fillId="2" borderId="0" xfId="0" applyFont="1" applyFill="1" applyAlignment="1">
      <alignment horizontal="left" indent="1"/>
    </xf>
    <xf numFmtId="176" fontId="72" fillId="2" borderId="0" xfId="1" applyFont="1" applyFill="1">
      <alignment vertical="center"/>
    </xf>
    <xf numFmtId="10" fontId="72" fillId="2" borderId="0" xfId="0" applyNumberFormat="1" applyFont="1" applyFill="1" applyAlignment="1">
      <alignment horizontal="right" vertical="center"/>
    </xf>
    <xf numFmtId="0" fontId="41" fillId="2" borderId="0" xfId="0" applyFont="1" applyFill="1" applyAlignment="1"/>
    <xf numFmtId="58" fontId="1" fillId="2" borderId="0" xfId="0" applyNumberFormat="1" applyFont="1" applyFill="1" applyAlignment="1">
      <alignment horizontal="right" vertical="center"/>
    </xf>
    <xf numFmtId="10" fontId="1" fillId="2" borderId="0" xfId="2" applyNumberFormat="1" applyFont="1" applyFill="1">
      <alignment vertical="center"/>
    </xf>
    <xf numFmtId="206" fontId="27" fillId="11" borderId="10" xfId="0" applyNumberFormat="1" applyFont="1" applyFill="1" applyBorder="1" applyAlignment="1" applyProtection="1">
      <alignment horizontal="center" vertical="center"/>
      <protection locked="0"/>
    </xf>
    <xf numFmtId="183" fontId="1" fillId="18" borderId="5" xfId="0" applyNumberFormat="1" applyFont="1" applyFill="1" applyBorder="1" applyAlignment="1" applyProtection="1">
      <alignment horizontal="right" vertical="center"/>
      <protection locked="0"/>
    </xf>
    <xf numFmtId="0" fontId="16" fillId="18" borderId="37" xfId="0" applyFont="1" applyFill="1" applyBorder="1" applyAlignment="1">
      <alignment horizontal="center" vertical="center"/>
    </xf>
    <xf numFmtId="0" fontId="27" fillId="18" borderId="41" xfId="0" applyFont="1" applyFill="1" applyBorder="1" applyAlignment="1">
      <alignment horizontal="center" vertical="center"/>
    </xf>
    <xf numFmtId="201" fontId="1" fillId="18" borderId="0" xfId="0" applyNumberFormat="1" applyFont="1" applyFill="1" applyAlignment="1">
      <alignment horizontal="center" vertical="center"/>
    </xf>
    <xf numFmtId="184" fontId="16" fillId="18" borderId="37" xfId="0" applyNumberFormat="1" applyFont="1" applyFill="1" applyBorder="1" applyAlignment="1">
      <alignment horizontal="center" vertical="center"/>
    </xf>
    <xf numFmtId="184" fontId="16" fillId="18" borderId="48" xfId="0" applyNumberFormat="1" applyFont="1" applyFill="1" applyBorder="1" applyAlignment="1">
      <alignment horizontal="center" vertical="center"/>
    </xf>
    <xf numFmtId="201" fontId="1" fillId="18" borderId="5" xfId="0" applyNumberFormat="1" applyFont="1" applyFill="1" applyBorder="1" applyAlignment="1">
      <alignment horizontal="center" vertical="center"/>
    </xf>
    <xf numFmtId="0" fontId="101" fillId="18" borderId="35" xfId="0" applyFont="1" applyFill="1" applyBorder="1" applyProtection="1">
      <alignment vertical="center"/>
      <protection locked="0"/>
    </xf>
    <xf numFmtId="207" fontId="1" fillId="18" borderId="8" xfId="0" applyNumberFormat="1" applyFont="1" applyFill="1" applyBorder="1">
      <alignment vertical="center"/>
    </xf>
    <xf numFmtId="207" fontId="1" fillId="18" borderId="8" xfId="0" applyNumberFormat="1" applyFont="1" applyFill="1" applyBorder="1" applyAlignment="1">
      <alignment horizontal="right" vertical="center"/>
    </xf>
    <xf numFmtId="0" fontId="43" fillId="2" borderId="0" xfId="0" applyFont="1" applyFill="1" applyAlignment="1"/>
    <xf numFmtId="182" fontId="41" fillId="2" borderId="0" xfId="0" applyNumberFormat="1" applyFont="1" applyFill="1" applyAlignment="1"/>
    <xf numFmtId="0" fontId="43" fillId="2" borderId="0" xfId="0" applyFont="1" applyFill="1" applyAlignment="1">
      <alignment horizontal="left" vertical="center" indent="1"/>
    </xf>
    <xf numFmtId="183" fontId="11" fillId="6" borderId="0" xfId="0" applyNumberFormat="1" applyFont="1" applyFill="1" applyAlignment="1">
      <alignment horizontal="right" vertical="center"/>
    </xf>
    <xf numFmtId="183" fontId="1" fillId="2" borderId="30" xfId="0" applyNumberFormat="1" applyFont="1" applyFill="1" applyBorder="1" applyAlignment="1">
      <alignment horizontal="right" vertical="center"/>
    </xf>
    <xf numFmtId="0" fontId="72" fillId="2" borderId="0" xfId="0" applyFont="1" applyFill="1" applyAlignment="1">
      <alignment horizontal="right" vertical="center"/>
    </xf>
    <xf numFmtId="10" fontId="100" fillId="16" borderId="0" xfId="2" applyNumberFormat="1" applyFont="1" applyFill="1" applyBorder="1" applyAlignment="1">
      <alignment horizontal="right" vertical="center"/>
    </xf>
    <xf numFmtId="183" fontId="11" fillId="19" borderId="0" xfId="0" applyNumberFormat="1" applyFont="1" applyFill="1" applyAlignment="1">
      <alignment horizontal="right" vertical="center"/>
    </xf>
    <xf numFmtId="0" fontId="0" fillId="18" borderId="10" xfId="0" applyFill="1" applyBorder="1">
      <alignment vertical="center"/>
    </xf>
    <xf numFmtId="184" fontId="102" fillId="20" borderId="10" xfId="0" applyNumberFormat="1" applyFont="1" applyFill="1" applyBorder="1" applyAlignment="1" applyProtection="1">
      <alignment horizontal="right" vertical="center"/>
      <protection locked="0"/>
    </xf>
    <xf numFmtId="207" fontId="0" fillId="18" borderId="5" xfId="0" applyNumberFormat="1" applyFill="1" applyBorder="1">
      <alignment vertical="center"/>
    </xf>
    <xf numFmtId="0" fontId="0" fillId="18" borderId="0" xfId="0" applyFill="1">
      <alignment vertical="center"/>
    </xf>
    <xf numFmtId="183" fontId="1" fillId="18" borderId="0" xfId="0" applyNumberFormat="1" applyFont="1" applyFill="1" applyAlignment="1" applyProtection="1">
      <alignment horizontal="right" vertical="center"/>
      <protection locked="0"/>
    </xf>
    <xf numFmtId="207" fontId="0" fillId="18" borderId="0" xfId="0" applyNumberFormat="1" applyFill="1">
      <alignment vertical="center"/>
    </xf>
    <xf numFmtId="207" fontId="0" fillId="18" borderId="8" xfId="0" applyNumberFormat="1" applyFill="1" applyBorder="1">
      <alignment vertical="center"/>
    </xf>
    <xf numFmtId="183" fontId="102" fillId="18" borderId="8" xfId="0" applyNumberFormat="1" applyFont="1" applyFill="1" applyBorder="1" applyAlignment="1" applyProtection="1">
      <alignment horizontal="right" vertical="center"/>
      <protection locked="0"/>
    </xf>
    <xf numFmtId="183" fontId="1" fillId="0" borderId="30" xfId="0" applyNumberFormat="1" applyFont="1" applyBorder="1" applyAlignment="1">
      <alignment horizontal="right" vertical="center"/>
    </xf>
    <xf numFmtId="0" fontId="1" fillId="2" borderId="47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183" fontId="1" fillId="2" borderId="0" xfId="0" applyNumberFormat="1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72" fillId="2" borderId="0" xfId="0" applyFont="1" applyFill="1" applyAlignment="1">
      <alignment horizontal="left" vertical="center"/>
    </xf>
    <xf numFmtId="184" fontId="102" fillId="20" borderId="39" xfId="0" applyNumberFormat="1" applyFont="1" applyFill="1" applyBorder="1" applyAlignment="1" applyProtection="1">
      <alignment horizontal="right" vertical="center"/>
      <protection locked="0"/>
    </xf>
    <xf numFmtId="0" fontId="1" fillId="2" borderId="37" xfId="0" applyFont="1" applyFill="1" applyBorder="1" applyAlignment="1">
      <alignment horizontal="left" vertical="center"/>
    </xf>
    <xf numFmtId="183" fontId="1" fillId="18" borderId="49" xfId="0" applyNumberFormat="1" applyFont="1" applyFill="1" applyBorder="1" applyAlignment="1" applyProtection="1">
      <alignment horizontal="right" vertical="center"/>
      <protection locked="0"/>
    </xf>
    <xf numFmtId="183" fontId="1" fillId="18" borderId="22" xfId="0" applyNumberFormat="1" applyFont="1" applyFill="1" applyBorder="1" applyAlignment="1" applyProtection="1">
      <alignment horizontal="right" vertical="center"/>
      <protection locked="0"/>
    </xf>
    <xf numFmtId="183" fontId="1" fillId="2" borderId="22" xfId="0" applyNumberFormat="1" applyFont="1" applyFill="1" applyBorder="1" applyAlignment="1">
      <alignment horizontal="right" vertical="center"/>
    </xf>
    <xf numFmtId="183" fontId="1" fillId="2" borderId="49" xfId="0" applyNumberFormat="1" applyFont="1" applyFill="1" applyBorder="1" applyAlignment="1">
      <alignment horizontal="right" vertical="center"/>
    </xf>
    <xf numFmtId="183" fontId="102" fillId="18" borderId="23" xfId="0" applyNumberFormat="1" applyFont="1" applyFill="1" applyBorder="1" applyAlignment="1" applyProtection="1">
      <alignment horizontal="right" vertical="center"/>
      <protection locked="0"/>
    </xf>
    <xf numFmtId="10" fontId="100" fillId="2" borderId="0" xfId="2" applyNumberFormat="1" applyFont="1" applyFill="1" applyBorder="1" applyAlignment="1">
      <alignment horizontal="right" vertical="center"/>
    </xf>
    <xf numFmtId="0" fontId="97" fillId="2" borderId="0" xfId="0" applyFont="1" applyFill="1" applyAlignment="1">
      <alignment horizontal="center" vertical="center"/>
    </xf>
    <xf numFmtId="0" fontId="103" fillId="2" borderId="0" xfId="0" applyFont="1" applyFill="1" applyAlignment="1">
      <alignment horizontal="center" vertical="center"/>
    </xf>
    <xf numFmtId="206" fontId="27" fillId="22" borderId="10" xfId="0" applyNumberFormat="1" applyFont="1" applyFill="1" applyBorder="1" applyAlignment="1" applyProtection="1">
      <alignment horizontal="center" vertical="center"/>
      <protection locked="0"/>
    </xf>
    <xf numFmtId="0" fontId="27" fillId="23" borderId="0" xfId="0" applyFont="1" applyFill="1" applyAlignment="1">
      <alignment horizontal="center" vertical="center"/>
    </xf>
    <xf numFmtId="182" fontId="21" fillId="2" borderId="0" xfId="1" applyNumberFormat="1" applyFont="1" applyFill="1" applyBorder="1" applyAlignment="1"/>
    <xf numFmtId="205" fontId="100" fillId="0" borderId="0" xfId="0" applyNumberFormat="1" applyFont="1">
      <alignment vertical="center"/>
    </xf>
    <xf numFmtId="182" fontId="27" fillId="2" borderId="0" xfId="0" applyNumberFormat="1" applyFont="1" applyFill="1" applyAlignment="1">
      <alignment horizontal="left"/>
    </xf>
    <xf numFmtId="182" fontId="27" fillId="2" borderId="0" xfId="0" applyNumberFormat="1" applyFont="1" applyFill="1" applyAlignment="1"/>
    <xf numFmtId="188" fontId="1" fillId="2" borderId="47" xfId="0" applyNumberFormat="1" applyFont="1" applyFill="1" applyBorder="1" applyAlignment="1">
      <alignment horizontal="right" vertical="center"/>
    </xf>
    <xf numFmtId="0" fontId="72" fillId="2" borderId="47" xfId="0" applyFont="1" applyFill="1" applyBorder="1" applyAlignment="1">
      <alignment horizontal="right" vertical="center"/>
    </xf>
    <xf numFmtId="0" fontId="1" fillId="2" borderId="47" xfId="0" applyFont="1" applyFill="1" applyBorder="1" applyAlignment="1">
      <alignment horizontal="right" vertical="center"/>
    </xf>
    <xf numFmtId="0" fontId="27" fillId="2" borderId="6" xfId="0" applyFont="1" applyFill="1" applyBorder="1" applyAlignment="1"/>
    <xf numFmtId="0" fontId="21" fillId="2" borderId="6" xfId="0" applyFont="1" applyFill="1" applyBorder="1">
      <alignment vertical="center"/>
    </xf>
    <xf numFmtId="0" fontId="16" fillId="2" borderId="6" xfId="0" applyFont="1" applyFill="1" applyBorder="1">
      <alignment vertical="center"/>
    </xf>
    <xf numFmtId="183" fontId="16" fillId="2" borderId="6" xfId="0" applyNumberFormat="1" applyFont="1" applyFill="1" applyBorder="1" applyAlignment="1">
      <alignment horizontal="right" vertical="center"/>
    </xf>
    <xf numFmtId="0" fontId="16" fillId="2" borderId="9" xfId="0" applyFont="1" applyFill="1" applyBorder="1" applyAlignment="1">
      <alignment horizontal="right"/>
    </xf>
    <xf numFmtId="0" fontId="16" fillId="2" borderId="0" xfId="0" applyFont="1" applyFill="1" applyAlignment="1">
      <alignment horizontal="right" vertical="center"/>
    </xf>
    <xf numFmtId="0" fontId="104" fillId="2" borderId="0" xfId="0" applyFont="1" applyFill="1">
      <alignment vertical="center"/>
    </xf>
    <xf numFmtId="185" fontId="72" fillId="2" borderId="0" xfId="2" applyNumberFormat="1" applyFont="1" applyFill="1" applyBorder="1" applyAlignment="1">
      <alignment horizontal="right" vertical="center"/>
    </xf>
    <xf numFmtId="176" fontId="15" fillId="2" borderId="0" xfId="1" applyFont="1" applyFill="1" applyBorder="1" applyAlignment="1">
      <alignment horizontal="centerContinuous"/>
    </xf>
    <xf numFmtId="0" fontId="1" fillId="2" borderId="0" xfId="0" applyFont="1" applyFill="1" applyAlignment="1">
      <alignment horizontal="center"/>
    </xf>
    <xf numFmtId="183" fontId="11" fillId="2" borderId="0" xfId="0" applyNumberFormat="1" applyFont="1" applyFill="1" applyAlignment="1">
      <alignment horizontal="right" vertical="center"/>
    </xf>
    <xf numFmtId="0" fontId="99" fillId="2" borderId="0" xfId="0" applyFont="1" applyFill="1" applyAlignment="1"/>
    <xf numFmtId="182" fontId="104" fillId="2" borderId="0" xfId="0" applyNumberFormat="1" applyFont="1" applyFill="1">
      <alignment vertical="center"/>
    </xf>
    <xf numFmtId="182" fontId="72" fillId="2" borderId="0" xfId="0" applyNumberFormat="1" applyFont="1" applyFill="1" applyAlignment="1">
      <alignment horizontal="right" vertical="center"/>
    </xf>
    <xf numFmtId="182" fontId="27" fillId="2" borderId="0" xfId="1" applyNumberFormat="1" applyFont="1" applyFill="1" applyBorder="1" applyAlignment="1"/>
    <xf numFmtId="0" fontId="30" fillId="2" borderId="9" xfId="0" applyFont="1" applyFill="1" applyBorder="1" applyAlignment="1">
      <alignment horizontal="right"/>
    </xf>
    <xf numFmtId="184" fontId="30" fillId="2" borderId="9" xfId="0" applyNumberFormat="1" applyFont="1" applyFill="1" applyBorder="1" applyAlignment="1">
      <alignment horizontal="right"/>
    </xf>
    <xf numFmtId="183" fontId="9" fillId="2" borderId="0" xfId="0" applyNumberFormat="1" applyFont="1" applyFill="1" applyAlignment="1">
      <alignment horizontal="left" vertical="center"/>
    </xf>
    <xf numFmtId="0" fontId="72" fillId="2" borderId="0" xfId="0" applyFont="1" applyFill="1" applyAlignment="1">
      <alignment horizontal="center" vertical="center"/>
    </xf>
    <xf numFmtId="182" fontId="72" fillId="2" borderId="0" xfId="0" applyNumberFormat="1" applyFont="1" applyFill="1" applyAlignment="1">
      <alignment horizontal="center" vertical="center"/>
    </xf>
    <xf numFmtId="0" fontId="105" fillId="2" borderId="0" xfId="0" applyFont="1" applyFill="1">
      <alignment vertical="center"/>
    </xf>
    <xf numFmtId="0" fontId="71" fillId="2" borderId="0" xfId="0" applyFont="1" applyFill="1" applyAlignment="1">
      <alignment horizontal="center"/>
    </xf>
    <xf numFmtId="0" fontId="106" fillId="2" borderId="0" xfId="0" applyFont="1" applyFill="1">
      <alignment vertical="center"/>
    </xf>
    <xf numFmtId="183" fontId="72" fillId="2" borderId="0" xfId="0" applyNumberFormat="1" applyFont="1" applyFill="1">
      <alignment vertical="center"/>
    </xf>
    <xf numFmtId="180" fontId="38" fillId="4" borderId="0" xfId="0" applyNumberFormat="1" applyFont="1" applyFill="1" applyAlignment="1">
      <alignment horizontal="left"/>
    </xf>
    <xf numFmtId="0" fontId="51" fillId="2" borderId="0" xfId="0" applyFont="1" applyFill="1">
      <alignment vertical="center"/>
    </xf>
    <xf numFmtId="0" fontId="41" fillId="0" borderId="0" xfId="0" applyFont="1" applyAlignment="1"/>
    <xf numFmtId="183" fontId="72" fillId="2" borderId="0" xfId="0" applyNumberFormat="1" applyFont="1" applyFill="1" applyAlignment="1">
      <alignment horizontal="right" vertical="center"/>
    </xf>
    <xf numFmtId="185" fontId="107" fillId="2" borderId="0" xfId="2" applyNumberFormat="1" applyFont="1" applyFill="1" applyAlignment="1">
      <alignment horizontal="right" vertical="center"/>
    </xf>
    <xf numFmtId="176" fontId="72" fillId="2" borderId="0" xfId="1" applyFont="1" applyFill="1" applyAlignment="1">
      <alignment horizontal="right" vertical="center"/>
    </xf>
    <xf numFmtId="183" fontId="100" fillId="6" borderId="0" xfId="0" applyNumberFormat="1" applyFont="1" applyFill="1" applyAlignment="1">
      <alignment horizontal="right" vertical="center"/>
    </xf>
    <xf numFmtId="10" fontId="100" fillId="16" borderId="0" xfId="2" applyNumberFormat="1" applyFont="1" applyFill="1" applyAlignment="1">
      <alignment horizontal="right" vertical="center"/>
    </xf>
    <xf numFmtId="10" fontId="100" fillId="6" borderId="0" xfId="2" applyNumberFormat="1" applyFont="1" applyFill="1" applyAlignment="1">
      <alignment horizontal="right" vertical="center"/>
    </xf>
    <xf numFmtId="10" fontId="100" fillId="2" borderId="0" xfId="2" applyNumberFormat="1" applyFont="1" applyFill="1" applyAlignment="1">
      <alignment horizontal="right" vertical="center"/>
    </xf>
    <xf numFmtId="185" fontId="100" fillId="2" borderId="0" xfId="2" applyNumberFormat="1" applyFont="1" applyFill="1" applyAlignment="1">
      <alignment horizontal="right" vertical="center"/>
    </xf>
    <xf numFmtId="185" fontId="100" fillId="2" borderId="0" xfId="0" applyNumberFormat="1" applyFont="1" applyFill="1" applyAlignment="1">
      <alignment horizontal="right" vertical="center"/>
    </xf>
    <xf numFmtId="208" fontId="72" fillId="2" borderId="0" xfId="0" applyNumberFormat="1" applyFont="1" applyFill="1" applyAlignment="1">
      <alignment horizontal="right" vertical="center"/>
    </xf>
    <xf numFmtId="185" fontId="81" fillId="2" borderId="0" xfId="2" applyNumberFormat="1" applyFont="1" applyFill="1" applyAlignment="1">
      <alignment horizontal="right" vertical="center"/>
    </xf>
    <xf numFmtId="183" fontId="100" fillId="2" borderId="0" xfId="0" applyNumberFormat="1" applyFont="1" applyFill="1" applyAlignment="1">
      <alignment horizontal="right" vertical="center"/>
    </xf>
    <xf numFmtId="185" fontId="72" fillId="2" borderId="0" xfId="0" applyNumberFormat="1" applyFont="1" applyFill="1" applyAlignment="1">
      <alignment horizontal="right" vertical="center"/>
    </xf>
    <xf numFmtId="180" fontId="39" fillId="2" borderId="0" xfId="0" applyNumberFormat="1" applyFont="1" applyFill="1" applyAlignment="1">
      <alignment horizontal="center"/>
    </xf>
    <xf numFmtId="0" fontId="27" fillId="2" borderId="47" xfId="0" applyFont="1" applyFill="1" applyBorder="1" applyAlignment="1">
      <alignment horizontal="center" vertical="center"/>
    </xf>
    <xf numFmtId="176" fontId="1" fillId="2" borderId="0" xfId="1" applyFont="1" applyFill="1" applyBorder="1" applyAlignment="1">
      <alignment horizontal="centerContinuous"/>
    </xf>
    <xf numFmtId="0" fontId="104" fillId="2" borderId="5" xfId="0" applyFont="1" applyFill="1" applyBorder="1">
      <alignment vertical="center"/>
    </xf>
    <xf numFmtId="0" fontId="43" fillId="2" borderId="5" xfId="0" applyFont="1" applyFill="1" applyBorder="1" applyAlignment="1"/>
    <xf numFmtId="0" fontId="27" fillId="2" borderId="5" xfId="0" applyFont="1" applyFill="1" applyBorder="1" applyAlignment="1">
      <alignment horizontal="left" vertical="center" indent="1"/>
    </xf>
    <xf numFmtId="176" fontId="1" fillId="2" borderId="5" xfId="1" applyFont="1" applyFill="1" applyBorder="1" applyAlignment="1">
      <alignment horizontal="centerContinuous"/>
    </xf>
    <xf numFmtId="183" fontId="11" fillId="2" borderId="5" xfId="0" applyNumberFormat="1" applyFont="1" applyFill="1" applyBorder="1" applyAlignment="1">
      <alignment horizontal="right" vertical="center"/>
    </xf>
    <xf numFmtId="176" fontId="15" fillId="2" borderId="5" xfId="1" applyFont="1" applyFill="1" applyBorder="1" applyAlignment="1">
      <alignment horizontal="centerContinuous"/>
    </xf>
    <xf numFmtId="0" fontId="27" fillId="2" borderId="5" xfId="0" applyFont="1" applyFill="1" applyBorder="1" applyAlignment="1"/>
    <xf numFmtId="0" fontId="108" fillId="2" borderId="0" xfId="0" applyFont="1" applyFill="1">
      <alignment vertical="center"/>
    </xf>
    <xf numFmtId="183" fontId="109" fillId="2" borderId="0" xfId="2" applyNumberFormat="1" applyFont="1" applyFill="1" applyAlignment="1">
      <alignment horizontal="right" vertical="center"/>
    </xf>
    <xf numFmtId="183" fontId="107" fillId="2" borderId="0" xfId="2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centerContinuous"/>
    </xf>
    <xf numFmtId="0" fontId="110" fillId="2" borderId="0" xfId="0" applyFont="1" applyFill="1" applyAlignment="1">
      <alignment horizontal="left"/>
    </xf>
    <xf numFmtId="0" fontId="92" fillId="2" borderId="0" xfId="0" applyFont="1" applyFill="1" applyAlignment="1">
      <alignment horizontal="centerContinuous"/>
    </xf>
    <xf numFmtId="0" fontId="71" fillId="2" borderId="0" xfId="0" applyFont="1" applyFill="1" applyAlignment="1">
      <alignment horizontal="centerContinuous"/>
    </xf>
    <xf numFmtId="0" fontId="111" fillId="2" borderId="0" xfId="0" applyFont="1" applyFill="1" applyAlignment="1">
      <alignment horizontal="right" vertical="center"/>
    </xf>
    <xf numFmtId="183" fontId="11" fillId="6" borderId="0" xfId="13" applyNumberFormat="1" applyFont="1" applyFill="1" applyAlignment="1">
      <alignment horizontal="right" vertical="center"/>
    </xf>
    <xf numFmtId="183" fontId="11" fillId="6" borderId="0" xfId="2" applyNumberFormat="1" applyFont="1" applyFill="1" applyAlignment="1">
      <alignment horizontal="right" vertical="center"/>
    </xf>
    <xf numFmtId="183" fontId="11" fillId="6" borderId="5" xfId="2" applyNumberFormat="1" applyFont="1" applyFill="1" applyBorder="1" applyAlignment="1">
      <alignment horizontal="right" vertical="center"/>
    </xf>
    <xf numFmtId="183" fontId="11" fillId="2" borderId="0" xfId="13" applyNumberFormat="1" applyFont="1" applyFill="1" applyAlignment="1">
      <alignment horizontal="right" vertical="center"/>
    </xf>
    <xf numFmtId="183" fontId="72" fillId="2" borderId="5" xfId="0" applyNumberFormat="1" applyFont="1" applyFill="1" applyBorder="1" applyAlignment="1">
      <alignment horizontal="right" vertical="center"/>
    </xf>
    <xf numFmtId="183" fontId="11" fillId="2" borderId="5" xfId="2" applyNumberFormat="1" applyFont="1" applyFill="1" applyBorder="1" applyAlignment="1">
      <alignment horizontal="right" vertical="center"/>
    </xf>
    <xf numFmtId="0" fontId="27" fillId="2" borderId="47" xfId="0" applyFont="1" applyFill="1" applyBorder="1" applyAlignment="1">
      <alignment horizontal="center"/>
    </xf>
    <xf numFmtId="0" fontId="92" fillId="2" borderId="0" xfId="0" applyFont="1" applyFill="1" applyAlignment="1">
      <alignment horizontal="center"/>
    </xf>
    <xf numFmtId="183" fontId="99" fillId="2" borderId="0" xfId="0" applyNumberFormat="1" applyFont="1" applyFill="1">
      <alignment vertical="center"/>
    </xf>
    <xf numFmtId="183" fontId="11" fillId="2" borderId="0" xfId="0" applyNumberFormat="1" applyFont="1" applyFill="1">
      <alignment vertical="center"/>
    </xf>
    <xf numFmtId="0" fontId="43" fillId="2" borderId="0" xfId="0" applyFont="1" applyFill="1" applyAlignment="1">
      <alignment horizontal="left"/>
    </xf>
    <xf numFmtId="0" fontId="112" fillId="2" borderId="0" xfId="0" applyFont="1" applyFill="1">
      <alignment vertical="center"/>
    </xf>
    <xf numFmtId="176" fontId="3" fillId="2" borderId="0" xfId="1" applyFont="1" applyFill="1" applyBorder="1" applyAlignment="1">
      <alignment horizontal="centerContinuous"/>
    </xf>
    <xf numFmtId="0" fontId="24" fillId="2" borderId="0" xfId="0" applyFont="1" applyFill="1" applyAlignment="1"/>
    <xf numFmtId="0" fontId="24" fillId="2" borderId="0" xfId="0" applyFont="1" applyFill="1" applyAlignment="1">
      <alignment horizontal="left"/>
    </xf>
    <xf numFmtId="183" fontId="3" fillId="2" borderId="0" xfId="0" applyNumberFormat="1" applyFont="1" applyFill="1" applyAlignment="1">
      <alignment horizontal="right" vertical="center"/>
    </xf>
    <xf numFmtId="185" fontId="106" fillId="2" borderId="0" xfId="2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left" indent="1"/>
    </xf>
    <xf numFmtId="183" fontId="15" fillId="2" borderId="0" xfId="1" applyNumberFormat="1" applyFont="1" applyFill="1" applyBorder="1" applyAlignment="1">
      <alignment horizontal="centerContinuous"/>
    </xf>
    <xf numFmtId="183" fontId="27" fillId="2" borderId="0" xfId="0" applyNumberFormat="1" applyFont="1" applyFill="1" applyAlignment="1"/>
    <xf numFmtId="183" fontId="1" fillId="2" borderId="0" xfId="1" applyNumberFormat="1" applyFont="1" applyFill="1" applyBorder="1" applyAlignment="1">
      <alignment horizontal="centerContinuous"/>
    </xf>
    <xf numFmtId="183" fontId="72" fillId="2" borderId="0" xfId="2" applyNumberFormat="1" applyFont="1" applyFill="1" applyBorder="1" applyAlignment="1">
      <alignment horizontal="right" vertical="center"/>
    </xf>
    <xf numFmtId="183" fontId="112" fillId="2" borderId="0" xfId="0" applyNumberFormat="1" applyFont="1" applyFill="1">
      <alignment vertical="center"/>
    </xf>
    <xf numFmtId="183" fontId="43" fillId="2" borderId="0" xfId="0" applyNumberFormat="1" applyFont="1" applyFill="1" applyAlignment="1"/>
    <xf numFmtId="183" fontId="97" fillId="2" borderId="0" xfId="0" applyNumberFormat="1" applyFont="1" applyFill="1">
      <alignment vertical="center"/>
    </xf>
    <xf numFmtId="10" fontId="100" fillId="2" borderId="0" xfId="0" applyNumberFormat="1" applyFont="1" applyFill="1">
      <alignment vertical="center"/>
    </xf>
    <xf numFmtId="10" fontId="1" fillId="2" borderId="30" xfId="0" applyNumberFormat="1" applyFont="1" applyFill="1" applyBorder="1" applyAlignment="1">
      <alignment horizontal="right" vertical="center"/>
    </xf>
    <xf numFmtId="10" fontId="1" fillId="0" borderId="30" xfId="0" applyNumberFormat="1" applyFont="1" applyBorder="1" applyAlignment="1">
      <alignment horizontal="right" vertical="center"/>
    </xf>
    <xf numFmtId="183" fontId="1" fillId="19" borderId="0" xfId="0" applyNumberFormat="1" applyFont="1" applyFill="1" applyAlignment="1">
      <alignment horizontal="right" vertical="center"/>
    </xf>
    <xf numFmtId="207" fontId="1" fillId="2" borderId="0" xfId="0" applyNumberFormat="1" applyFont="1" applyFill="1" applyAlignment="1">
      <alignment horizontal="right" vertical="center"/>
    </xf>
    <xf numFmtId="10" fontId="100" fillId="6" borderId="0" xfId="0" applyNumberFormat="1" applyFont="1" applyFill="1" applyAlignment="1">
      <alignment horizontal="right" vertical="center"/>
    </xf>
    <xf numFmtId="0" fontId="51" fillId="2" borderId="0" xfId="0" applyFont="1" applyFill="1" applyAlignment="1">
      <alignment horizontal="left" vertical="center" wrapText="1"/>
    </xf>
    <xf numFmtId="0" fontId="51" fillId="2" borderId="0" xfId="0" applyFont="1" applyFill="1" applyAlignment="1">
      <alignment vertical="center" wrapText="1"/>
    </xf>
    <xf numFmtId="0" fontId="51" fillId="2" borderId="0" xfId="0" applyFont="1" applyFill="1" applyAlignment="1">
      <alignment vertical="top" wrapText="1"/>
    </xf>
    <xf numFmtId="58" fontId="1" fillId="2" borderId="0" xfId="0" applyNumberFormat="1" applyFont="1" applyFill="1">
      <alignment vertical="center"/>
    </xf>
    <xf numFmtId="58" fontId="72" fillId="2" borderId="0" xfId="0" applyNumberFormat="1" applyFont="1" applyFill="1">
      <alignment vertical="center"/>
    </xf>
    <xf numFmtId="0" fontId="113" fillId="2" borderId="0" xfId="0" applyFont="1" applyFill="1">
      <alignment vertic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8" fillId="2" borderId="5" xfId="0" applyFont="1" applyFill="1" applyBorder="1">
      <alignment vertical="center"/>
    </xf>
    <xf numFmtId="0" fontId="21" fillId="2" borderId="5" xfId="0" applyFont="1" applyFill="1" applyBorder="1">
      <alignment vertical="center"/>
    </xf>
    <xf numFmtId="0" fontId="16" fillId="2" borderId="5" xfId="0" applyFont="1" applyFill="1" applyBorder="1">
      <alignment vertical="center"/>
    </xf>
    <xf numFmtId="0" fontId="9" fillId="2" borderId="5" xfId="0" applyFont="1" applyFill="1" applyBorder="1" applyAlignment="1">
      <alignment horizontal="left"/>
    </xf>
    <xf numFmtId="183" fontId="16" fillId="2" borderId="5" xfId="0" applyNumberFormat="1" applyFont="1" applyFill="1" applyBorder="1" applyAlignment="1">
      <alignment horizontal="right" vertical="center"/>
    </xf>
    <xf numFmtId="183" fontId="16" fillId="2" borderId="5" xfId="2" applyNumberFormat="1" applyFont="1" applyFill="1" applyBorder="1" applyAlignment="1">
      <alignment horizontal="right" vertical="center"/>
    </xf>
    <xf numFmtId="0" fontId="27" fillId="2" borderId="5" xfId="0" applyFont="1" applyFill="1" applyBorder="1" applyAlignment="1">
      <alignment horizontal="right"/>
    </xf>
    <xf numFmtId="189" fontId="27" fillId="6" borderId="0" xfId="0" applyNumberFormat="1" applyFont="1" applyFill="1">
      <alignment vertical="center"/>
    </xf>
    <xf numFmtId="176" fontId="1" fillId="2" borderId="5" xfId="1" applyFont="1" applyFill="1" applyBorder="1" applyAlignment="1">
      <alignment horizontal="center"/>
    </xf>
    <xf numFmtId="0" fontId="15" fillId="2" borderId="41" xfId="0" applyFont="1" applyFill="1" applyBorder="1">
      <alignment vertical="center"/>
    </xf>
    <xf numFmtId="0" fontId="27" fillId="2" borderId="41" xfId="0" applyFont="1" applyFill="1" applyBorder="1" applyAlignment="1"/>
    <xf numFmtId="0" fontId="27" fillId="2" borderId="41" xfId="0" applyFont="1" applyFill="1" applyBorder="1">
      <alignment vertical="center"/>
    </xf>
    <xf numFmtId="0" fontId="16" fillId="2" borderId="41" xfId="0" applyFont="1" applyFill="1" applyBorder="1" applyAlignment="1"/>
    <xf numFmtId="183" fontId="1" fillId="2" borderId="41" xfId="0" applyNumberFormat="1" applyFont="1" applyFill="1" applyBorder="1" applyAlignment="1">
      <alignment horizontal="right" vertical="center"/>
    </xf>
    <xf numFmtId="0" fontId="15" fillId="2" borderId="6" xfId="0" applyFont="1" applyFill="1" applyBorder="1">
      <alignment vertical="center"/>
    </xf>
    <xf numFmtId="0" fontId="27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10" fontId="100" fillId="2" borderId="0" xfId="0" applyNumberFormat="1" applyFont="1" applyFill="1" applyAlignment="1">
      <alignment horizontal="right" vertical="center"/>
    </xf>
    <xf numFmtId="183" fontId="11" fillId="19" borderId="6" xfId="0" applyNumberFormat="1" applyFont="1" applyFill="1" applyBorder="1" applyAlignment="1">
      <alignment horizontal="right" vertical="center"/>
    </xf>
    <xf numFmtId="0" fontId="114" fillId="2" borderId="0" xfId="0" applyFont="1" applyFill="1">
      <alignment vertical="center"/>
    </xf>
    <xf numFmtId="0" fontId="74" fillId="2" borderId="0" xfId="0" applyFont="1" applyFill="1" applyAlignment="1">
      <alignment vertical="center" wrapText="1"/>
    </xf>
    <xf numFmtId="0" fontId="1" fillId="0" borderId="0" xfId="0" applyFont="1" applyAlignment="1">
      <alignment horizontal="center"/>
    </xf>
    <xf numFmtId="183" fontId="115" fillId="2" borderId="47" xfId="1" applyNumberFormat="1" applyFont="1" applyFill="1" applyBorder="1" applyAlignment="1">
      <alignment horizontal="center"/>
    </xf>
    <xf numFmtId="183" fontId="3" fillId="0" borderId="47" xfId="1" applyNumberFormat="1" applyFont="1" applyBorder="1" applyAlignment="1">
      <alignment horizontal="center"/>
    </xf>
    <xf numFmtId="183" fontId="3" fillId="2" borderId="47" xfId="1" applyNumberFormat="1" applyFont="1" applyFill="1" applyBorder="1" applyAlignment="1">
      <alignment horizontal="center"/>
    </xf>
    <xf numFmtId="183" fontId="3" fillId="0" borderId="47" xfId="0" applyNumberFormat="1" applyFont="1" applyBorder="1" applyAlignment="1">
      <alignment horizontal="center"/>
    </xf>
    <xf numFmtId="0" fontId="31" fillId="2" borderId="47" xfId="0" applyFont="1" applyFill="1" applyBorder="1" applyAlignment="1">
      <alignment horizontal="center"/>
    </xf>
    <xf numFmtId="183" fontId="3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0" fontId="47" fillId="2" borderId="50" xfId="0" applyFont="1" applyFill="1" applyBorder="1" applyAlignment="1">
      <alignment horizontal="center"/>
    </xf>
    <xf numFmtId="0" fontId="31" fillId="2" borderId="50" xfId="0" applyFont="1" applyFill="1" applyBorder="1" applyAlignment="1">
      <alignment horizontal="center"/>
    </xf>
    <xf numFmtId="0" fontId="72" fillId="0" borderId="47" xfId="0" applyFont="1" applyBorder="1" applyAlignment="1">
      <alignment horizontal="center"/>
    </xf>
    <xf numFmtId="0" fontId="47" fillId="0" borderId="47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183" fontId="3" fillId="0" borderId="50" xfId="0" applyNumberFormat="1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27" fillId="0" borderId="47" xfId="0" applyFont="1" applyBorder="1">
      <alignment vertical="center"/>
    </xf>
    <xf numFmtId="0" fontId="16" fillId="0" borderId="47" xfId="0" applyFont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67" fillId="2" borderId="2" xfId="0" applyFont="1" applyFill="1" applyBorder="1">
      <alignment vertical="center"/>
    </xf>
    <xf numFmtId="0" fontId="14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39" fillId="0" borderId="0" xfId="0" applyFont="1">
      <alignment vertical="center"/>
    </xf>
    <xf numFmtId="0" fontId="13" fillId="0" borderId="0" xfId="0" applyFont="1" applyAlignment="1">
      <alignment horizontal="centerContinuous"/>
    </xf>
    <xf numFmtId="0" fontId="27" fillId="0" borderId="1" xfId="0" applyFont="1" applyBorder="1">
      <alignment vertical="center"/>
    </xf>
    <xf numFmtId="0" fontId="1" fillId="0" borderId="1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67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83" fontId="115" fillId="2" borderId="0" xfId="1" applyNumberFormat="1" applyFont="1" applyFill="1" applyBorder="1" applyAlignment="1">
      <alignment horizontal="center"/>
    </xf>
    <xf numFmtId="183" fontId="3" fillId="0" borderId="0" xfId="1" applyNumberFormat="1" applyFont="1" applyBorder="1" applyAlignment="1">
      <alignment horizontal="center"/>
    </xf>
    <xf numFmtId="0" fontId="24" fillId="0" borderId="47" xfId="1" applyNumberFormat="1" applyFont="1" applyBorder="1" applyAlignment="1">
      <alignment vertical="center"/>
    </xf>
    <xf numFmtId="183" fontId="3" fillId="2" borderId="0" xfId="1" applyNumberFormat="1" applyFont="1" applyFill="1" applyBorder="1" applyAlignment="1">
      <alignment horizontal="center"/>
    </xf>
    <xf numFmtId="0" fontId="41" fillId="0" borderId="0" xfId="0" applyFont="1" applyAlignment="1">
      <alignment horizontal="left" vertical="center" indent="2"/>
    </xf>
    <xf numFmtId="0" fontId="24" fillId="2" borderId="0" xfId="1" applyNumberFormat="1" applyFont="1" applyFill="1" applyBorder="1" applyAlignment="1">
      <alignment vertical="center"/>
    </xf>
    <xf numFmtId="0" fontId="24" fillId="0" borderId="0" xfId="0" applyFont="1">
      <alignment vertical="center"/>
    </xf>
    <xf numFmtId="183" fontId="3" fillId="0" borderId="0" xfId="0" applyNumberFormat="1" applyFont="1" applyAlignment="1">
      <alignment horizontal="centerContinuous"/>
    </xf>
    <xf numFmtId="0" fontId="31" fillId="2" borderId="0" xfId="0" applyFont="1" applyFill="1" applyAlignment="1">
      <alignment horizontal="center"/>
    </xf>
    <xf numFmtId="0" fontId="44" fillId="2" borderId="8" xfId="0" applyFont="1" applyFill="1" applyBorder="1">
      <alignment vertical="center"/>
    </xf>
    <xf numFmtId="0" fontId="31" fillId="2" borderId="8" xfId="0" applyFont="1" applyFill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21" fillId="0" borderId="1" xfId="0" applyFont="1" applyBorder="1">
      <alignment vertical="center"/>
    </xf>
    <xf numFmtId="0" fontId="16" fillId="0" borderId="0" xfId="0" applyFont="1" applyAlignment="1">
      <alignment horizontal="centerContinuous"/>
    </xf>
    <xf numFmtId="0" fontId="1" fillId="0" borderId="2" xfId="0" applyFont="1" applyBorder="1" applyAlignment="1">
      <alignment horizontal="center"/>
    </xf>
    <xf numFmtId="0" fontId="27" fillId="0" borderId="2" xfId="0" applyFont="1" applyBorder="1">
      <alignment vertical="center"/>
    </xf>
    <xf numFmtId="0" fontId="1" fillId="2" borderId="1" xfId="0" applyFont="1" applyFill="1" applyBorder="1" applyAlignment="1">
      <alignment horizontal="center"/>
    </xf>
    <xf numFmtId="183" fontId="3" fillId="0" borderId="0" xfId="0" applyNumberFormat="1" applyFont="1" applyAlignment="1">
      <alignment horizontal="left"/>
    </xf>
    <xf numFmtId="0" fontId="41" fillId="0" borderId="0" xfId="0" applyFont="1">
      <alignment vertical="center"/>
    </xf>
    <xf numFmtId="0" fontId="4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6" fillId="2" borderId="50" xfId="0" applyFont="1" applyFill="1" applyBorder="1">
      <alignment vertical="center"/>
    </xf>
    <xf numFmtId="0" fontId="47" fillId="2" borderId="50" xfId="0" applyFont="1" applyFill="1" applyBorder="1" applyAlignment="1">
      <alignment horizontal="left"/>
    </xf>
    <xf numFmtId="0" fontId="44" fillId="2" borderId="50" xfId="0" applyFont="1" applyFill="1" applyBorder="1">
      <alignment vertical="center"/>
    </xf>
    <xf numFmtId="0" fontId="31" fillId="2" borderId="50" xfId="0" applyFont="1" applyFill="1" applyBorder="1" applyAlignment="1">
      <alignment horizontal="left"/>
    </xf>
    <xf numFmtId="0" fontId="43" fillId="0" borderId="47" xfId="0" applyFont="1" applyBorder="1" applyAlignment="1">
      <alignment horizontal="left" vertical="center" indent="1"/>
    </xf>
    <xf numFmtId="0" fontId="43" fillId="0" borderId="47" xfId="0" applyFont="1" applyBorder="1">
      <alignment vertical="center"/>
    </xf>
    <xf numFmtId="0" fontId="1" fillId="0" borderId="47" xfId="0" applyFont="1" applyBorder="1" applyAlignment="1">
      <alignment horizontal="left"/>
    </xf>
    <xf numFmtId="0" fontId="46" fillId="0" borderId="47" xfId="0" applyFont="1" applyBorder="1">
      <alignment vertical="center"/>
    </xf>
    <xf numFmtId="0" fontId="47" fillId="0" borderId="47" xfId="0" applyFont="1" applyBorder="1" applyAlignment="1">
      <alignment horizontal="left"/>
    </xf>
    <xf numFmtId="0" fontId="46" fillId="0" borderId="2" xfId="0" applyFont="1" applyBorder="1">
      <alignment vertical="center"/>
    </xf>
    <xf numFmtId="0" fontId="47" fillId="0" borderId="2" xfId="0" applyFont="1" applyBorder="1" applyAlignment="1">
      <alignment horizontal="left"/>
    </xf>
    <xf numFmtId="0" fontId="24" fillId="2" borderId="6" xfId="0" applyFont="1" applyFill="1" applyBorder="1">
      <alignment vertical="center"/>
    </xf>
    <xf numFmtId="0" fontId="24" fillId="0" borderId="52" xfId="0" applyFont="1" applyBorder="1">
      <alignment vertical="center"/>
    </xf>
    <xf numFmtId="183" fontId="3" fillId="0" borderId="52" xfId="0" applyNumberFormat="1" applyFont="1" applyBorder="1" applyAlignment="1">
      <alignment horizontal="center"/>
    </xf>
    <xf numFmtId="183" fontId="3" fillId="0" borderId="6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27" fillId="0" borderId="50" xfId="0" applyFont="1" applyBorder="1">
      <alignment vertical="center"/>
    </xf>
    <xf numFmtId="0" fontId="13" fillId="2" borderId="2" xfId="0" applyFont="1" applyFill="1" applyBorder="1" applyAlignment="1">
      <alignment horizontal="center"/>
    </xf>
    <xf numFmtId="0" fontId="48" fillId="0" borderId="0" xfId="0" applyFont="1" applyAlignment="1">
      <alignment horizontal="left" vertical="center"/>
    </xf>
    <xf numFmtId="0" fontId="116" fillId="0" borderId="1" xfId="0" applyFont="1" applyBorder="1" applyAlignment="1">
      <alignment horizontal="center"/>
    </xf>
    <xf numFmtId="0" fontId="117" fillId="0" borderId="1" xfId="0" applyFont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183" fontId="118" fillId="2" borderId="0" xfId="1" applyNumberFormat="1" applyFont="1" applyFill="1" applyBorder="1" applyAlignment="1">
      <alignment horizontal="right" vertical="center"/>
    </xf>
    <xf numFmtId="183" fontId="119" fillId="2" borderId="0" xfId="1" applyNumberFormat="1" applyFont="1" applyFill="1" applyBorder="1" applyAlignment="1">
      <alignment horizontal="right" vertical="center"/>
    </xf>
    <xf numFmtId="183" fontId="119" fillId="6" borderId="0" xfId="1" applyNumberFormat="1" applyFont="1" applyFill="1" applyBorder="1" applyAlignment="1">
      <alignment horizontal="right" vertical="center"/>
    </xf>
    <xf numFmtId="10" fontId="42" fillId="0" borderId="0" xfId="2" applyNumberFormat="1" applyFont="1" applyBorder="1" applyAlignment="1">
      <alignment horizontal="right" vertical="center"/>
    </xf>
    <xf numFmtId="183" fontId="119" fillId="0" borderId="0" xfId="1" applyNumberFormat="1" applyFont="1" applyFill="1" applyBorder="1" applyAlignment="1">
      <alignment horizontal="right" vertical="center"/>
    </xf>
    <xf numFmtId="10" fontId="120" fillId="2" borderId="8" xfId="0" applyNumberFormat="1" applyFont="1" applyFill="1" applyBorder="1" applyAlignment="1">
      <alignment horizontal="right" vertical="center"/>
    </xf>
    <xf numFmtId="10" fontId="56" fillId="0" borderId="0" xfId="0" applyNumberFormat="1" applyFont="1">
      <alignment vertical="center"/>
    </xf>
    <xf numFmtId="0" fontId="28" fillId="0" borderId="2" xfId="0" applyFont="1" applyBorder="1">
      <alignment vertical="center"/>
    </xf>
    <xf numFmtId="0" fontId="56" fillId="0" borderId="2" xfId="0" applyFont="1" applyBorder="1">
      <alignment vertical="center"/>
    </xf>
    <xf numFmtId="0" fontId="28" fillId="0" borderId="0" xfId="0" applyFont="1">
      <alignment vertical="center"/>
    </xf>
    <xf numFmtId="0" fontId="56" fillId="0" borderId="0" xfId="0" applyFont="1">
      <alignment vertical="center"/>
    </xf>
    <xf numFmtId="0" fontId="28" fillId="2" borderId="1" xfId="0" applyFont="1" applyFill="1" applyBorder="1">
      <alignment vertical="center"/>
    </xf>
    <xf numFmtId="0" fontId="56" fillId="2" borderId="1" xfId="0" applyFont="1" applyFill="1" applyBorder="1">
      <alignment vertical="center"/>
    </xf>
    <xf numFmtId="0" fontId="56" fillId="0" borderId="1" xfId="0" applyFont="1" applyBorder="1">
      <alignment vertical="center"/>
    </xf>
    <xf numFmtId="183" fontId="119" fillId="0" borderId="0" xfId="2" applyNumberFormat="1" applyFont="1" applyFill="1" applyBorder="1" applyAlignment="1">
      <alignment horizontal="right" vertical="center"/>
    </xf>
    <xf numFmtId="10" fontId="42" fillId="6" borderId="0" xfId="2" applyNumberFormat="1" applyFont="1" applyFill="1" applyBorder="1" applyAlignment="1">
      <alignment horizontal="right" vertical="center"/>
    </xf>
    <xf numFmtId="10" fontId="55" fillId="0" borderId="0" xfId="2" applyNumberFormat="1" applyFont="1" applyFill="1" applyBorder="1" applyAlignment="1">
      <alignment horizontal="right" vertical="center"/>
    </xf>
    <xf numFmtId="10" fontId="42" fillId="0" borderId="0" xfId="2" applyNumberFormat="1" applyFont="1" applyFill="1" applyBorder="1" applyAlignment="1">
      <alignment horizontal="right" vertical="center"/>
    </xf>
    <xf numFmtId="10" fontId="42" fillId="2" borderId="50" xfId="2" applyNumberFormat="1" applyFont="1" applyFill="1" applyBorder="1" applyAlignment="1">
      <alignment horizontal="right" vertical="center"/>
    </xf>
    <xf numFmtId="10" fontId="120" fillId="2" borderId="50" xfId="2" applyNumberFormat="1" applyFont="1" applyFill="1" applyBorder="1" applyAlignment="1">
      <alignment horizontal="right" vertical="center"/>
    </xf>
    <xf numFmtId="10" fontId="55" fillId="0" borderId="47" xfId="0" applyNumberFormat="1" applyFont="1" applyBorder="1" applyAlignment="1">
      <alignment horizontal="right" vertical="center"/>
    </xf>
    <xf numFmtId="183" fontId="119" fillId="19" borderId="0" xfId="0" applyNumberFormat="1" applyFont="1" applyFill="1" applyAlignment="1">
      <alignment horizontal="right" vertical="center"/>
    </xf>
    <xf numFmtId="2" fontId="28" fillId="0" borderId="47" xfId="0" applyNumberFormat="1" applyFont="1" applyBorder="1" applyAlignment="1">
      <alignment horizontal="right" vertical="center"/>
    </xf>
    <xf numFmtId="10" fontId="42" fillId="0" borderId="47" xfId="1" applyNumberFormat="1" applyFont="1" applyFill="1" applyBorder="1" applyAlignment="1">
      <alignment horizontal="right" vertical="center"/>
    </xf>
    <xf numFmtId="10" fontId="42" fillId="0" borderId="2" xfId="1" applyNumberFormat="1" applyFont="1" applyFill="1" applyBorder="1" applyAlignment="1">
      <alignment horizontal="right" vertical="center"/>
    </xf>
    <xf numFmtId="183" fontId="119" fillId="0" borderId="6" xfId="2" applyNumberFormat="1" applyFont="1" applyFill="1" applyBorder="1" applyAlignment="1">
      <alignment horizontal="right" vertical="center"/>
    </xf>
    <xf numFmtId="183" fontId="119" fillId="19" borderId="6" xfId="0" applyNumberFormat="1" applyFont="1" applyFill="1" applyBorder="1" applyAlignment="1">
      <alignment horizontal="right" vertical="center"/>
    </xf>
    <xf numFmtId="0" fontId="9" fillId="0" borderId="50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16" fillId="2" borderId="5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8" fillId="0" borderId="7" xfId="0" applyFont="1" applyBorder="1">
      <alignment vertical="center"/>
    </xf>
    <xf numFmtId="0" fontId="28" fillId="0" borderId="53" xfId="0" applyFont="1" applyBorder="1">
      <alignment vertical="center"/>
    </xf>
    <xf numFmtId="10" fontId="42" fillId="2" borderId="0" xfId="2" applyNumberFormat="1" applyFont="1" applyFill="1" applyBorder="1" applyAlignment="1">
      <alignment horizontal="right" vertical="center"/>
    </xf>
    <xf numFmtId="10" fontId="55" fillId="2" borderId="0" xfId="2" applyNumberFormat="1" applyFont="1" applyFill="1" applyBorder="1" applyAlignment="1">
      <alignment horizontal="right" vertical="center"/>
    </xf>
    <xf numFmtId="10" fontId="42" fillId="2" borderId="54" xfId="2" applyNumberFormat="1" applyFont="1" applyFill="1" applyBorder="1" applyAlignment="1">
      <alignment horizontal="right" vertical="center"/>
    </xf>
    <xf numFmtId="10" fontId="120" fillId="2" borderId="54" xfId="2" applyNumberFormat="1" applyFont="1" applyFill="1" applyBorder="1" applyAlignment="1">
      <alignment horizontal="right" vertical="center"/>
    </xf>
    <xf numFmtId="10" fontId="120" fillId="2" borderId="0" xfId="2" applyNumberFormat="1" applyFont="1" applyFill="1" applyBorder="1" applyAlignment="1">
      <alignment horizontal="right" vertical="center"/>
    </xf>
    <xf numFmtId="10" fontId="55" fillId="2" borderId="51" xfId="0" applyNumberFormat="1" applyFont="1" applyFill="1" applyBorder="1" applyAlignment="1">
      <alignment horizontal="right" vertical="center"/>
    </xf>
    <xf numFmtId="10" fontId="55" fillId="0" borderId="0" xfId="0" applyNumberFormat="1" applyFont="1" applyAlignment="1">
      <alignment horizontal="right" vertical="center"/>
    </xf>
    <xf numFmtId="2" fontId="28" fillId="2" borderId="51" xfId="0" applyNumberFormat="1" applyFont="1" applyFill="1" applyBorder="1" applyAlignment="1">
      <alignment horizontal="right" vertical="center"/>
    </xf>
    <xf numFmtId="2" fontId="120" fillId="0" borderId="0" xfId="0" applyNumberFormat="1" applyFont="1" applyAlignment="1">
      <alignment horizontal="right" vertical="center"/>
    </xf>
    <xf numFmtId="10" fontId="42" fillId="2" borderId="51" xfId="1" applyNumberFormat="1" applyFont="1" applyFill="1" applyBorder="1" applyAlignment="1">
      <alignment horizontal="right" vertical="center"/>
    </xf>
    <xf numFmtId="10" fontId="42" fillId="0" borderId="0" xfId="1" applyNumberFormat="1" applyFont="1" applyFill="1" applyBorder="1" applyAlignment="1">
      <alignment horizontal="right" vertical="center"/>
    </xf>
    <xf numFmtId="10" fontId="42" fillId="2" borderId="7" xfId="1" applyNumberFormat="1" applyFont="1" applyFill="1" applyBorder="1" applyAlignment="1">
      <alignment horizontal="right" vertical="center"/>
    </xf>
    <xf numFmtId="183" fontId="119" fillId="2" borderId="6" xfId="2" applyNumberFormat="1" applyFont="1" applyFill="1" applyBorder="1" applyAlignment="1">
      <alignment horizontal="right" vertical="center"/>
    </xf>
    <xf numFmtId="0" fontId="1" fillId="2" borderId="54" xfId="0" applyFont="1" applyFill="1" applyBorder="1" applyAlignment="1">
      <alignment horizontal="center"/>
    </xf>
    <xf numFmtId="0" fontId="116" fillId="0" borderId="0" xfId="0" applyFont="1" applyAlignment="1">
      <alignment horizontal="center"/>
    </xf>
    <xf numFmtId="183" fontId="118" fillId="7" borderId="0" xfId="1" applyNumberFormat="1" applyFont="1" applyFill="1" applyBorder="1" applyAlignment="1">
      <alignment horizontal="right" vertical="center"/>
    </xf>
    <xf numFmtId="183" fontId="119" fillId="7" borderId="0" xfId="1" applyNumberFormat="1" applyFont="1" applyFill="1" applyBorder="1" applyAlignment="1">
      <alignment horizontal="right" vertical="center"/>
    </xf>
    <xf numFmtId="10" fontId="42" fillId="7" borderId="0" xfId="2" applyNumberFormat="1" applyFont="1" applyFill="1" applyBorder="1" applyAlignment="1">
      <alignment horizontal="right" vertical="center"/>
    </xf>
    <xf numFmtId="10" fontId="120" fillId="15" borderId="8" xfId="0" applyNumberFormat="1" applyFont="1" applyFill="1" applyBorder="1" applyAlignment="1">
      <alignment horizontal="right" vertical="center"/>
    </xf>
    <xf numFmtId="10" fontId="56" fillId="2" borderId="0" xfId="0" applyNumberFormat="1" applyFont="1" applyFill="1">
      <alignment vertical="center"/>
    </xf>
    <xf numFmtId="0" fontId="28" fillId="2" borderId="0" xfId="0" applyFont="1" applyFill="1">
      <alignment vertical="center"/>
    </xf>
    <xf numFmtId="183" fontId="119" fillId="15" borderId="0" xfId="1" applyNumberFormat="1" applyFont="1" applyFill="1" applyBorder="1" applyAlignment="1">
      <alignment horizontal="right" vertical="center"/>
    </xf>
    <xf numFmtId="10" fontId="42" fillId="15" borderId="0" xfId="2" applyNumberFormat="1" applyFont="1" applyFill="1" applyBorder="1" applyAlignment="1">
      <alignment horizontal="right" vertical="center"/>
    </xf>
    <xf numFmtId="10" fontId="120" fillId="15" borderId="0" xfId="2" applyNumberFormat="1" applyFont="1" applyFill="1" applyBorder="1" applyAlignment="1">
      <alignment horizontal="right" vertical="center"/>
    </xf>
    <xf numFmtId="10" fontId="55" fillId="15" borderId="0" xfId="0" applyNumberFormat="1" applyFont="1" applyFill="1" applyAlignment="1">
      <alignment horizontal="right" vertical="center"/>
    </xf>
    <xf numFmtId="10" fontId="55" fillId="2" borderId="0" xfId="0" applyNumberFormat="1" applyFont="1" applyFill="1" applyAlignment="1">
      <alignment horizontal="right" vertical="center"/>
    </xf>
    <xf numFmtId="2" fontId="120" fillId="15" borderId="0" xfId="0" applyNumberFormat="1" applyFont="1" applyFill="1" applyAlignment="1">
      <alignment horizontal="right" vertical="center"/>
    </xf>
    <xf numFmtId="2" fontId="120" fillId="2" borderId="0" xfId="0" applyNumberFormat="1" applyFont="1" applyFill="1" applyAlignment="1">
      <alignment horizontal="right" vertical="center"/>
    </xf>
    <xf numFmtId="10" fontId="42" fillId="15" borderId="0" xfId="1" applyNumberFormat="1" applyFont="1" applyFill="1" applyBorder="1" applyAlignment="1">
      <alignment horizontal="right" vertical="center"/>
    </xf>
    <xf numFmtId="10" fontId="42" fillId="2" borderId="0" xfId="1" applyNumberFormat="1" applyFont="1" applyFill="1" applyBorder="1" applyAlignment="1">
      <alignment horizontal="right" vertical="center"/>
    </xf>
    <xf numFmtId="183" fontId="119" fillId="15" borderId="6" xfId="2" applyNumberFormat="1" applyFont="1" applyFill="1" applyBorder="1" applyAlignment="1">
      <alignment horizontal="right" vertical="center"/>
    </xf>
    <xf numFmtId="10" fontId="120" fillId="0" borderId="8" xfId="0" applyNumberFormat="1" applyFont="1" applyBorder="1" applyAlignment="1">
      <alignment horizontal="right" vertical="center"/>
    </xf>
    <xf numFmtId="10" fontId="56" fillId="15" borderId="0" xfId="0" applyNumberFormat="1" applyFont="1" applyFill="1">
      <alignment vertical="center"/>
    </xf>
    <xf numFmtId="0" fontId="28" fillId="15" borderId="0" xfId="0" applyFont="1" applyFill="1">
      <alignment vertical="center"/>
    </xf>
    <xf numFmtId="183" fontId="119" fillId="2" borderId="0" xfId="2" applyNumberFormat="1" applyFont="1" applyFill="1" applyBorder="1" applyAlignment="1">
      <alignment horizontal="right" vertical="center"/>
    </xf>
    <xf numFmtId="10" fontId="42" fillId="19" borderId="0" xfId="0" applyNumberFormat="1" applyFont="1" applyFill="1" applyAlignment="1">
      <alignment horizontal="right" vertical="center"/>
    </xf>
    <xf numFmtId="10" fontId="120" fillId="0" borderId="0" xfId="2" applyNumberFormat="1" applyFont="1" applyFill="1" applyBorder="1" applyAlignment="1">
      <alignment horizontal="right" vertical="center"/>
    </xf>
    <xf numFmtId="10" fontId="120" fillId="19" borderId="0" xfId="0" applyNumberFormat="1" applyFont="1" applyFill="1" applyAlignment="1">
      <alignment horizontal="right" vertical="center"/>
    </xf>
    <xf numFmtId="0" fontId="120" fillId="2" borderId="0" xfId="0" applyFont="1" applyFill="1" applyAlignment="1">
      <alignment horizontal="right" vertical="center"/>
    </xf>
    <xf numFmtId="2" fontId="28" fillId="0" borderId="0" xfId="0" applyNumberFormat="1" applyFont="1" applyAlignment="1">
      <alignment horizontal="right" vertical="center"/>
    </xf>
    <xf numFmtId="10" fontId="42" fillId="2" borderId="0" xfId="0" applyNumberFormat="1" applyFont="1" applyFill="1" applyAlignment="1">
      <alignment horizontal="right" vertical="center"/>
    </xf>
    <xf numFmtId="183" fontId="119" fillId="2" borderId="6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center"/>
    </xf>
    <xf numFmtId="0" fontId="117" fillId="0" borderId="0" xfId="0" applyFont="1" applyAlignment="1">
      <alignment horizontal="center"/>
    </xf>
    <xf numFmtId="2" fontId="28" fillId="2" borderId="0" xfId="0" applyNumberFormat="1" applyFont="1" applyFill="1" applyAlignment="1">
      <alignment horizontal="right" vertical="center"/>
    </xf>
    <xf numFmtId="183" fontId="115" fillId="2" borderId="55" xfId="1" applyNumberFormat="1" applyFont="1" applyFill="1" applyBorder="1" applyAlignment="1">
      <alignment horizontal="center"/>
    </xf>
    <xf numFmtId="183" fontId="3" fillId="0" borderId="55" xfId="1" applyNumberFormat="1" applyFont="1" applyBorder="1" applyAlignment="1">
      <alignment horizontal="center"/>
    </xf>
    <xf numFmtId="183" fontId="3" fillId="2" borderId="55" xfId="1" applyNumberFormat="1" applyFont="1" applyFill="1" applyBorder="1" applyAlignment="1">
      <alignment horizontal="center"/>
    </xf>
    <xf numFmtId="183" fontId="3" fillId="0" borderId="55" xfId="0" applyNumberFormat="1" applyFont="1" applyBorder="1" applyAlignment="1">
      <alignment horizontal="center"/>
    </xf>
    <xf numFmtId="0" fontId="3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47" fillId="2" borderId="56" xfId="0" applyFont="1" applyFill="1" applyBorder="1" applyAlignment="1">
      <alignment horizontal="center"/>
    </xf>
    <xf numFmtId="0" fontId="31" fillId="2" borderId="56" xfId="0" applyFont="1" applyFill="1" applyBorder="1" applyAlignment="1">
      <alignment horizontal="center"/>
    </xf>
    <xf numFmtId="0" fontId="121" fillId="0" borderId="0" xfId="0" applyFont="1">
      <alignment vertical="center"/>
    </xf>
    <xf numFmtId="0" fontId="122" fillId="0" borderId="0" xfId="0" applyFont="1">
      <alignment vertical="center"/>
    </xf>
    <xf numFmtId="183" fontId="3" fillId="0" borderId="56" xfId="0" applyNumberFormat="1" applyFont="1" applyBorder="1" applyAlignment="1">
      <alignment horizontal="center"/>
    </xf>
    <xf numFmtId="10" fontId="31" fillId="2" borderId="47" xfId="0" applyNumberFormat="1" applyFont="1" applyFill="1" applyBorder="1" applyAlignment="1">
      <alignment horizontal="center"/>
    </xf>
    <xf numFmtId="0" fontId="123" fillId="2" borderId="50" xfId="0" applyFont="1" applyFill="1" applyBorder="1" applyAlignment="1">
      <alignment horizontal="left"/>
    </xf>
    <xf numFmtId="0" fontId="124" fillId="2" borderId="50" xfId="0" applyFont="1" applyFill="1" applyBorder="1" applyAlignment="1">
      <alignment horizontal="left"/>
    </xf>
    <xf numFmtId="0" fontId="47" fillId="0" borderId="55" xfId="0" applyFont="1" applyBorder="1" applyAlignment="1">
      <alignment horizontal="center"/>
    </xf>
    <xf numFmtId="0" fontId="47" fillId="0" borderId="57" xfId="0" applyFont="1" applyBorder="1" applyAlignment="1">
      <alignment horizontal="center"/>
    </xf>
    <xf numFmtId="0" fontId="19" fillId="18" borderId="0" xfId="0" applyFont="1" applyFill="1">
      <alignment vertical="center"/>
    </xf>
    <xf numFmtId="183" fontId="30" fillId="2" borderId="0" xfId="0" applyNumberFormat="1" applyFont="1" applyFill="1">
      <alignment vertical="center"/>
    </xf>
    <xf numFmtId="0" fontId="63" fillId="3" borderId="0" xfId="32" applyNumberFormat="1" applyFont="1" applyFill="1" applyProtection="1">
      <protection locked="0"/>
    </xf>
    <xf numFmtId="0" fontId="63" fillId="0" borderId="0" xfId="0" applyFont="1" applyProtection="1">
      <alignment vertical="center"/>
      <protection locked="0"/>
    </xf>
    <xf numFmtId="0" fontId="129" fillId="3" borderId="0" xfId="32" applyNumberFormat="1" applyFont="1" applyFill="1" applyAlignment="1" applyProtection="1">
      <alignment vertical="center"/>
      <protection locked="0"/>
    </xf>
    <xf numFmtId="0" fontId="129" fillId="3" borderId="0" xfId="32" applyNumberFormat="1" applyFont="1" applyFill="1" applyProtection="1">
      <protection locked="0"/>
    </xf>
    <xf numFmtId="0" fontId="63" fillId="3" borderId="0" xfId="32" applyNumberFormat="1" applyFont="1" applyFill="1" applyAlignment="1" applyProtection="1">
      <alignment horizontal="left"/>
      <protection locked="0"/>
    </xf>
    <xf numFmtId="0" fontId="130" fillId="3" borderId="0" xfId="32" applyNumberFormat="1" applyFont="1" applyFill="1" applyAlignment="1">
      <alignment horizontal="right"/>
    </xf>
    <xf numFmtId="0" fontId="130" fillId="3" borderId="0" xfId="32" applyNumberFormat="1" applyFont="1" applyFill="1" applyAlignment="1" applyProtection="1">
      <alignment horizontal="right"/>
      <protection locked="0"/>
    </xf>
    <xf numFmtId="0" fontId="63" fillId="3" borderId="0" xfId="32" applyNumberFormat="1" applyFont="1" applyFill="1" applyAlignment="1" applyProtection="1">
      <alignment vertical="center"/>
      <protection locked="0"/>
    </xf>
    <xf numFmtId="0" fontId="62" fillId="3" borderId="0" xfId="32" applyNumberFormat="1" applyFont="1" applyFill="1" applyAlignment="1" applyProtection="1">
      <alignment horizontal="left" vertical="center"/>
      <protection locked="0"/>
    </xf>
    <xf numFmtId="0" fontId="130" fillId="3" borderId="0" xfId="32" applyNumberFormat="1" applyFont="1" applyFill="1" applyAlignment="1">
      <alignment horizontal="right" vertical="center"/>
    </xf>
    <xf numFmtId="0" fontId="131" fillId="24" borderId="0" xfId="32" applyNumberFormat="1" applyFont="1" applyFill="1" applyAlignment="1" applyProtection="1">
      <alignment vertical="center"/>
      <protection locked="0"/>
    </xf>
    <xf numFmtId="0" fontId="132" fillId="24" borderId="0" xfId="32" applyNumberFormat="1" applyFont="1" applyFill="1" applyAlignment="1" applyProtection="1">
      <alignment horizontal="right" vertical="center"/>
      <protection locked="0"/>
    </xf>
    <xf numFmtId="0" fontId="133" fillId="0" borderId="0" xfId="0" applyFont="1" applyAlignment="1">
      <alignment horizontal="left" vertical="center" readingOrder="1"/>
    </xf>
    <xf numFmtId="0" fontId="127" fillId="0" borderId="0" xfId="0" applyFont="1" applyAlignment="1" applyProtection="1">
      <alignment horizontal="left" vertical="center" readingOrder="1"/>
      <protection locked="0"/>
    </xf>
    <xf numFmtId="0" fontId="134" fillId="24" borderId="0" xfId="32" applyNumberFormat="1" applyFont="1" applyFill="1" applyAlignment="1" applyProtection="1">
      <alignment vertical="center"/>
      <protection locked="0"/>
    </xf>
    <xf numFmtId="0" fontId="132" fillId="2" borderId="0" xfId="32" applyNumberFormat="1" applyFont="1" applyFill="1" applyProtection="1">
      <protection locked="0"/>
    </xf>
    <xf numFmtId="11" fontId="130" fillId="3" borderId="0" xfId="32" applyNumberFormat="1" applyFont="1" applyFill="1" applyAlignment="1">
      <alignment horizontal="right" vertical="center"/>
    </xf>
    <xf numFmtId="210" fontId="132" fillId="24" borderId="0" xfId="32" applyNumberFormat="1" applyFont="1" applyFill="1" applyAlignment="1" applyProtection="1">
      <alignment horizontal="right" vertical="center"/>
      <protection locked="0"/>
    </xf>
    <xf numFmtId="0" fontId="135" fillId="0" borderId="0" xfId="3" applyFont="1" applyAlignment="1" applyProtection="1">
      <alignment horizontal="left" vertical="center" readingOrder="1"/>
      <protection locked="0"/>
    </xf>
    <xf numFmtId="0" fontId="131" fillId="24" borderId="58" xfId="32" applyNumberFormat="1" applyFont="1" applyFill="1" applyBorder="1" applyAlignment="1" applyProtection="1">
      <alignment vertical="center"/>
      <protection locked="0"/>
    </xf>
    <xf numFmtId="0" fontId="132" fillId="24" borderId="59" xfId="32" applyNumberFormat="1" applyFont="1" applyFill="1" applyBorder="1" applyProtection="1">
      <protection locked="0"/>
    </xf>
    <xf numFmtId="0" fontId="131" fillId="24" borderId="58" xfId="32" applyNumberFormat="1" applyFont="1" applyFill="1" applyBorder="1" applyAlignment="1" applyProtection="1">
      <alignment horizontal="left" vertical="center"/>
      <protection locked="0"/>
    </xf>
    <xf numFmtId="0" fontId="131" fillId="24" borderId="60" xfId="32" applyNumberFormat="1" applyFont="1" applyFill="1" applyBorder="1" applyAlignment="1" applyProtection="1">
      <alignment vertical="center"/>
      <protection locked="0"/>
    </xf>
    <xf numFmtId="0" fontId="63" fillId="3" borderId="61" xfId="32" applyNumberFormat="1" applyFont="1" applyFill="1" applyBorder="1" applyAlignment="1" applyProtection="1">
      <alignment vertical="center"/>
      <protection locked="0"/>
    </xf>
    <xf numFmtId="0" fontId="63" fillId="3" borderId="62" xfId="32" applyNumberFormat="1" applyFont="1" applyFill="1" applyBorder="1" applyProtection="1">
      <protection locked="0"/>
    </xf>
    <xf numFmtId="0" fontId="63" fillId="3" borderId="63" xfId="32" applyNumberFormat="1" applyFont="1" applyFill="1" applyBorder="1" applyAlignment="1" applyProtection="1">
      <alignment vertical="center"/>
      <protection locked="0"/>
    </xf>
    <xf numFmtId="0" fontId="63" fillId="3" borderId="62" xfId="32" applyNumberFormat="1" applyFont="1" applyFill="1" applyBorder="1" applyAlignment="1" applyProtection="1">
      <alignment vertical="center"/>
      <protection locked="0"/>
    </xf>
    <xf numFmtId="0" fontId="63" fillId="3" borderId="0" xfId="32" applyNumberFormat="1" applyFont="1" applyFill="1" applyAlignment="1" applyProtection="1">
      <alignment horizontal="left" vertical="center"/>
      <protection locked="0"/>
    </xf>
    <xf numFmtId="0" fontId="63" fillId="3" borderId="64" xfId="32" applyNumberFormat="1" applyFont="1" applyFill="1" applyBorder="1" applyAlignment="1" applyProtection="1">
      <alignment vertical="center"/>
      <protection locked="0"/>
    </xf>
    <xf numFmtId="0" fontId="63" fillId="3" borderId="65" xfId="32" applyNumberFormat="1" applyFont="1" applyFill="1" applyBorder="1" applyProtection="1">
      <protection locked="0"/>
    </xf>
    <xf numFmtId="0" fontId="63" fillId="3" borderId="66" xfId="32" applyNumberFormat="1" applyFont="1" applyFill="1" applyBorder="1" applyAlignment="1" applyProtection="1">
      <alignment vertical="center"/>
      <protection locked="0"/>
    </xf>
    <xf numFmtId="0" fontId="63" fillId="3" borderId="67" xfId="32" applyNumberFormat="1" applyFont="1" applyFill="1" applyBorder="1" applyProtection="1">
      <protection locked="0"/>
    </xf>
    <xf numFmtId="0" fontId="62" fillId="3" borderId="0" xfId="32" applyNumberFormat="1" applyFont="1" applyFill="1" applyAlignment="1" applyProtection="1">
      <alignment horizontal="left"/>
      <protection locked="0"/>
    </xf>
    <xf numFmtId="0" fontId="136" fillId="3" borderId="0" xfId="3" applyNumberFormat="1" applyFont="1" applyFill="1" applyAlignment="1" applyProtection="1">
      <alignment vertical="center"/>
      <protection locked="0"/>
    </xf>
    <xf numFmtId="0" fontId="63" fillId="3" borderId="0" xfId="33" applyNumberFormat="1" applyFont="1" applyFill="1" applyBorder="1" applyAlignment="1" applyProtection="1">
      <alignment vertical="center"/>
      <protection locked="0"/>
    </xf>
    <xf numFmtId="0" fontId="137" fillId="3" borderId="0" xfId="32" applyNumberFormat="1" applyFont="1" applyFill="1" applyAlignment="1">
      <alignment vertical="center"/>
    </xf>
    <xf numFmtId="0" fontId="63" fillId="2" borderId="0" xfId="32" applyNumberFormat="1" applyFont="1" applyFill="1" applyAlignment="1" applyProtection="1">
      <alignment horizontal="center" vertical="center" wrapText="1"/>
      <protection locked="0"/>
    </xf>
    <xf numFmtId="0" fontId="138" fillId="3" borderId="0" xfId="14" applyNumberFormat="1" applyFont="1" applyFill="1" applyBorder="1" applyAlignment="1">
      <alignment horizontal="right" vertical="center" wrapText="1"/>
    </xf>
    <xf numFmtId="0" fontId="63" fillId="16" borderId="0" xfId="32" applyNumberFormat="1" applyFont="1" applyFill="1" applyAlignment="1" applyProtection="1">
      <alignment horizontal="center" vertical="center" wrapText="1"/>
      <protection locked="0"/>
    </xf>
    <xf numFmtId="0" fontId="139" fillId="3" borderId="0" xfId="32" applyNumberFormat="1" applyFont="1" applyFill="1" applyAlignment="1">
      <alignment horizontal="right" vertical="center" wrapText="1"/>
    </xf>
    <xf numFmtId="0" fontId="63" fillId="2" borderId="30" xfId="32" applyNumberFormat="1" applyFont="1" applyFill="1" applyBorder="1" applyAlignment="1" applyProtection="1">
      <alignment horizontal="center" vertical="center" wrapText="1"/>
      <protection locked="0"/>
    </xf>
    <xf numFmtId="0" fontId="129" fillId="2" borderId="0" xfId="32" applyNumberFormat="1" applyFont="1" applyFill="1" applyAlignment="1" applyProtection="1">
      <alignment vertical="center"/>
      <protection locked="0"/>
    </xf>
    <xf numFmtId="0" fontId="130" fillId="3" borderId="0" xfId="14" applyNumberFormat="1" applyFont="1" applyFill="1" applyBorder="1" applyAlignment="1">
      <alignment horizontal="right" vertical="center" wrapText="1"/>
    </xf>
    <xf numFmtId="0" fontId="63" fillId="25" borderId="0" xfId="32" applyNumberFormat="1" applyFont="1" applyFill="1" applyAlignment="1" applyProtection="1">
      <alignment horizontal="center" vertical="center" wrapText="1"/>
      <protection locked="0"/>
    </xf>
    <xf numFmtId="0" fontId="63" fillId="2" borderId="0" xfId="32" applyNumberFormat="1" applyFont="1" applyFill="1" applyAlignment="1" applyProtection="1">
      <alignment vertical="center"/>
      <protection locked="0"/>
    </xf>
    <xf numFmtId="0" fontId="140" fillId="3" borderId="0" xfId="32" applyNumberFormat="1" applyFont="1" applyFill="1" applyAlignment="1">
      <alignment vertical="center"/>
    </xf>
    <xf numFmtId="0" fontId="141" fillId="3" borderId="0" xfId="3" applyNumberFormat="1" applyFont="1" applyFill="1" applyBorder="1" applyAlignment="1" applyProtection="1">
      <alignment vertical="center"/>
      <protection locked="0"/>
    </xf>
    <xf numFmtId="0" fontId="129" fillId="3" borderId="0" xfId="32" applyNumberFormat="1" applyFont="1" applyFill="1" applyAlignment="1" applyProtection="1">
      <alignment wrapText="1"/>
      <protection locked="0"/>
    </xf>
    <xf numFmtId="0" fontId="142" fillId="3" borderId="0" xfId="32" applyNumberFormat="1" applyFont="1" applyFill="1" applyProtection="1">
      <protection locked="0"/>
    </xf>
    <xf numFmtId="0" fontId="62" fillId="3" borderId="0" xfId="32" applyNumberFormat="1" applyFont="1" applyFill="1" applyAlignment="1" applyProtection="1">
      <alignment vertical="center"/>
      <protection locked="0"/>
    </xf>
    <xf numFmtId="180" fontId="1" fillId="8" borderId="30" xfId="0" applyNumberFormat="1" applyFont="1" applyFill="1" applyBorder="1" applyAlignment="1">
      <alignment horizontal="center" vertical="center"/>
    </xf>
    <xf numFmtId="0" fontId="161" fillId="4" borderId="5" xfId="0" applyFont="1" applyFill="1" applyBorder="1" applyAlignment="1">
      <alignment horizontal="left" vertical="center"/>
    </xf>
    <xf numFmtId="188" fontId="16" fillId="0" borderId="0" xfId="0" applyNumberFormat="1" applyFont="1" applyAlignment="1">
      <alignment horizontal="left" vertical="center"/>
    </xf>
    <xf numFmtId="180" fontId="13" fillId="2" borderId="0" xfId="0" applyNumberFormat="1" applyFont="1" applyFill="1" applyAlignment="1">
      <alignment horizontal="left" vertical="center"/>
    </xf>
    <xf numFmtId="180" fontId="4" fillId="4" borderId="0" xfId="0" applyNumberFormat="1" applyFont="1" applyFill="1" applyAlignment="1">
      <alignment horizontal="left" vertical="center" readingOrder="1"/>
    </xf>
    <xf numFmtId="180" fontId="4" fillId="4" borderId="0" xfId="0" applyNumberFormat="1" applyFont="1" applyFill="1" applyAlignment="1">
      <alignment vertical="center" readingOrder="1"/>
    </xf>
    <xf numFmtId="0" fontId="70" fillId="2" borderId="9" xfId="0" applyFont="1" applyFill="1" applyBorder="1" applyAlignment="1">
      <alignment horizontal="left" vertical="center"/>
    </xf>
    <xf numFmtId="185" fontId="1" fillId="2" borderId="0" xfId="0" applyNumberFormat="1" applyFont="1" applyFill="1" applyAlignment="1">
      <alignment horizontal="center" vertical="center"/>
    </xf>
    <xf numFmtId="185" fontId="1" fillId="2" borderId="0" xfId="0" applyNumberFormat="1" applyFont="1" applyFill="1" applyAlignment="1">
      <alignment horizontal="right" vertical="center"/>
    </xf>
    <xf numFmtId="185" fontId="1" fillId="2" borderId="0" xfId="1" applyNumberFormat="1" applyFont="1" applyFill="1" applyBorder="1" applyAlignment="1">
      <alignment horizontal="right" vertical="center"/>
    </xf>
    <xf numFmtId="185" fontId="1" fillId="2" borderId="0" xfId="0" applyNumberFormat="1" applyFont="1" applyFill="1">
      <alignment vertical="center"/>
    </xf>
    <xf numFmtId="193" fontId="1" fillId="2" borderId="0" xfId="0" applyNumberFormat="1" applyFont="1" applyFill="1" applyAlignment="1">
      <alignment horizontal="right" vertical="center"/>
    </xf>
    <xf numFmtId="193" fontId="1" fillId="2" borderId="0" xfId="0" applyNumberFormat="1" applyFont="1" applyFill="1">
      <alignment vertical="center"/>
    </xf>
    <xf numFmtId="182" fontId="9" fillId="2" borderId="0" xfId="1" applyNumberFormat="1" applyFont="1" applyFill="1" applyBorder="1" applyAlignment="1">
      <alignment vertical="center"/>
    </xf>
    <xf numFmtId="193" fontId="1" fillId="2" borderId="0" xfId="1" applyNumberFormat="1" applyFont="1" applyFill="1" applyBorder="1" applyAlignment="1">
      <alignment horizontal="right" vertical="center"/>
    </xf>
    <xf numFmtId="0" fontId="34" fillId="2" borderId="0" xfId="0" applyFont="1" applyFill="1">
      <alignment vertical="center"/>
    </xf>
    <xf numFmtId="185" fontId="16" fillId="2" borderId="0" xfId="0" applyNumberFormat="1" applyFont="1" applyFill="1">
      <alignment vertical="center"/>
    </xf>
    <xf numFmtId="194" fontId="1" fillId="2" borderId="0" xfId="1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left" vertical="center"/>
    </xf>
    <xf numFmtId="185" fontId="1" fillId="2" borderId="6" xfId="1" applyNumberFormat="1" applyFont="1" applyFill="1" applyBorder="1" applyAlignment="1">
      <alignment horizontal="right" vertical="center"/>
    </xf>
    <xf numFmtId="188" fontId="1" fillId="2" borderId="0" xfId="1" applyNumberFormat="1" applyFont="1" applyFill="1" applyBorder="1" applyAlignment="1">
      <alignment horizontal="right" vertical="center"/>
    </xf>
    <xf numFmtId="183" fontId="16" fillId="2" borderId="0" xfId="0" applyNumberFormat="1" applyFont="1" applyFill="1">
      <alignment vertical="center"/>
    </xf>
    <xf numFmtId="182" fontId="5" fillId="2" borderId="0" xfId="0" applyNumberFormat="1" applyFont="1" applyFill="1">
      <alignment vertical="center"/>
    </xf>
    <xf numFmtId="188" fontId="16" fillId="2" borderId="0" xfId="1" applyNumberFormat="1" applyFont="1" applyFill="1" applyBorder="1" applyAlignment="1">
      <alignment horizontal="right" vertical="center"/>
    </xf>
    <xf numFmtId="188" fontId="16" fillId="2" borderId="0" xfId="0" applyNumberFormat="1" applyFont="1" applyFill="1" applyAlignment="1">
      <alignment horizontal="right" vertical="center"/>
    </xf>
    <xf numFmtId="182" fontId="9" fillId="2" borderId="0" xfId="0" applyNumberFormat="1" applyFont="1" applyFill="1">
      <alignment vertical="center"/>
    </xf>
    <xf numFmtId="0" fontId="71" fillId="2" borderId="0" xfId="0" applyFont="1" applyFill="1">
      <alignment vertical="center"/>
    </xf>
    <xf numFmtId="188" fontId="71" fillId="2" borderId="0" xfId="0" applyNumberFormat="1" applyFont="1" applyFill="1" applyAlignment="1">
      <alignment horizontal="right" vertical="center"/>
    </xf>
    <xf numFmtId="180" fontId="9" fillId="2" borderId="0" xfId="0" applyNumberFormat="1" applyFont="1" applyFill="1">
      <alignment vertical="center"/>
    </xf>
    <xf numFmtId="183" fontId="16" fillId="2" borderId="0" xfId="0" applyNumberFormat="1" applyFont="1" applyFill="1" applyAlignment="1">
      <alignment horizontal="left" vertical="center"/>
    </xf>
    <xf numFmtId="180" fontId="4" fillId="2" borderId="0" xfId="0" applyNumberFormat="1" applyFont="1" applyFill="1">
      <alignment vertical="center"/>
    </xf>
    <xf numFmtId="195" fontId="5" fillId="2" borderId="0" xfId="0" applyNumberFormat="1" applyFont="1" applyFill="1">
      <alignment vertical="center"/>
    </xf>
    <xf numFmtId="185" fontId="72" fillId="2" borderId="6" xfId="2" applyNumberFormat="1" applyFont="1" applyFill="1" applyBorder="1" applyAlignment="1">
      <alignment horizontal="right" vertical="center"/>
    </xf>
    <xf numFmtId="182" fontId="9" fillId="2" borderId="9" xfId="1" applyNumberFormat="1" applyFont="1" applyFill="1" applyBorder="1" applyAlignment="1">
      <alignment vertical="center"/>
    </xf>
    <xf numFmtId="185" fontId="72" fillId="2" borderId="5" xfId="2" applyNumberFormat="1" applyFont="1" applyFill="1" applyBorder="1" applyAlignment="1">
      <alignment horizontal="right" vertical="center"/>
    </xf>
    <xf numFmtId="0" fontId="5" fillId="2" borderId="5" xfId="0" applyFont="1" applyFill="1" applyBorder="1">
      <alignment vertical="center"/>
    </xf>
    <xf numFmtId="182" fontId="5" fillId="2" borderId="6" xfId="1" applyNumberFormat="1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180" fontId="1" fillId="0" borderId="0" xfId="0" applyNumberFormat="1" applyFont="1">
      <alignment vertical="center"/>
    </xf>
    <xf numFmtId="183" fontId="9" fillId="0" borderId="0" xfId="0" applyNumberFormat="1" applyFont="1" applyAlignment="1">
      <alignment horizontal="right" vertical="center"/>
    </xf>
    <xf numFmtId="180" fontId="1" fillId="0" borderId="5" xfId="0" applyNumberFormat="1" applyFont="1" applyBorder="1" applyAlignment="1">
      <alignment horizontal="right" vertical="center"/>
    </xf>
    <xf numFmtId="180" fontId="1" fillId="2" borderId="5" xfId="0" applyNumberFormat="1" applyFont="1" applyFill="1" applyBorder="1" applyAlignment="1">
      <alignment horizontal="right" vertical="center"/>
    </xf>
    <xf numFmtId="188" fontId="16" fillId="0" borderId="0" xfId="0" applyNumberFormat="1" applyFont="1" applyAlignment="1">
      <alignment horizontal="right" vertical="center"/>
    </xf>
    <xf numFmtId="180" fontId="16" fillId="0" borderId="0" xfId="0" applyNumberFormat="1" applyFont="1" applyAlignment="1">
      <alignment horizontal="right" vertical="center"/>
    </xf>
    <xf numFmtId="188" fontId="5" fillId="2" borderId="0" xfId="0" applyNumberFormat="1" applyFont="1" applyFill="1">
      <alignment vertical="center"/>
    </xf>
    <xf numFmtId="188" fontId="11" fillId="16" borderId="0" xfId="0" applyNumberFormat="1" applyFont="1" applyFill="1" applyAlignment="1">
      <alignment horizontal="right" vertical="center"/>
    </xf>
    <xf numFmtId="188" fontId="5" fillId="2" borderId="0" xfId="0" applyNumberFormat="1" applyFont="1" applyFill="1" applyAlignment="1">
      <alignment horizontal="right" vertical="center"/>
    </xf>
    <xf numFmtId="183" fontId="73" fillId="0" borderId="0" xfId="0" applyNumberFormat="1" applyFont="1" applyAlignment="1">
      <alignment horizontal="right" vertical="center"/>
    </xf>
    <xf numFmtId="180" fontId="73" fillId="0" borderId="0" xfId="0" applyNumberFormat="1" applyFont="1" applyAlignment="1">
      <alignment horizontal="right" vertical="center"/>
    </xf>
    <xf numFmtId="183" fontId="115" fillId="6" borderId="0" xfId="0" applyNumberFormat="1" applyFont="1" applyFill="1">
      <alignment vertical="center"/>
    </xf>
    <xf numFmtId="183" fontId="3" fillId="2" borderId="0" xfId="0" applyNumberFormat="1" applyFont="1" applyFill="1">
      <alignment vertical="center"/>
    </xf>
    <xf numFmtId="0" fontId="5" fillId="18" borderId="0" xfId="0" applyFont="1" applyFill="1">
      <alignment vertical="center"/>
    </xf>
    <xf numFmtId="0" fontId="154" fillId="4" borderId="0" xfId="0" applyFont="1" applyFill="1" applyAlignment="1">
      <alignment horizontal="center" vertical="center"/>
    </xf>
    <xf numFmtId="184" fontId="29" fillId="2" borderId="0" xfId="0" applyNumberFormat="1" applyFont="1" applyFill="1" applyAlignment="1">
      <alignment horizontal="center" vertical="center"/>
    </xf>
    <xf numFmtId="0" fontId="49" fillId="2" borderId="0" xfId="0" applyFont="1" applyFill="1">
      <alignment vertical="center"/>
    </xf>
    <xf numFmtId="0" fontId="163" fillId="2" borderId="0" xfId="0" applyFont="1" applyFill="1" applyAlignment="1">
      <alignment horizontal="left" vertical="center"/>
    </xf>
    <xf numFmtId="183" fontId="163" fillId="2" borderId="0" xfId="0" applyNumberFormat="1" applyFont="1" applyFill="1" applyAlignment="1">
      <alignment horizontal="left" vertical="center"/>
    </xf>
    <xf numFmtId="183" fontId="115" fillId="2" borderId="0" xfId="0" applyNumberFormat="1" applyFont="1" applyFill="1" applyAlignment="1">
      <alignment horizontal="right" vertical="center"/>
    </xf>
    <xf numFmtId="183" fontId="49" fillId="2" borderId="0" xfId="0" applyNumberFormat="1" applyFont="1" applyFill="1">
      <alignment vertical="center"/>
    </xf>
    <xf numFmtId="0" fontId="164" fillId="2" borderId="0" xfId="0" applyFont="1" applyFill="1">
      <alignment vertical="center"/>
    </xf>
    <xf numFmtId="0" fontId="113" fillId="18" borderId="0" xfId="0" applyFont="1" applyFill="1" applyAlignment="1">
      <alignment horizontal="left" vertical="center" indent="1"/>
    </xf>
    <xf numFmtId="0" fontId="113" fillId="2" borderId="0" xfId="0" applyFont="1" applyFill="1" applyAlignment="1">
      <alignment horizontal="left" vertical="center"/>
    </xf>
    <xf numFmtId="10" fontId="106" fillId="18" borderId="0" xfId="0" applyNumberFormat="1" applyFont="1" applyFill="1" applyAlignment="1">
      <alignment horizontal="right" vertical="center"/>
    </xf>
    <xf numFmtId="10" fontId="106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183" fontId="2" fillId="2" borderId="0" xfId="0" applyNumberFormat="1" applyFont="1" applyFill="1" applyAlignment="1">
      <alignment horizontal="left" vertical="center"/>
    </xf>
    <xf numFmtId="10" fontId="115" fillId="2" borderId="0" xfId="2" applyNumberFormat="1" applyFont="1" applyFill="1" applyAlignment="1">
      <alignment horizontal="right" vertical="center"/>
    </xf>
    <xf numFmtId="209" fontId="3" fillId="18" borderId="0" xfId="0" applyNumberFormat="1" applyFont="1" applyFill="1" applyAlignment="1">
      <alignment horizontal="right" vertical="center"/>
    </xf>
    <xf numFmtId="10" fontId="3" fillId="18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0" fontId="16" fillId="7" borderId="0" xfId="2" applyNumberFormat="1" applyFont="1" applyFill="1" applyAlignment="1">
      <alignment horizontal="right" vertical="center"/>
    </xf>
    <xf numFmtId="209" fontId="165" fillId="2" borderId="0" xfId="0" applyNumberFormat="1" applyFont="1" applyFill="1" applyAlignment="1">
      <alignment horizontal="right" vertical="center"/>
    </xf>
    <xf numFmtId="0" fontId="166" fillId="2" borderId="0" xfId="0" applyFont="1" applyFill="1" applyAlignment="1">
      <alignment horizontal="left" vertical="center" indent="1"/>
    </xf>
    <xf numFmtId="0" fontId="167" fillId="2" borderId="0" xfId="0" applyFont="1" applyFill="1" applyAlignment="1">
      <alignment horizontal="left" vertical="center"/>
    </xf>
    <xf numFmtId="10" fontId="168" fillId="2" borderId="0" xfId="0" applyNumberFormat="1" applyFont="1" applyFill="1" applyAlignment="1">
      <alignment horizontal="right" vertical="center"/>
    </xf>
    <xf numFmtId="0" fontId="169" fillId="2" borderId="0" xfId="0" applyFont="1" applyFill="1" applyAlignment="1">
      <alignment horizontal="left" vertical="center"/>
    </xf>
    <xf numFmtId="209" fontId="170" fillId="2" borderId="0" xfId="0" applyNumberFormat="1" applyFont="1" applyFill="1" applyAlignment="1">
      <alignment horizontal="right" vertical="center"/>
    </xf>
    <xf numFmtId="0" fontId="165" fillId="2" borderId="0" xfId="0" applyFont="1" applyFill="1" applyAlignment="1">
      <alignment horizontal="left" vertical="center" indent="1"/>
    </xf>
    <xf numFmtId="0" fontId="165" fillId="2" borderId="0" xfId="0" applyFont="1" applyFill="1" applyAlignment="1">
      <alignment horizontal="left" vertical="center"/>
    </xf>
    <xf numFmtId="209" fontId="171" fillId="2" borderId="0" xfId="0" applyNumberFormat="1" applyFont="1" applyFill="1" applyAlignment="1">
      <alignment horizontal="right" vertical="center"/>
    </xf>
    <xf numFmtId="43" fontId="1" fillId="2" borderId="0" xfId="0" applyNumberFormat="1" applyFont="1" applyFill="1" applyAlignment="1">
      <alignment horizontal="right" vertical="center"/>
    </xf>
    <xf numFmtId="10" fontId="16" fillId="2" borderId="0" xfId="2" applyNumberFormat="1" applyFont="1" applyFill="1" applyAlignment="1">
      <alignment horizontal="right" vertical="center"/>
    </xf>
    <xf numFmtId="10" fontId="171" fillId="2" borderId="0" xfId="0" applyNumberFormat="1" applyFont="1" applyFill="1" applyAlignment="1">
      <alignment horizontal="right" vertical="center"/>
    </xf>
    <xf numFmtId="0" fontId="29" fillId="2" borderId="0" xfId="0" applyFont="1" applyFill="1" applyAlignment="1">
      <alignment horizontal="center" vertical="center"/>
    </xf>
    <xf numFmtId="0" fontId="66" fillId="18" borderId="0" xfId="0" applyFont="1" applyFill="1">
      <alignment vertical="center"/>
    </xf>
    <xf numFmtId="0" fontId="64" fillId="18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63" fillId="3" borderId="0" xfId="32" applyNumberFormat="1" applyFont="1" applyFill="1" applyAlignment="1" applyProtection="1">
      <alignment horizontal="left" vertical="center" wrapText="1"/>
      <protection locked="0"/>
    </xf>
    <xf numFmtId="0" fontId="74" fillId="2" borderId="0" xfId="0" applyFont="1" applyFill="1" applyAlignment="1">
      <alignment horizontal="left" vertical="center" wrapText="1"/>
    </xf>
    <xf numFmtId="0" fontId="51" fillId="2" borderId="0" xfId="0" applyFont="1" applyFill="1" applyAlignment="1">
      <alignment horizontal="left" vertical="center" wrapText="1"/>
    </xf>
    <xf numFmtId="0" fontId="51" fillId="2" borderId="0" xfId="0" applyFont="1" applyFill="1" applyAlignment="1">
      <alignment horizontal="left" vertical="top" wrapText="1"/>
    </xf>
    <xf numFmtId="206" fontId="5" fillId="11" borderId="32" xfId="0" applyNumberFormat="1" applyFont="1" applyFill="1" applyBorder="1" applyAlignment="1" applyProtection="1">
      <alignment horizontal="center" vertical="center"/>
      <protection locked="0"/>
    </xf>
    <xf numFmtId="206" fontId="5" fillId="11" borderId="48" xfId="0" applyNumberFormat="1" applyFont="1" applyFill="1" applyBorder="1" applyAlignment="1" applyProtection="1">
      <alignment horizontal="center" vertical="center"/>
      <protection locked="0"/>
    </xf>
    <xf numFmtId="206" fontId="5" fillId="21" borderId="32" xfId="0" applyNumberFormat="1" applyFont="1" applyFill="1" applyBorder="1" applyAlignment="1" applyProtection="1">
      <alignment horizontal="center" vertical="center"/>
      <protection locked="0"/>
    </xf>
    <xf numFmtId="206" fontId="5" fillId="21" borderId="48" xfId="0" applyNumberFormat="1" applyFont="1" applyFill="1" applyBorder="1" applyAlignment="1" applyProtection="1">
      <alignment horizontal="center" vertical="center"/>
      <protection locked="0"/>
    </xf>
    <xf numFmtId="0" fontId="51" fillId="0" borderId="0" xfId="0" applyFont="1" applyAlignment="1">
      <alignment horizontal="left" vertical="center" wrapText="1"/>
    </xf>
    <xf numFmtId="180" fontId="69" fillId="4" borderId="0" xfId="0" applyNumberFormat="1" applyFont="1" applyFill="1" applyAlignment="1">
      <alignment horizontal="left" vertical="center" readingOrder="1"/>
    </xf>
    <xf numFmtId="180" fontId="4" fillId="4" borderId="0" xfId="0" applyNumberFormat="1" applyFont="1" applyFill="1" applyAlignment="1">
      <alignment horizontal="left" vertical="center" readingOrder="1"/>
    </xf>
    <xf numFmtId="0" fontId="5" fillId="0" borderId="3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80" fontId="39" fillId="4" borderId="0" xfId="0" applyNumberFormat="1" applyFont="1" applyFill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0" fontId="21" fillId="9" borderId="16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84" fontId="16" fillId="7" borderId="10" xfId="0" applyNumberFormat="1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1" fillId="9" borderId="19" xfId="0" applyFont="1" applyFill="1" applyBorder="1" applyAlignment="1">
      <alignment horizontal="center" vertical="center"/>
    </xf>
    <xf numFmtId="183" fontId="34" fillId="2" borderId="0" xfId="1" applyNumberFormat="1" applyFont="1" applyFill="1" applyBorder="1" applyAlignment="1">
      <alignment horizontal="left" vertical="center" wrapText="1"/>
    </xf>
  </cellXfs>
  <cellStyles count="45">
    <cellStyle name="Bookman Top Border" xfId="4" xr:uid="{00000000-0005-0000-0000-000000000000}"/>
    <cellStyle name="Calc_Title" xfId="5" xr:uid="{00000000-0005-0000-0000-000001000000}"/>
    <cellStyle name="Comma_Elecsam" xfId="6" xr:uid="{00000000-0005-0000-0000-000002000000}"/>
    <cellStyle name="Data_1dp" xfId="7" xr:uid="{00000000-0005-0000-0000-000003000000}"/>
    <cellStyle name="Info_Main" xfId="8" xr:uid="{00000000-0005-0000-0000-000004000000}"/>
    <cellStyle name="Normal_Elecsam" xfId="9" xr:uid="{00000000-0005-0000-0000-000005000000}"/>
    <cellStyle name="百分比" xfId="2" builtinId="5"/>
    <cellStyle name="百分比 2" xfId="10" xr:uid="{00000000-0005-0000-0000-000007000000}"/>
    <cellStyle name="百分比 2 2" xfId="11" xr:uid="{00000000-0005-0000-0000-000008000000}"/>
    <cellStyle name="百分比 3" xfId="12" xr:uid="{00000000-0005-0000-0000-000009000000}"/>
    <cellStyle name="百分比 4" xfId="13" xr:uid="{00000000-0005-0000-0000-00000A000000}"/>
    <cellStyle name="百分比_副本深圳天软科技DCF估值和DDM估值模版-破解" xfId="14" xr:uid="{00000000-0005-0000-0000-00000B000000}"/>
    <cellStyle name="表头样式" xfId="15" xr:uid="{00000000-0005-0000-0000-00000C000000}"/>
    <cellStyle name="常规" xfId="0" builtinId="0"/>
    <cellStyle name="常规 10" xfId="16" xr:uid="{00000000-0005-0000-0000-00000E000000}"/>
    <cellStyle name="常规 10 2" xfId="17" xr:uid="{00000000-0005-0000-0000-00000F000000}"/>
    <cellStyle name="常规 11" xfId="18" xr:uid="{00000000-0005-0000-0000-000010000000}"/>
    <cellStyle name="常规 12" xfId="19" xr:uid="{00000000-0005-0000-0000-000011000000}"/>
    <cellStyle name="常规 2" xfId="20" xr:uid="{00000000-0005-0000-0000-000012000000}"/>
    <cellStyle name="常规 2 2" xfId="21" xr:uid="{00000000-0005-0000-0000-000013000000}"/>
    <cellStyle name="常规 2 3" xfId="22" xr:uid="{00000000-0005-0000-0000-000014000000}"/>
    <cellStyle name="常规 3" xfId="23" xr:uid="{00000000-0005-0000-0000-000015000000}"/>
    <cellStyle name="常规 4" xfId="24" xr:uid="{00000000-0005-0000-0000-000016000000}"/>
    <cellStyle name="常规 5" xfId="25" xr:uid="{00000000-0005-0000-0000-000017000000}"/>
    <cellStyle name="常规 6" xfId="26" xr:uid="{00000000-0005-0000-0000-000018000000}"/>
    <cellStyle name="常规 7" xfId="27" xr:uid="{00000000-0005-0000-0000-000019000000}"/>
    <cellStyle name="常规 7 2" xfId="28" xr:uid="{00000000-0005-0000-0000-00001A000000}"/>
    <cellStyle name="常规 8" xfId="29" xr:uid="{00000000-0005-0000-0000-00001B000000}"/>
    <cellStyle name="常规 9" xfId="30" xr:uid="{00000000-0005-0000-0000-00001C000000}"/>
    <cellStyle name="常规_财务基础数据" xfId="31" xr:uid="{00000000-0005-0000-0000-00001D000000}"/>
    <cellStyle name="常规_副本深圳天软科技DCF估值和DDM估值模版-破解" xfId="32" xr:uid="{00000000-0005-0000-0000-00001E000000}"/>
    <cellStyle name="常规_新会计准则估值模型gtjanew" xfId="33" xr:uid="{00000000-0005-0000-0000-00001F000000}"/>
    <cellStyle name="超链接" xfId="3" builtinId="8"/>
    <cellStyle name="超链接 2" xfId="34" xr:uid="{00000000-0005-0000-0000-000021000000}"/>
    <cellStyle name="超链接 3" xfId="35" xr:uid="{00000000-0005-0000-0000-000022000000}"/>
    <cellStyle name="合并单元格样式" xfId="36" xr:uid="{00000000-0005-0000-0000-000023000000}"/>
    <cellStyle name="偶数行样式" xfId="37" xr:uid="{00000000-0005-0000-0000-000024000000}"/>
    <cellStyle name="奇数行样式" xfId="38" xr:uid="{00000000-0005-0000-0000-000025000000}"/>
    <cellStyle name="千位分隔" xfId="1" builtinId="3"/>
    <cellStyle name="千位分隔 2" xfId="39" xr:uid="{00000000-0005-0000-0000-000027000000}"/>
    <cellStyle name="千位分隔 3" xfId="40" xr:uid="{00000000-0005-0000-0000-000028000000}"/>
    <cellStyle name="千位分隔 4" xfId="41" xr:uid="{00000000-0005-0000-0000-000029000000}"/>
    <cellStyle name="千位分隔 5" xfId="42" xr:uid="{00000000-0005-0000-0000-00002A000000}"/>
    <cellStyle name="样式 1" xfId="43" xr:uid="{00000000-0005-0000-0000-00002B000000}"/>
    <cellStyle name="预测百分比" xfId="44" xr:uid="{00000000-0005-0000-0000-00002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7E4F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</xdr:row>
      <xdr:rowOff>107315</xdr:rowOff>
    </xdr:from>
    <xdr:to>
      <xdr:col>1</xdr:col>
      <xdr:colOff>1090930</xdr:colOff>
      <xdr:row>3</xdr:row>
      <xdr:rowOff>90805</xdr:rowOff>
    </xdr:to>
    <xdr:pic>
      <xdr:nvPicPr>
        <xdr:cNvPr id="4" name="Picture 9" descr="复件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2475" y="309880"/>
          <a:ext cx="567055" cy="497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461962</xdr:colOff>
      <xdr:row>16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0119995" y="324104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40005</xdr:colOff>
      <xdr:row>2</xdr:row>
      <xdr:rowOff>83185</xdr:rowOff>
    </xdr:from>
    <xdr:ext cx="1154430" cy="3568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B00-000003000000}"/>
                </a:ext>
              </a:extLst>
            </xdr:cNvPr>
            <xdr:cNvSpPr txBox="1"/>
          </xdr:nvSpPr>
          <xdr:spPr>
            <a:xfrm>
              <a:off x="5802630" y="488315"/>
              <a:ext cx="1154430" cy="35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m:rPr>
                            <m:sty m:val="p"/>
                          </m:rPr>
                          <a:rPr lang="en-US" altLang="zh-CN" sz="1100" b="0" i="1">
                            <a:latin typeface="Cambria Math" panose="02040503050406030204" pitchFamily="18" charset="0"/>
                          </a:rPr>
                          <m:t>ov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Sup>
                          <m:sSub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zh-CN" altLang="en-US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:r="http://schemas.openxmlformats.org/officeDocument/2006/relationships" xmlns="">
        <xdr:sp>
          <xdr:nvSpPr>
            <xdr:cNvPr id="3" name="文本框 2"/>
            <xdr:cNvSpPr txBox="1"/>
          </xdr:nvSpPr>
          <xdr:spPr>
            <a:xfrm>
              <a:off x="5802630" y="488315"/>
              <a:ext cx="1154430" cy="35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𝛽</a:t>
              </a:r>
              <a:r>
                <a:rPr lang="en-US" altLang="zh-CN" sz="1100" b="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𝐶</a:t>
              </a:r>
              <a:r>
                <a:rPr lang="en-US" altLang="zh-CN" sz="1100" b="0">
                  <a:latin typeface="Cambria Math" panose="02040503050406030204" pitchFamily="18" charset="0"/>
                </a:rPr>
                <a:t>ov</a:t>
              </a:r>
              <a:r>
                <a:rPr lang="en-US" altLang="zh-CN" sz="1100" b="0">
                  <a:latin typeface="Cambria Math" panose="02040503050406030204" pitchFamily="18" charset="0"/>
                </a:rPr>
                <a:t>(</a:t>
              </a:r>
              <a:r>
                <a:rPr lang="en-US" altLang="zh-CN" sz="1100" b="0">
                  <a:latin typeface="Cambria Math" panose="02040503050406030204" pitchFamily="18" charset="0"/>
                </a:rPr>
                <a:t>𝑟</a:t>
              </a:r>
              <a:r>
                <a:rPr lang="en-US" altLang="zh-CN" sz="1100" b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𝑎</a:t>
              </a:r>
              <a:r>
                <a:rPr lang="en-US" altLang="zh-CN" sz="1100" b="0">
                  <a:latin typeface="Cambria Math" panose="02040503050406030204" pitchFamily="18" charset="0"/>
                </a:rPr>
                <a:t>,</a:t>
              </a:r>
              <a:r>
                <a:rPr lang="en-US" altLang="zh-CN" sz="1100" b="0">
                  <a:latin typeface="Cambria Math" panose="02040503050406030204" pitchFamily="18" charset="0"/>
                </a:rPr>
                <a:t>𝑟</a:t>
              </a:r>
              <a:r>
                <a:rPr lang="en-US" altLang="zh-CN" sz="1100" b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𝑚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zh-CN" altLang="en-US" sz="1100" b="0">
                  <a:latin typeface="Cambria Math" panose="02040503050406030204" pitchFamily="18" charset="0"/>
                </a:rPr>
                <a:t>𝜎</a:t>
              </a:r>
              <a:r>
                <a:rPr lang="en-US" altLang="zh-CN" sz="1100" b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𝑚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55245</xdr:colOff>
      <xdr:row>4</xdr:row>
      <xdr:rowOff>127000</xdr:rowOff>
    </xdr:from>
    <xdr:ext cx="1931670" cy="6286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SpPr txBox="1"/>
          </xdr:nvSpPr>
          <xdr:spPr>
            <a:xfrm>
              <a:off x="5817870" y="937260"/>
              <a:ext cx="1931670" cy="628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其中：</a:t>
              </a:r>
              <a14:m>
                <m:oMath xmlns:m="http://schemas.openxmlformats.org/officeDocument/2006/math">
                  <m:r>
                    <a:rPr lang="en-US" altLang="zh-CN" sz="1100" b="0" i="1">
                      <a:latin typeface="Cambria Math" panose="02040503050406030204" pitchFamily="18" charset="0"/>
                    </a:rPr>
                    <m:t>𝐶𝑜𝑣</m:t>
                  </m:r>
                  <m:d>
                    <m:dPr>
                      <m:ctrlPr>
                        <a:rPr lang="en-US" altLang="zh-CN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altLang="zh-CN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zh-CN" sz="1100" b="0" i="1">
                              <a:latin typeface="Cambria Math" panose="02040503050406030204" pitchFamily="18" charset="0"/>
                            </a:rPr>
                            <m:t>𝑟</m:t>
                          </m:r>
                        </m:e>
                        <m:sub>
                          <m:r>
                            <a:rPr lang="en-US" altLang="zh-CN" sz="11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sub>
                      </m:sSub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altLang="zh-CN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zh-CN" sz="1100" b="0" i="1">
                              <a:latin typeface="Cambria Math" panose="02040503050406030204" pitchFamily="18" charset="0"/>
                            </a:rPr>
                            <m:t>𝑟</m:t>
                          </m:r>
                        </m:e>
                        <m:sub>
                          <m:r>
                            <a:rPr lang="en-US" altLang="zh-CN" sz="1100" b="0" i="1">
                              <a:latin typeface="Cambria Math" panose="02040503050406030204" pitchFamily="18" charset="0"/>
                            </a:rPr>
                            <m:t>𝑚</m:t>
                          </m:r>
                        </m:sub>
                      </m:sSub>
                    </m:e>
                  </m:d>
                  <m:r>
                    <a:rPr lang="zh-CN" altLang="en-US" sz="1100" b="0" i="1">
                      <a:latin typeface="Cambria Math" panose="02040503050406030204" pitchFamily="18" charset="0"/>
                    </a:rPr>
                    <m:t>是</m:t>
                  </m:r>
                </m:oMath>
              </a14:m>
              <a:r>
                <a:rPr lang="zh-CN" altLang="en-US" sz="1100"/>
                <a:t>证券</a:t>
              </a:r>
              <a:r>
                <a:rPr lang="en-US" altLang="zh-CN" sz="1100"/>
                <a:t>a</a:t>
              </a:r>
              <a:r>
                <a:rPr lang="zh-CN" altLang="en-US" sz="1100"/>
                <a:t>的收益率</a:t>
              </a:r>
              <a:r>
                <a:rPr lang="zh-CN" altLang="en-US">
                  <a:sym typeface="+mn-ea"/>
                </a:rPr>
                <a:t>和市场收益率的协方差</a:t>
              </a:r>
              <a:r>
                <a:rPr lang="zh-CN" altLang="en-US" sz="1100"/>
                <a:t>；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altLang="zh-CN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zh-CN" altLang="en-US" sz="1100" i="1">
                          <a:latin typeface="Cambria Math" panose="02040503050406030204" pitchFamily="18" charset="0"/>
                        </a:rPr>
                        <m:t>𝜎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1100" i="1">
                          <a:latin typeface="Cambria Math" panose="02040503050406030204" pitchFamily="18" charset="0"/>
                        </a:rPr>
                        <m:t>m</m:t>
                      </m:r>
                    </m:sub>
                    <m:sup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  <m:r>
                    <a:rPr lang="zh-CN" altLang="en-US" sz="1100" i="1">
                      <a:latin typeface="Cambria Math" panose="02040503050406030204" pitchFamily="18" charset="0"/>
                    </a:rPr>
                    <m:t>是</m:t>
                  </m:r>
                  <m:r>
                    <a:rPr lang="zh-CN" altLang="en-US">
                      <a:latin typeface="Cambria Math" panose="02040503050406030204" pitchFamily="18" charset="0"/>
                      <a:sym typeface="+mn-ea"/>
                    </a:rPr>
                    <m:t>市场收益率的方差</m:t>
                  </m:r>
                </m:oMath>
              </a14:m>
              <a:endParaRPr lang="en-US" altLang="zh-CN" sz="1100"/>
            </a:p>
            <a:p>
              <a:endParaRPr lang="zh-CN" altLang="en-US" sz="1100"/>
            </a:p>
          </xdr:txBody>
        </xdr:sp>
      </mc:Choice>
      <mc:Fallback xmlns:r="http://schemas.openxmlformats.org/officeDocument/2006/relationships" xmlns="">
        <xdr:sp>
          <xdr:nvSpPr>
            <xdr:cNvPr id="4" name="文本框 3"/>
            <xdr:cNvSpPr txBox="1"/>
          </xdr:nvSpPr>
          <xdr:spPr>
            <a:xfrm>
              <a:off x="5817870" y="937260"/>
              <a:ext cx="1931670" cy="628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其中：</a:t>
              </a:r>
              <a:r>
                <a:rPr lang="en-US" altLang="zh-CN" sz="1100" b="0">
                  <a:latin typeface="Cambria Math" panose="02040503050406030204" pitchFamily="18" charset="0"/>
                </a:rPr>
                <a:t>𝐶𝑜𝑣</a:t>
              </a:r>
              <a:r>
                <a:rPr lang="en-US" altLang="zh-CN" sz="1100" b="0">
                  <a:latin typeface="Cambria Math" panose="02040503050406030204" pitchFamily="18" charset="0"/>
                </a:rPr>
                <a:t>(</a:t>
              </a:r>
              <a:r>
                <a:rPr lang="en-US" altLang="zh-CN" sz="1100" b="0">
                  <a:latin typeface="Cambria Math" panose="02040503050406030204" pitchFamily="18" charset="0"/>
                </a:rPr>
                <a:t>𝑟</a:t>
              </a:r>
              <a:r>
                <a:rPr lang="en-US" altLang="zh-CN" sz="1100" b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𝑎</a:t>
              </a:r>
              <a:r>
                <a:rPr lang="en-US" altLang="zh-CN" sz="1100" b="0">
                  <a:latin typeface="Cambria Math" panose="02040503050406030204" pitchFamily="18" charset="0"/>
                </a:rPr>
                <a:t>,</a:t>
              </a:r>
              <a:r>
                <a:rPr lang="en-US" altLang="zh-CN" sz="1100" b="0">
                  <a:latin typeface="Cambria Math" panose="02040503050406030204" pitchFamily="18" charset="0"/>
                </a:rPr>
                <a:t>𝑟</a:t>
              </a:r>
              <a:r>
                <a:rPr lang="en-US" altLang="zh-CN" sz="1100" b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𝑚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zh-CN" altLang="en-US" sz="1100" b="0">
                  <a:latin typeface="Cambria Math" panose="02040503050406030204" pitchFamily="18" charset="0"/>
                </a:rPr>
                <a:t>是</a:t>
              </a:r>
              <a:r>
                <a:rPr lang="zh-CN" altLang="en-US" sz="1100"/>
                <a:t>证券</a:t>
              </a:r>
              <a:r>
                <a:rPr lang="en-US" altLang="zh-CN" sz="1100"/>
                <a:t>a</a:t>
              </a:r>
              <a:r>
                <a:rPr lang="zh-CN" altLang="en-US" sz="1100"/>
                <a:t>的收益率</a:t>
              </a:r>
              <a:r>
                <a:rPr lang="zh-CN" altLang="en-US">
                  <a:sym typeface="+mn-ea"/>
                </a:rPr>
                <a:t>和市场收益率的协方差</a:t>
              </a:r>
              <a:r>
                <a:rPr lang="zh-CN" altLang="en-US" sz="1100"/>
                <a:t>；</a:t>
              </a:r>
              <a:r>
                <a:rPr lang="zh-CN" altLang="en-US" sz="1100">
                  <a:latin typeface="Cambria Math" panose="02040503050406030204" pitchFamily="18" charset="0"/>
                </a:rPr>
                <a:t>𝜎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>
                  <a:latin typeface="Cambria Math" panose="02040503050406030204" pitchFamily="18" charset="0"/>
                </a:rPr>
                <a:t>m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zh-CN" altLang="en-US" sz="1100">
                  <a:latin typeface="Cambria Math" panose="02040503050406030204" pitchFamily="18" charset="0"/>
                </a:rPr>
                <a:t>是</a:t>
              </a:r>
              <a:r>
                <a:rPr lang="zh-CN" altLang="en-US">
                  <a:latin typeface="Cambria Math" panose="02040503050406030204" pitchFamily="18" charset="0"/>
                  <a:sym typeface="+mn-ea"/>
                </a:rPr>
                <a:t>市场收益率的方差</a:t>
              </a:r>
              <a:endParaRPr lang="en-US" altLang="zh-CN" sz="1100"/>
            </a:p>
            <a:p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selection activeCell="E13" sqref="E13"/>
    </sheetView>
  </sheetViews>
  <sheetFormatPr defaultColWidth="6" defaultRowHeight="15.95" customHeight="1"/>
  <cols>
    <col min="1" max="1" width="3" style="1025" customWidth="1"/>
    <col min="2" max="2" width="17" style="1026" customWidth="1"/>
    <col min="3" max="3" width="45.125" style="1022" customWidth="1"/>
    <col min="4" max="4" width="7.75" style="1027" customWidth="1"/>
    <col min="5" max="5" width="24.125" style="1022" customWidth="1"/>
    <col min="6" max="6" width="22.375" style="1022" customWidth="1"/>
    <col min="7" max="7" width="28.25" style="1022" customWidth="1"/>
    <col min="8" max="8" width="4.5" style="1022" customWidth="1"/>
    <col min="9" max="9" width="24.25" style="1025" customWidth="1"/>
    <col min="10" max="12" width="10.25" style="1025" customWidth="1"/>
    <col min="13" max="16384" width="6" style="1025"/>
  </cols>
  <sheetData>
    <row r="1" spans="2:9" ht="15.95" customHeight="1">
      <c r="D1" s="1028"/>
      <c r="G1" s="1029"/>
      <c r="H1" s="1029"/>
      <c r="I1" s="1024"/>
    </row>
    <row r="2" spans="2:9" ht="20.25" customHeight="1">
      <c r="B2" s="1030"/>
      <c r="D2" s="1031" t="s">
        <v>0</v>
      </c>
      <c r="E2" s="1032" t="s">
        <v>1</v>
      </c>
      <c r="F2" s="1033" t="s">
        <v>2</v>
      </c>
      <c r="G2" s="1024"/>
      <c r="H2" s="1029"/>
      <c r="I2" s="1029"/>
    </row>
    <row r="3" spans="2:9" ht="20.25" customHeight="1">
      <c r="C3" s="1034" t="s">
        <v>1264</v>
      </c>
      <c r="D3" s="1031">
        <v>4</v>
      </c>
      <c r="E3" s="1032" t="s">
        <v>3</v>
      </c>
      <c r="F3" s="1033" t="s">
        <v>4</v>
      </c>
      <c r="G3" s="1024"/>
      <c r="H3" s="1035"/>
      <c r="I3" s="1056"/>
    </row>
    <row r="4" spans="2:9" ht="20.25" customHeight="1">
      <c r="B4" s="1030"/>
      <c r="D4" s="1031">
        <v>3</v>
      </c>
      <c r="E4" s="1032" t="s">
        <v>5</v>
      </c>
      <c r="F4" s="1033" t="s">
        <v>4</v>
      </c>
      <c r="G4" s="1024"/>
      <c r="H4" s="1035"/>
      <c r="I4" s="1068"/>
    </row>
    <row r="5" spans="2:9" ht="20.25" customHeight="1">
      <c r="B5" s="1035" t="s">
        <v>6</v>
      </c>
      <c r="D5" s="1031" t="s">
        <v>7</v>
      </c>
      <c r="E5" s="1036" t="s">
        <v>8</v>
      </c>
      <c r="F5" s="1033" t="s">
        <v>4</v>
      </c>
      <c r="G5" s="1024"/>
      <c r="H5" s="1035"/>
      <c r="I5" s="1068"/>
    </row>
    <row r="6" spans="2:9" ht="20.25" customHeight="1">
      <c r="B6" s="1035" t="s">
        <v>9</v>
      </c>
      <c r="C6" s="1037"/>
      <c r="D6" s="1038">
        <v>9.9999999999999995E-7</v>
      </c>
      <c r="E6" s="1032" t="s">
        <v>10</v>
      </c>
      <c r="F6" s="1033" t="s">
        <v>2</v>
      </c>
      <c r="G6" s="1024"/>
      <c r="H6" s="1035"/>
      <c r="I6" s="1024"/>
    </row>
    <row r="7" spans="2:9" ht="20.25" customHeight="1">
      <c r="B7" s="1035" t="s">
        <v>11</v>
      </c>
      <c r="C7" s="1035"/>
      <c r="D7" s="1031">
        <f>IF(D4&gt;10,10,D4)</f>
        <v>3</v>
      </c>
      <c r="E7" s="1032" t="s">
        <v>12</v>
      </c>
      <c r="F7" s="1039" t="s">
        <v>2</v>
      </c>
      <c r="G7" s="1024"/>
      <c r="H7" s="1035"/>
      <c r="I7" s="1024"/>
    </row>
    <row r="8" spans="2:9" ht="20.25" customHeight="1">
      <c r="B8" s="1035" t="s">
        <v>13</v>
      </c>
      <c r="C8" s="1035"/>
      <c r="D8" s="1031" t="str">
        <f>IF(LEN(D5)=1,"元",LEFT(D5,LEN(D5)-1))</f>
        <v>百万</v>
      </c>
      <c r="E8" s="1032" t="s">
        <v>14</v>
      </c>
      <c r="F8" s="1039" t="s">
        <v>2</v>
      </c>
      <c r="G8" s="1024"/>
      <c r="H8" s="1035"/>
      <c r="I8" s="1024"/>
    </row>
    <row r="9" spans="2:9" ht="20.25" customHeight="1">
      <c r="B9" s="1040" t="s">
        <v>15</v>
      </c>
      <c r="C9" s="1040"/>
      <c r="D9" s="1027">
        <v>0</v>
      </c>
      <c r="E9" s="1032" t="s">
        <v>16</v>
      </c>
      <c r="F9" s="1033" t="s">
        <v>4</v>
      </c>
      <c r="G9" s="1024"/>
      <c r="H9" s="1040"/>
      <c r="I9" s="1024"/>
    </row>
    <row r="10" spans="2:9" ht="15.95" customHeight="1">
      <c r="I10" s="1069"/>
    </row>
    <row r="11" spans="2:9" ht="15.95" customHeight="1">
      <c r="B11" s="1041" t="s">
        <v>17</v>
      </c>
      <c r="C11" s="1042"/>
      <c r="E11" s="1043" t="s">
        <v>18</v>
      </c>
      <c r="F11" s="1032"/>
      <c r="G11" s="1044"/>
      <c r="H11" s="1032"/>
      <c r="I11" s="1035"/>
    </row>
    <row r="12" spans="2:9" s="1022" customFormat="1" ht="15.95" customHeight="1">
      <c r="B12" s="1045" t="s">
        <v>19</v>
      </c>
      <c r="C12" s="1046"/>
      <c r="D12" s="1031"/>
      <c r="E12" s="1047" t="s">
        <v>20</v>
      </c>
      <c r="F12" s="1045"/>
      <c r="G12" s="1045"/>
      <c r="H12" s="1048"/>
      <c r="I12" s="1070"/>
    </row>
    <row r="13" spans="2:9" s="1022" customFormat="1" ht="15.95" customHeight="1">
      <c r="B13" s="1045" t="s">
        <v>21</v>
      </c>
      <c r="C13" s="1046"/>
      <c r="D13" s="1031"/>
      <c r="E13" s="1047" t="s">
        <v>22</v>
      </c>
      <c r="F13" s="1029"/>
      <c r="H13" s="1048"/>
      <c r="I13" s="1035"/>
    </row>
    <row r="14" spans="2:9" s="1022" customFormat="1" ht="15.95" customHeight="1">
      <c r="B14" s="1045" t="s">
        <v>23</v>
      </c>
      <c r="C14" s="1046"/>
      <c r="D14" s="1031"/>
      <c r="E14" s="1047" t="s">
        <v>24</v>
      </c>
      <c r="F14" s="1029"/>
      <c r="H14" s="1048"/>
    </row>
    <row r="15" spans="2:9" s="1022" customFormat="1" ht="15.95" customHeight="1">
      <c r="B15" s="1045" t="s">
        <v>25</v>
      </c>
      <c r="C15" s="1048"/>
      <c r="D15" s="1031"/>
      <c r="E15" s="1047" t="s">
        <v>26</v>
      </c>
      <c r="F15" s="1049"/>
      <c r="H15" s="1048"/>
      <c r="I15" s="1035"/>
    </row>
    <row r="16" spans="2:9" s="1022" customFormat="1" ht="15.95" customHeight="1">
      <c r="B16" s="1045" t="s">
        <v>27</v>
      </c>
      <c r="C16" s="1048"/>
      <c r="D16" s="1031"/>
      <c r="E16" s="1047" t="s">
        <v>28</v>
      </c>
      <c r="F16" s="1029"/>
      <c r="H16" s="1048"/>
    </row>
    <row r="17" spans="1:10" s="1022" customFormat="1" ht="15.95" customHeight="1">
      <c r="B17" s="1045" t="s">
        <v>29</v>
      </c>
      <c r="C17" s="1046"/>
      <c r="D17" s="1031"/>
      <c r="E17" s="1047" t="s">
        <v>30</v>
      </c>
      <c r="F17" s="1029"/>
      <c r="H17" s="1048"/>
      <c r="I17" s="1035"/>
    </row>
    <row r="18" spans="1:10" s="1022" customFormat="1" ht="15.95" customHeight="1">
      <c r="B18" s="1050" t="s">
        <v>31</v>
      </c>
      <c r="C18" s="1051"/>
      <c r="D18" s="1031"/>
      <c r="E18" s="1052" t="s">
        <v>32</v>
      </c>
      <c r="F18" s="1053"/>
      <c r="G18" s="1053"/>
      <c r="H18" s="1051"/>
    </row>
    <row r="19" spans="1:10" s="1023" customFormat="1" ht="15.95" customHeight="1">
      <c r="B19" s="1054"/>
      <c r="C19" s="1022"/>
      <c r="D19" s="1027"/>
      <c r="E19" s="1029"/>
      <c r="F19" s="1025"/>
      <c r="G19" s="1025"/>
      <c r="H19" s="1025"/>
    </row>
    <row r="20" spans="1:10" s="1024" customFormat="1" ht="15.95" customHeight="1">
      <c r="B20" s="1055" t="s">
        <v>33</v>
      </c>
      <c r="C20" s="1056" t="s">
        <v>34</v>
      </c>
      <c r="D20" s="1057"/>
      <c r="E20" s="1043" t="s">
        <v>35</v>
      </c>
      <c r="F20" s="1058"/>
      <c r="G20" s="1058"/>
      <c r="H20" s="1022"/>
    </row>
    <row r="21" spans="1:10" s="1024" customFormat="1" ht="15.95" customHeight="1">
      <c r="B21" s="1055" t="s">
        <v>36</v>
      </c>
      <c r="C21" s="1029" t="s">
        <v>37</v>
      </c>
      <c r="D21" s="1059"/>
      <c r="E21" s="1060"/>
      <c r="F21" s="1160" t="s">
        <v>38</v>
      </c>
      <c r="H21" s="1022"/>
      <c r="I21" s="1071"/>
      <c r="J21" s="1071"/>
    </row>
    <row r="22" spans="1:10" s="1024" customFormat="1" ht="15.95" customHeight="1">
      <c r="B22" s="1055" t="s">
        <v>39</v>
      </c>
      <c r="C22" s="1029" t="s">
        <v>37</v>
      </c>
      <c r="D22" s="1059"/>
      <c r="E22" s="1060"/>
      <c r="F22" s="1160"/>
      <c r="G22" s="1058"/>
      <c r="H22" s="1040"/>
    </row>
    <row r="23" spans="1:10" s="1024" customFormat="1" ht="15.95" customHeight="1">
      <c r="B23" s="1055" t="s">
        <v>40</v>
      </c>
      <c r="C23" s="1029" t="s">
        <v>37</v>
      </c>
      <c r="D23" s="1061"/>
      <c r="E23" s="1060"/>
      <c r="F23" s="1160"/>
      <c r="G23" s="1058"/>
    </row>
    <row r="24" spans="1:10" s="1024" customFormat="1" ht="15.95" customHeight="1">
      <c r="B24" s="1055" t="s">
        <v>41</v>
      </c>
      <c r="C24" s="1056" t="s">
        <v>42</v>
      </c>
      <c r="D24" s="1059"/>
      <c r="E24" s="1062"/>
      <c r="F24" s="1160" t="s">
        <v>43</v>
      </c>
      <c r="G24" s="1058"/>
    </row>
    <row r="25" spans="1:10" s="1024" customFormat="1" ht="15.95" customHeight="1">
      <c r="B25" s="1055" t="s">
        <v>44</v>
      </c>
      <c r="C25" s="1056" t="s">
        <v>42</v>
      </c>
      <c r="D25" s="1061"/>
      <c r="E25" s="1062"/>
      <c r="F25" s="1160"/>
      <c r="G25" s="1063"/>
    </row>
    <row r="26" spans="1:10" s="1024" customFormat="1" ht="15.95" customHeight="1">
      <c r="B26" s="1055" t="s">
        <v>45</v>
      </c>
      <c r="C26" s="1029" t="s">
        <v>37</v>
      </c>
      <c r="D26" s="1064"/>
      <c r="E26" s="1062"/>
      <c r="F26" s="1160"/>
      <c r="G26" s="1063"/>
    </row>
    <row r="27" spans="1:10" s="1024" customFormat="1" ht="15.95" customHeight="1">
      <c r="B27" s="1055" t="s">
        <v>46</v>
      </c>
      <c r="C27" s="1029" t="s">
        <v>37</v>
      </c>
      <c r="D27" s="1031"/>
      <c r="E27" s="1065"/>
      <c r="F27" s="1160" t="s">
        <v>47</v>
      </c>
      <c r="G27" s="1063"/>
    </row>
    <row r="28" spans="1:10" ht="15.95" customHeight="1">
      <c r="A28" s="1024"/>
      <c r="B28" s="1055" t="s">
        <v>48</v>
      </c>
      <c r="C28" s="1029" t="s">
        <v>37</v>
      </c>
      <c r="D28" s="1031"/>
      <c r="E28" s="1065"/>
      <c r="F28" s="1160"/>
      <c r="G28" s="1063"/>
      <c r="H28" s="1024"/>
    </row>
    <row r="29" spans="1:10" s="1024" customFormat="1" ht="15.95" customHeight="1">
      <c r="B29" s="1055" t="s">
        <v>49</v>
      </c>
      <c r="C29" s="1056" t="s">
        <v>42</v>
      </c>
      <c r="D29" s="1031"/>
      <c r="E29" s="1065"/>
      <c r="F29" s="1160"/>
      <c r="G29" s="1066"/>
    </row>
    <row r="30" spans="1:10" s="1024" customFormat="1" ht="15.95" customHeight="1">
      <c r="B30" s="1055" t="s">
        <v>50</v>
      </c>
      <c r="C30" s="1056" t="s">
        <v>42</v>
      </c>
      <c r="D30" s="1031"/>
      <c r="E30" s="1066"/>
      <c r="F30" s="1066"/>
      <c r="G30" s="1066"/>
    </row>
    <row r="31" spans="1:10" s="1024" customFormat="1" ht="15.95" customHeight="1">
      <c r="B31" s="1055" t="s">
        <v>51</v>
      </c>
      <c r="C31" s="1029" t="s">
        <v>37</v>
      </c>
      <c r="D31" s="1031"/>
      <c r="F31" s="1058"/>
      <c r="G31" s="1063"/>
      <c r="H31" s="1025"/>
    </row>
    <row r="32" spans="1:10" s="1024" customFormat="1" ht="15.95" customHeight="1">
      <c r="B32" s="1055" t="s">
        <v>52</v>
      </c>
      <c r="C32" s="1056" t="s">
        <v>53</v>
      </c>
      <c r="D32" s="1067"/>
      <c r="E32" s="1058"/>
      <c r="F32" s="1058"/>
      <c r="G32" s="1058"/>
      <c r="H32" s="1022"/>
      <c r="I32" s="1071"/>
      <c r="J32" s="1071"/>
    </row>
    <row r="33" spans="1:8" s="1024" customFormat="1" ht="15.95" customHeight="1">
      <c r="B33" s="1055" t="s">
        <v>54</v>
      </c>
      <c r="C33" s="1029" t="s">
        <v>37</v>
      </c>
      <c r="D33" s="1067"/>
      <c r="E33" s="1058"/>
      <c r="F33" s="1058"/>
      <c r="G33" s="1058"/>
      <c r="H33" s="1035"/>
    </row>
    <row r="34" spans="1:8" s="1024" customFormat="1" ht="15.95" customHeight="1">
      <c r="B34" s="1055" t="s">
        <v>55</v>
      </c>
      <c r="C34" s="1056" t="s">
        <v>56</v>
      </c>
      <c r="D34" s="1067"/>
      <c r="E34" s="1058"/>
      <c r="F34" s="1058"/>
      <c r="G34" s="1058"/>
      <c r="H34" s="1035"/>
    </row>
    <row r="35" spans="1:8" ht="15.95" customHeight="1">
      <c r="A35" s="1024"/>
      <c r="B35" s="1055" t="s">
        <v>57</v>
      </c>
      <c r="C35" s="1029" t="s">
        <v>58</v>
      </c>
      <c r="D35" s="1067"/>
      <c r="E35" s="1024"/>
      <c r="F35" s="1029"/>
      <c r="G35" s="1024"/>
      <c r="H35" s="1024"/>
    </row>
    <row r="36" spans="1:8" ht="15.95" customHeight="1">
      <c r="B36" s="1055" t="s">
        <v>59</v>
      </c>
      <c r="C36" s="1029" t="s">
        <v>60</v>
      </c>
      <c r="E36" s="1029"/>
      <c r="F36" s="1029"/>
      <c r="G36" s="1029"/>
    </row>
    <row r="37" spans="1:8" ht="15.95" customHeight="1">
      <c r="B37" s="1055"/>
      <c r="C37" s="1029"/>
    </row>
  </sheetData>
  <sheetProtection formatCells="0" formatColumns="0" formatRows="0" insertColumns="0" insertRows="0" insertHyperlinks="0" deleteColumns="0" deleteRows="0"/>
  <mergeCells count="3">
    <mergeCell ref="F21:F23"/>
    <mergeCell ref="F24:F26"/>
    <mergeCell ref="F27:F29"/>
  </mergeCells>
  <phoneticPr fontId="140" type="noConversion"/>
  <hyperlinks>
    <hyperlink ref="B34" location="单季度利润表!A1" display="单季度利润表" xr:uid="{00000000-0004-0000-0000-000000000000}"/>
    <hyperlink ref="B20" location="公司经营数据!A1" display="公司经营数据" xr:uid="{00000000-0004-0000-0000-000001000000}"/>
    <hyperlink ref="B36" location="财务附注数据!A1" display="财务附注数据" xr:uid="{00000000-0004-0000-0000-000002000000}"/>
    <hyperlink ref="B31" location="估值!A1" display="估值" xr:uid="{00000000-0004-0000-0000-000003000000}"/>
    <hyperlink ref="B32" location="同业分析!A1" display="同业分析" xr:uid="{00000000-0004-0000-0000-000004000000}"/>
    <hyperlink ref="B22" location="资产预测!A1" display="资产预测" xr:uid="{00000000-0004-0000-0000-000005000000}"/>
    <hyperlink ref="B23" location="投资与减值!A1" display="投资与减值" xr:uid="{00000000-0004-0000-0000-000006000000}"/>
    <hyperlink ref="B29" location="财务分析!A1" display="财务分析" xr:uid="{00000000-0004-0000-0000-000007000000}"/>
    <hyperlink ref="B21" location="销售预测!A1" display="销售预测" xr:uid="{00000000-0004-0000-0000-000008000000}"/>
    <hyperlink ref="B35" location="财务基础数据!A1" display="财务基础数据" xr:uid="{00000000-0004-0000-0000-000009000000}"/>
    <hyperlink ref="B28" location="现金流量表!A1" display="现金流量表" xr:uid="{00000000-0004-0000-0000-00000A000000}"/>
    <hyperlink ref="B27" location="利润表!A1" display="利润表" xr:uid="{00000000-0004-0000-0000-00000B000000}"/>
    <hyperlink ref="B26" location="资产负债表!A1" display="资产负债表" xr:uid="{00000000-0004-0000-0000-00000C000000}"/>
    <hyperlink ref="B25" location="报表摘要!A1" display="报表摘要" xr:uid="{00000000-0004-0000-0000-00000D000000}"/>
    <hyperlink ref="B24" location="主要财务摘要!A1" display="主要财务摘要" xr:uid="{00000000-0004-0000-0000-00000E000000}"/>
    <hyperlink ref="B33" location="盈利敏感性分析!A1" display="盈利敏感性分析" xr:uid="{00000000-0004-0000-0000-00000F000000}"/>
    <hyperlink ref="B30" location="参数计算!A1" display="参数计算" xr:uid="{00000000-0004-0000-0000-000010000000}"/>
  </hyperlinks>
  <pageMargins left="0.7" right="0.7" top="0.75" bottom="0.75" header="0.3" footer="0.3"/>
  <pageSetup paperSize="9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D61"/>
  <sheetViews>
    <sheetView workbookViewId="0">
      <pane xSplit="3" ySplit="4" topLeftCell="D5" activePane="bottomRight" state="frozen"/>
      <selection pane="topRight"/>
      <selection pane="bottomLeft"/>
      <selection pane="bottomRight" activeCell="U5" sqref="U5"/>
    </sheetView>
  </sheetViews>
  <sheetFormatPr defaultColWidth="15.625" defaultRowHeight="16.5" customHeight="1"/>
  <cols>
    <col min="1" max="1" width="5" style="1123" customWidth="1"/>
    <col min="2" max="2" width="5.75" style="1123" hidden="1" customWidth="1"/>
    <col min="3" max="3" width="19.875" style="1123" customWidth="1"/>
    <col min="4" max="4" width="5.75" style="1123" customWidth="1"/>
    <col min="5" max="12" width="14.5" style="1123" hidden="1" customWidth="1"/>
    <col min="13" max="13" width="14.5" style="1123" customWidth="1"/>
    <col min="14" max="14" width="14.5" style="1123" hidden="1" customWidth="1"/>
    <col min="15" max="15" width="14.5" style="1123" customWidth="1"/>
    <col min="16" max="16" width="14.5" style="1123" hidden="1" customWidth="1"/>
    <col min="17" max="17" width="14.5" style="1123" customWidth="1"/>
    <col min="18" max="18" width="12.625" style="1123" hidden="1" customWidth="1"/>
    <col min="19" max="19" width="12.625" style="1123" customWidth="1"/>
    <col min="20" max="20" width="12.625" style="1123" hidden="1" customWidth="1"/>
    <col min="21" max="22" width="12.75" style="1123" customWidth="1"/>
    <col min="23" max="23" width="14.5" style="1123" customWidth="1"/>
    <col min="24" max="30" width="14.5" style="1123" hidden="1" customWidth="1"/>
    <col min="31" max="160" width="15.625" style="29" customWidth="1"/>
    <col min="161" max="16362" width="15.625" style="1123" customWidth="1"/>
    <col min="16363" max="16384" width="15.625" style="1123"/>
  </cols>
  <sheetData>
    <row r="1" spans="1:160" s="1157" customFormat="1" ht="20.100000000000001" customHeight="1">
      <c r="A1" s="1020" t="str">
        <f>目录!F2</f>
        <v>XXXX</v>
      </c>
      <c r="B1" s="1020"/>
      <c r="C1" s="1156"/>
      <c r="O1" s="1158" t="s">
        <v>1266</v>
      </c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  <c r="AX1" s="361"/>
      <c r="AY1" s="361"/>
      <c r="AZ1" s="361"/>
      <c r="BA1" s="361"/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  <c r="BM1" s="361"/>
      <c r="BN1" s="361"/>
      <c r="BO1" s="361"/>
      <c r="BP1" s="361"/>
      <c r="BQ1" s="361"/>
      <c r="BR1" s="361"/>
      <c r="BS1" s="361"/>
      <c r="BT1" s="361"/>
      <c r="BU1" s="361"/>
      <c r="BV1" s="361"/>
      <c r="BW1" s="361"/>
      <c r="BX1" s="361"/>
      <c r="BY1" s="361"/>
      <c r="BZ1" s="361"/>
      <c r="CA1" s="361"/>
      <c r="CB1" s="361"/>
      <c r="CC1" s="361"/>
      <c r="CD1" s="361"/>
      <c r="CE1" s="361"/>
      <c r="CF1" s="361"/>
      <c r="CG1" s="361"/>
      <c r="CH1" s="361"/>
      <c r="CI1" s="361"/>
      <c r="CJ1" s="361"/>
      <c r="CK1" s="361"/>
      <c r="CL1" s="361"/>
      <c r="CM1" s="361"/>
      <c r="CN1" s="361"/>
      <c r="CO1" s="361"/>
      <c r="CP1" s="361"/>
      <c r="CQ1" s="361"/>
      <c r="CR1" s="361"/>
      <c r="CS1" s="361"/>
      <c r="CT1" s="361"/>
      <c r="CU1" s="361"/>
      <c r="CV1" s="361"/>
      <c r="CW1" s="361"/>
      <c r="CX1" s="361"/>
      <c r="CY1" s="361"/>
      <c r="CZ1" s="361"/>
      <c r="DA1" s="361"/>
      <c r="DB1" s="361"/>
      <c r="DC1" s="361"/>
      <c r="DD1" s="361"/>
      <c r="DE1" s="361"/>
      <c r="DF1" s="361"/>
      <c r="DG1" s="361"/>
      <c r="DH1" s="361"/>
      <c r="DI1" s="361"/>
      <c r="DJ1" s="361"/>
      <c r="DK1" s="361"/>
      <c r="DL1" s="361"/>
      <c r="DM1" s="361"/>
      <c r="DN1" s="361"/>
      <c r="DO1" s="361"/>
      <c r="DP1" s="361"/>
      <c r="DQ1" s="361"/>
      <c r="DR1" s="361"/>
      <c r="DS1" s="361"/>
      <c r="DT1" s="361"/>
      <c r="DU1" s="361"/>
      <c r="DV1" s="361"/>
      <c r="DW1" s="361"/>
      <c r="DX1" s="361"/>
      <c r="DY1" s="361"/>
      <c r="DZ1" s="361"/>
      <c r="EA1" s="361"/>
      <c r="EB1" s="361"/>
      <c r="EC1" s="361"/>
      <c r="ED1" s="361"/>
      <c r="EE1" s="361"/>
      <c r="EF1" s="361"/>
      <c r="EG1" s="361"/>
      <c r="EH1" s="361"/>
      <c r="EI1" s="361"/>
      <c r="EJ1" s="361"/>
      <c r="EK1" s="361"/>
      <c r="EL1" s="361"/>
      <c r="EM1" s="361"/>
      <c r="EN1" s="361"/>
      <c r="EO1" s="361"/>
      <c r="EP1" s="361"/>
      <c r="EQ1" s="361"/>
      <c r="ER1" s="361"/>
      <c r="ES1" s="361"/>
      <c r="ET1" s="361"/>
      <c r="EU1" s="361"/>
      <c r="EV1" s="361"/>
      <c r="EW1" s="361"/>
      <c r="EX1" s="361"/>
      <c r="EY1" s="361"/>
      <c r="EZ1" s="361"/>
      <c r="FA1" s="361"/>
      <c r="FB1" s="361"/>
      <c r="FC1" s="361"/>
      <c r="FD1" s="361"/>
    </row>
    <row r="2" spans="1:160" s="361" customFormat="1" ht="20.100000000000001" customHeight="1">
      <c r="A2" s="361" t="str">
        <f>"单位:人民币"&amp;目录!D5</f>
        <v>单位:人民币百万元</v>
      </c>
      <c r="O2" s="1159" t="s">
        <v>1267</v>
      </c>
    </row>
    <row r="3" spans="1:160" s="361" customFormat="1" ht="18" customHeight="1">
      <c r="O3" s="1159" t="s">
        <v>1263</v>
      </c>
    </row>
    <row r="4" spans="1:160" s="455" customFormat="1" ht="16.5" customHeight="1">
      <c r="A4" s="100"/>
      <c r="B4" s="100"/>
      <c r="C4" s="100" t="s">
        <v>61</v>
      </c>
      <c r="D4" s="100"/>
      <c r="E4" s="1124">
        <f>财务基础数据!J5</f>
        <v>2016</v>
      </c>
      <c r="F4" s="1124" t="str">
        <f>财务基础数据!L5</f>
        <v>1H17</v>
      </c>
      <c r="G4" s="1124">
        <f>财务基础数据!N5</f>
        <v>2017</v>
      </c>
      <c r="H4" s="1124" t="str">
        <f>财务基础数据!P5</f>
        <v>1H18</v>
      </c>
      <c r="I4" s="1124">
        <f>财务基础数据!R5</f>
        <v>2018</v>
      </c>
      <c r="J4" s="1124" t="str">
        <f>财务基础数据!T5</f>
        <v>1H19</v>
      </c>
      <c r="K4" s="1124">
        <f>财务基础数据!V5</f>
        <v>2019</v>
      </c>
      <c r="L4" s="1124" t="str">
        <f>财务基础数据!X5</f>
        <v>1H20</v>
      </c>
      <c r="M4" s="1124">
        <f>财务基础数据!Z5</f>
        <v>2020</v>
      </c>
      <c r="N4" s="1124" t="str">
        <f>财务基础数据!AB5</f>
        <v>1H21</v>
      </c>
      <c r="O4" s="1124">
        <f>财务基础数据!AD5</f>
        <v>2021</v>
      </c>
      <c r="P4" s="1124" t="str">
        <f>财务基础数据!AF5</f>
        <v>1H22</v>
      </c>
      <c r="Q4" s="1124">
        <f>财务基础数据!AH5</f>
        <v>2022</v>
      </c>
      <c r="R4" s="1124" t="str">
        <f>财务基础数据!AJ5</f>
        <v>1H23</v>
      </c>
      <c r="S4" s="1124">
        <f>财务基础数据!AL5</f>
        <v>2023</v>
      </c>
      <c r="T4" s="1124" t="str">
        <f>财务基础数据!AN5</f>
        <v>1H24</v>
      </c>
      <c r="U4" s="82">
        <f>财务基础数据!AP5</f>
        <v>2024</v>
      </c>
      <c r="V4" s="82">
        <f>财务基础数据!AP5+1</f>
        <v>2025</v>
      </c>
      <c r="W4" s="82">
        <f>V4+1</f>
        <v>2026</v>
      </c>
      <c r="X4" s="82">
        <f t="shared" ref="X4:AD4" si="0">W4+1</f>
        <v>2027</v>
      </c>
      <c r="Y4" s="82">
        <f t="shared" si="0"/>
        <v>2028</v>
      </c>
      <c r="Z4" s="82">
        <f t="shared" si="0"/>
        <v>2029</v>
      </c>
      <c r="AA4" s="82">
        <f t="shared" si="0"/>
        <v>2030</v>
      </c>
      <c r="AB4" s="82">
        <f t="shared" si="0"/>
        <v>2031</v>
      </c>
      <c r="AC4" s="82">
        <f t="shared" si="0"/>
        <v>2032</v>
      </c>
      <c r="AD4" s="82">
        <f t="shared" si="0"/>
        <v>2033</v>
      </c>
      <c r="AE4" s="54"/>
      <c r="AF4" s="54"/>
      <c r="AG4" s="54"/>
      <c r="AH4" s="54"/>
      <c r="AI4" s="54"/>
      <c r="AJ4" s="54"/>
      <c r="AK4" s="54"/>
      <c r="AL4" s="54"/>
      <c r="AM4" s="1125"/>
      <c r="AN4" s="1125"/>
      <c r="AO4" s="1125"/>
      <c r="AP4" s="1125"/>
      <c r="AQ4" s="1125"/>
      <c r="AR4" s="1125"/>
      <c r="AS4" s="1125"/>
      <c r="AT4" s="1125"/>
      <c r="AU4" s="1125"/>
      <c r="AV4" s="1125"/>
      <c r="AW4" s="1125"/>
      <c r="AX4" s="1125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  <c r="EO4" s="57"/>
      <c r="EP4" s="57"/>
      <c r="EQ4" s="57"/>
      <c r="ER4" s="57"/>
      <c r="ES4" s="57"/>
      <c r="ET4" s="57"/>
      <c r="EU4" s="57"/>
      <c r="EV4" s="57"/>
      <c r="EW4" s="57"/>
      <c r="EX4" s="57"/>
      <c r="EY4" s="57"/>
      <c r="EZ4" s="57"/>
      <c r="FA4" s="57"/>
      <c r="FB4" s="57"/>
      <c r="FC4" s="57"/>
      <c r="FD4" s="57"/>
    </row>
    <row r="5" spans="1:160" s="1130" customFormat="1" ht="16.5" customHeight="1">
      <c r="A5" s="1126"/>
      <c r="B5" s="1126"/>
      <c r="C5" s="1127" t="s">
        <v>62</v>
      </c>
      <c r="D5" s="1128"/>
      <c r="E5" s="1129">
        <f>利润表!E8</f>
        <v>0</v>
      </c>
      <c r="F5" s="1129">
        <f>利润表!G8</f>
        <v>0</v>
      </c>
      <c r="G5" s="1129">
        <f>利润表!I8</f>
        <v>0</v>
      </c>
      <c r="H5" s="1129">
        <f>利润表!K8</f>
        <v>0</v>
      </c>
      <c r="I5" s="1129">
        <f>利润表!M8</f>
        <v>0</v>
      </c>
      <c r="J5" s="1129">
        <f>利润表!O8</f>
        <v>0</v>
      </c>
      <c r="K5" s="1129">
        <f>利润表!Q8</f>
        <v>0</v>
      </c>
      <c r="L5" s="1129">
        <f>利润表!S8</f>
        <v>0</v>
      </c>
      <c r="M5" s="1129">
        <f>利润表!U8</f>
        <v>0</v>
      </c>
      <c r="N5" s="1129">
        <f>利润表!W8</f>
        <v>0</v>
      </c>
      <c r="O5" s="1129">
        <f>利润表!Y8</f>
        <v>0</v>
      </c>
      <c r="P5" s="1129">
        <f>利润表!AA8</f>
        <v>0</v>
      </c>
      <c r="Q5" s="1129">
        <f>利润表!AC8</f>
        <v>0</v>
      </c>
      <c r="R5" s="1129">
        <f>利润表!AE8</f>
        <v>0</v>
      </c>
      <c r="S5" s="1129">
        <f>利润表!AG8</f>
        <v>0</v>
      </c>
      <c r="T5" s="1129">
        <f>利润表!AI8</f>
        <v>0</v>
      </c>
      <c r="U5" s="1121"/>
      <c r="V5" s="1121"/>
      <c r="W5" s="1121"/>
      <c r="X5" s="1121"/>
      <c r="Y5" s="1121"/>
      <c r="Z5" s="1121"/>
      <c r="AA5" s="1121"/>
      <c r="AB5" s="1121"/>
      <c r="AC5" s="1121"/>
      <c r="AD5" s="1121"/>
    </row>
    <row r="6" spans="1:160" s="1131" customFormat="1" ht="16.5" customHeight="1">
      <c r="C6" s="1132" t="s">
        <v>63</v>
      </c>
      <c r="D6" s="1133"/>
      <c r="E6" s="1134"/>
      <c r="F6" s="1134"/>
      <c r="G6" s="1134" t="str">
        <f>利润表!I9</f>
        <v>—</v>
      </c>
      <c r="H6" s="1134" t="str">
        <f>利润表!K9</f>
        <v>—</v>
      </c>
      <c r="I6" s="1134" t="str">
        <f>利润表!M9</f>
        <v>—</v>
      </c>
      <c r="J6" s="1134" t="str">
        <f>利润表!O9</f>
        <v>—</v>
      </c>
      <c r="K6" s="1134" t="str">
        <f>利润表!Q9</f>
        <v>—</v>
      </c>
      <c r="L6" s="1134" t="str">
        <f>利润表!S9</f>
        <v>—</v>
      </c>
      <c r="M6" s="1134" t="str">
        <f>利润表!U9</f>
        <v>—</v>
      </c>
      <c r="N6" s="1134" t="str">
        <f>利润表!W9</f>
        <v>—</v>
      </c>
      <c r="O6" s="1134" t="str">
        <f>利润表!Y9</f>
        <v>—</v>
      </c>
      <c r="P6" s="1134" t="str">
        <f>利润表!AA9</f>
        <v>—</v>
      </c>
      <c r="Q6" s="1134" t="str">
        <f>利润表!AC9</f>
        <v>—</v>
      </c>
      <c r="R6" s="1134" t="str">
        <f>利润表!AE9</f>
        <v>—</v>
      </c>
      <c r="S6" s="1134" t="str">
        <f>利润表!AG9</f>
        <v>—</v>
      </c>
      <c r="T6" s="1135" t="str">
        <f>利润表!AI9</f>
        <v>—</v>
      </c>
      <c r="U6" s="1134">
        <f>IF(ISERROR(U5/S5-1),0,U5/S5-1)</f>
        <v>0</v>
      </c>
      <c r="V6" s="1134">
        <f>IF(ISERROR(V5/U5-1),0,V5/U5-1)</f>
        <v>0</v>
      </c>
      <c r="W6" s="1134">
        <f>IF(ISERROR(W5/V5-1),0,W5/V5-1)</f>
        <v>0</v>
      </c>
      <c r="X6" s="1134">
        <f>IF(ISERROR(X5/W5-1),0,X5/W5-1)</f>
        <v>0</v>
      </c>
      <c r="Y6" s="1134">
        <f t="shared" ref="Y6:AD6" si="1">IF(ISERROR(Y5/X5-1),0,Y5/X5-1)</f>
        <v>0</v>
      </c>
      <c r="Z6" s="1134">
        <f t="shared" si="1"/>
        <v>0</v>
      </c>
      <c r="AA6" s="1134">
        <f t="shared" si="1"/>
        <v>0</v>
      </c>
      <c r="AB6" s="1134">
        <f t="shared" si="1"/>
        <v>0</v>
      </c>
      <c r="AC6" s="1134">
        <f t="shared" si="1"/>
        <v>0</v>
      </c>
      <c r="AD6" s="1134">
        <f t="shared" si="1"/>
        <v>0</v>
      </c>
      <c r="AE6" s="1135"/>
    </row>
    <row r="7" spans="1:160" s="1130" customFormat="1" ht="16.5" customHeight="1">
      <c r="A7" s="1126"/>
      <c r="B7" s="1126"/>
      <c r="C7" s="1127" t="s">
        <v>64</v>
      </c>
      <c r="D7" s="1128"/>
      <c r="E7" s="1129">
        <f>利润表!E15</f>
        <v>0</v>
      </c>
      <c r="F7" s="1129">
        <f>利润表!G15</f>
        <v>0</v>
      </c>
      <c r="G7" s="1129">
        <f>利润表!I15</f>
        <v>0</v>
      </c>
      <c r="H7" s="1129">
        <f>利润表!K15</f>
        <v>0</v>
      </c>
      <c r="I7" s="1129">
        <f>利润表!M15</f>
        <v>0</v>
      </c>
      <c r="J7" s="1129">
        <f>利润表!O15</f>
        <v>0</v>
      </c>
      <c r="K7" s="1129">
        <f>利润表!Q15</f>
        <v>0</v>
      </c>
      <c r="L7" s="1129">
        <f>利润表!S15</f>
        <v>0</v>
      </c>
      <c r="M7" s="1129">
        <f>利润表!U15</f>
        <v>0</v>
      </c>
      <c r="N7" s="1129">
        <f>利润表!W15</f>
        <v>0</v>
      </c>
      <c r="O7" s="1129">
        <f>利润表!Y15</f>
        <v>0</v>
      </c>
      <c r="P7" s="1129">
        <f>利润表!AA15</f>
        <v>0</v>
      </c>
      <c r="Q7" s="1129">
        <f>利润表!AC15</f>
        <v>0</v>
      </c>
      <c r="R7" s="1129">
        <f>利润表!AE15</f>
        <v>0</v>
      </c>
      <c r="S7" s="1129">
        <f>利润表!AG15</f>
        <v>0</v>
      </c>
      <c r="T7" s="1129">
        <f>利润表!AI15</f>
        <v>0</v>
      </c>
      <c r="U7" s="1121"/>
      <c r="V7" s="1121"/>
      <c r="W7" s="1121"/>
      <c r="X7" s="1121"/>
      <c r="Y7" s="1121"/>
      <c r="Z7" s="1121"/>
      <c r="AA7" s="1121"/>
      <c r="AB7" s="1121"/>
      <c r="AC7" s="1121"/>
      <c r="AD7" s="1121"/>
    </row>
    <row r="8" spans="1:160" s="1131" customFormat="1" ht="16.5" customHeight="1">
      <c r="C8" s="1132" t="s">
        <v>63</v>
      </c>
      <c r="D8" s="1133"/>
      <c r="E8" s="1134"/>
      <c r="F8" s="1134"/>
      <c r="G8" s="1134" t="str">
        <f>利润表!I18</f>
        <v>—</v>
      </c>
      <c r="H8" s="1134" t="str">
        <f>利润表!K18</f>
        <v>—</v>
      </c>
      <c r="I8" s="1134" t="str">
        <f>利润表!M18</f>
        <v>—</v>
      </c>
      <c r="J8" s="1134" t="str">
        <f>利润表!O18</f>
        <v>—</v>
      </c>
      <c r="K8" s="1134" t="str">
        <f>利润表!Q18</f>
        <v>—</v>
      </c>
      <c r="L8" s="1134" t="str">
        <f>利润表!S18</f>
        <v>—</v>
      </c>
      <c r="M8" s="1134" t="str">
        <f>利润表!U18</f>
        <v>—</v>
      </c>
      <c r="N8" s="1134" t="str">
        <f>利润表!W18</f>
        <v>—</v>
      </c>
      <c r="O8" s="1134" t="str">
        <f>利润表!Y18</f>
        <v>—</v>
      </c>
      <c r="P8" s="1134" t="str">
        <f>利润表!AA18</f>
        <v>—</v>
      </c>
      <c r="Q8" s="1134" t="str">
        <f>利润表!AC18</f>
        <v>—</v>
      </c>
      <c r="R8" s="1134" t="str">
        <f>利润表!AE18</f>
        <v>—</v>
      </c>
      <c r="S8" s="1134" t="str">
        <f>利润表!AG18</f>
        <v>—</v>
      </c>
      <c r="T8" s="1135" t="str">
        <f>利润表!AI18</f>
        <v>—</v>
      </c>
      <c r="U8" s="1134">
        <f>IF(ISERROR(U7/S7-1),0,U7/S7-1)</f>
        <v>0</v>
      </c>
      <c r="V8" s="1134">
        <f>IF(ISERROR(V7/U7-1),0,V7/U7-1)</f>
        <v>0</v>
      </c>
      <c r="W8" s="1134">
        <f>IF(ISERROR(W7/V7-1),0,W7/V7-1)</f>
        <v>0</v>
      </c>
      <c r="X8" s="1134">
        <f t="shared" ref="X8:AD8" si="2">IF(ISERROR(X7/W7-1),0,X7/W7-1)</f>
        <v>0</v>
      </c>
      <c r="Y8" s="1134">
        <f t="shared" si="2"/>
        <v>0</v>
      </c>
      <c r="Z8" s="1134">
        <f t="shared" si="2"/>
        <v>0</v>
      </c>
      <c r="AA8" s="1134">
        <f t="shared" si="2"/>
        <v>0</v>
      </c>
      <c r="AB8" s="1134">
        <f t="shared" si="2"/>
        <v>0</v>
      </c>
      <c r="AC8" s="1134">
        <f t="shared" si="2"/>
        <v>0</v>
      </c>
      <c r="AD8" s="1134">
        <f t="shared" si="2"/>
        <v>0</v>
      </c>
    </row>
    <row r="9" spans="1:160" s="1130" customFormat="1" ht="16.5" customHeight="1">
      <c r="A9" s="1126"/>
      <c r="B9" s="1126"/>
      <c r="C9" s="1136" t="s">
        <v>65</v>
      </c>
      <c r="D9" s="1137"/>
      <c r="E9" s="808">
        <f>E5-E7</f>
        <v>0</v>
      </c>
      <c r="F9" s="808">
        <f t="shared" ref="F9:U9" si="3">F5-F7</f>
        <v>0</v>
      </c>
      <c r="G9" s="808">
        <f t="shared" si="3"/>
        <v>0</v>
      </c>
      <c r="H9" s="808">
        <f t="shared" si="3"/>
        <v>0</v>
      </c>
      <c r="I9" s="808">
        <f t="shared" si="3"/>
        <v>0</v>
      </c>
      <c r="J9" s="808">
        <f t="shared" si="3"/>
        <v>0</v>
      </c>
      <c r="K9" s="808">
        <f t="shared" si="3"/>
        <v>0</v>
      </c>
      <c r="L9" s="808">
        <f t="shared" si="3"/>
        <v>0</v>
      </c>
      <c r="M9" s="808">
        <f t="shared" si="3"/>
        <v>0</v>
      </c>
      <c r="N9" s="808">
        <f t="shared" si="3"/>
        <v>0</v>
      </c>
      <c r="O9" s="808">
        <f t="shared" si="3"/>
        <v>0</v>
      </c>
      <c r="P9" s="808">
        <f t="shared" si="3"/>
        <v>0</v>
      </c>
      <c r="Q9" s="808">
        <f t="shared" si="3"/>
        <v>0</v>
      </c>
      <c r="R9" s="808">
        <f t="shared" si="3"/>
        <v>0</v>
      </c>
      <c r="S9" s="808">
        <f t="shared" si="3"/>
        <v>0</v>
      </c>
      <c r="T9" s="808">
        <f t="shared" si="3"/>
        <v>0</v>
      </c>
      <c r="U9" s="1122">
        <f t="shared" si="3"/>
        <v>0</v>
      </c>
      <c r="V9" s="1122">
        <f t="shared" ref="V9:AD9" si="4">IF(ISERROR(V5-V7),0,V5-V7)</f>
        <v>0</v>
      </c>
      <c r="W9" s="1122">
        <f t="shared" si="4"/>
        <v>0</v>
      </c>
      <c r="X9" s="1122">
        <f t="shared" si="4"/>
        <v>0</v>
      </c>
      <c r="Y9" s="1122">
        <f t="shared" si="4"/>
        <v>0</v>
      </c>
      <c r="Z9" s="1122">
        <f t="shared" si="4"/>
        <v>0</v>
      </c>
      <c r="AA9" s="1122">
        <f t="shared" si="4"/>
        <v>0</v>
      </c>
      <c r="AB9" s="1122">
        <f t="shared" si="4"/>
        <v>0</v>
      </c>
      <c r="AC9" s="1122">
        <f t="shared" si="4"/>
        <v>0</v>
      </c>
      <c r="AD9" s="1122">
        <f t="shared" si="4"/>
        <v>0</v>
      </c>
    </row>
    <row r="10" spans="1:160" s="1126" customFormat="1" ht="16.5" customHeight="1">
      <c r="C10" s="1127" t="s">
        <v>66</v>
      </c>
      <c r="D10" s="1127"/>
      <c r="E10" s="1138" t="str">
        <f>IF(ISERROR(E9/E5),"—",E9/E5)</f>
        <v>—</v>
      </c>
      <c r="F10" s="1138" t="str">
        <f t="shared" ref="F10:T10" si="5">IF(ISERROR(F9/F5),"—",F9/F5)</f>
        <v>—</v>
      </c>
      <c r="G10" s="1138" t="str">
        <f t="shared" si="5"/>
        <v>—</v>
      </c>
      <c r="H10" s="1138" t="str">
        <f t="shared" si="5"/>
        <v>—</v>
      </c>
      <c r="I10" s="1138" t="str">
        <f t="shared" si="5"/>
        <v>—</v>
      </c>
      <c r="J10" s="1138" t="str">
        <f t="shared" si="5"/>
        <v>—</v>
      </c>
      <c r="K10" s="1138" t="str">
        <f t="shared" si="5"/>
        <v>—</v>
      </c>
      <c r="L10" s="1138" t="str">
        <f t="shared" si="5"/>
        <v>—</v>
      </c>
      <c r="M10" s="1138" t="str">
        <f t="shared" si="5"/>
        <v>—</v>
      </c>
      <c r="N10" s="1138" t="str">
        <f t="shared" si="5"/>
        <v>—</v>
      </c>
      <c r="O10" s="1138" t="str">
        <f t="shared" si="5"/>
        <v>—</v>
      </c>
      <c r="P10" s="1138" t="str">
        <f t="shared" si="5"/>
        <v>—</v>
      </c>
      <c r="Q10" s="1138" t="str">
        <f t="shared" si="5"/>
        <v>—</v>
      </c>
      <c r="R10" s="1138" t="str">
        <f t="shared" si="5"/>
        <v>—</v>
      </c>
      <c r="S10" s="1138" t="str">
        <f t="shared" si="5"/>
        <v>—</v>
      </c>
      <c r="T10" s="1138" t="str">
        <f t="shared" si="5"/>
        <v>—</v>
      </c>
      <c r="U10" s="1138">
        <f>IF(ISERROR(U9/U5),0,U9/U5)</f>
        <v>0</v>
      </c>
      <c r="V10" s="1138">
        <f t="shared" ref="V10:AD10" si="6">IF(ISERROR(V9/V5),0,V9/V5)</f>
        <v>0</v>
      </c>
      <c r="W10" s="1138">
        <f t="shared" si="6"/>
        <v>0</v>
      </c>
      <c r="X10" s="1138">
        <f t="shared" si="6"/>
        <v>0</v>
      </c>
      <c r="Y10" s="1138">
        <f t="shared" si="6"/>
        <v>0</v>
      </c>
      <c r="Z10" s="1138">
        <f t="shared" si="6"/>
        <v>0</v>
      </c>
      <c r="AA10" s="1138">
        <f t="shared" si="6"/>
        <v>0</v>
      </c>
      <c r="AB10" s="1138">
        <f t="shared" si="6"/>
        <v>0</v>
      </c>
      <c r="AC10" s="1138">
        <f t="shared" si="6"/>
        <v>0</v>
      </c>
      <c r="AD10" s="1138">
        <f t="shared" si="6"/>
        <v>0</v>
      </c>
      <c r="AE10" s="1138"/>
    </row>
    <row r="11" spans="1:160" s="4" customFormat="1" ht="16.5" customHeight="1">
      <c r="C11" s="1127"/>
      <c r="D11" s="1136"/>
      <c r="E11" s="1139"/>
      <c r="F11" s="1139"/>
      <c r="G11" s="1139"/>
      <c r="H11" s="1139"/>
      <c r="I11" s="1139"/>
      <c r="J11" s="1139"/>
      <c r="K11" s="1139"/>
      <c r="L11" s="1139"/>
      <c r="M11" s="1139"/>
      <c r="N11" s="1139"/>
      <c r="O11" s="1139"/>
      <c r="P11" s="1139"/>
      <c r="Q11" s="1139"/>
      <c r="R11" s="1139"/>
      <c r="S11" s="1139"/>
      <c r="T11" s="1139"/>
      <c r="U11" s="1140"/>
      <c r="V11" s="1140"/>
      <c r="W11" s="1140"/>
      <c r="X11" s="1140"/>
      <c r="Y11" s="1140"/>
      <c r="Z11" s="1140"/>
      <c r="AA11" s="1140"/>
      <c r="AB11" s="1140"/>
      <c r="AC11" s="1140"/>
      <c r="AD11" s="1140"/>
    </row>
    <row r="12" spans="1:160" s="92" customFormat="1" ht="16.5" customHeight="1">
      <c r="A12" s="1141"/>
      <c r="B12" s="1141"/>
      <c r="C12" s="1141"/>
      <c r="D12" s="1141"/>
      <c r="E12" s="1142"/>
      <c r="F12" s="1142"/>
      <c r="G12" s="1142"/>
      <c r="H12" s="1142"/>
      <c r="I12" s="1142"/>
      <c r="J12" s="1142"/>
      <c r="K12" s="1142"/>
      <c r="L12" s="1142"/>
      <c r="M12" s="1142"/>
      <c r="N12" s="1142"/>
      <c r="O12" s="1142"/>
      <c r="P12" s="1142"/>
      <c r="Q12" s="1142"/>
      <c r="R12" s="1142"/>
      <c r="S12" s="1142"/>
      <c r="T12" s="1142"/>
      <c r="U12" s="1142"/>
      <c r="V12" s="1142"/>
      <c r="W12" s="1142"/>
      <c r="X12" s="1142"/>
      <c r="Y12" s="1142"/>
      <c r="Z12" s="1142"/>
      <c r="AA12" s="1142"/>
      <c r="AB12" s="1142"/>
      <c r="AC12" s="1142"/>
      <c r="AD12" s="1142"/>
    </row>
    <row r="14" spans="1:160" s="29" customFormat="1" ht="16.5" customHeight="1">
      <c r="C14" s="39"/>
      <c r="D14" s="349"/>
      <c r="E14" s="1143"/>
      <c r="F14" s="1143"/>
      <c r="G14" s="1143"/>
      <c r="H14" s="1143"/>
      <c r="I14" s="1143"/>
      <c r="J14" s="1143"/>
      <c r="K14" s="1143"/>
      <c r="L14" s="1143"/>
      <c r="M14" s="1143"/>
      <c r="N14" s="1143"/>
      <c r="O14" s="1143"/>
      <c r="P14" s="1143"/>
      <c r="Q14" s="1143"/>
      <c r="R14" s="1143"/>
      <c r="S14" s="1143"/>
      <c r="T14" s="1143"/>
      <c r="U14" s="1143"/>
      <c r="V14" s="1143"/>
      <c r="W14" s="1143"/>
      <c r="X14" s="1143"/>
      <c r="Y14" s="1143"/>
      <c r="Z14" s="1143"/>
      <c r="AA14" s="1143"/>
      <c r="AB14" s="1143"/>
      <c r="AC14" s="1143"/>
      <c r="AD14" s="1143"/>
    </row>
    <row r="15" spans="1:160" s="655" customFormat="1" ht="16.5" customHeight="1">
      <c r="C15" s="1144"/>
      <c r="D15" s="1145"/>
      <c r="E15" s="1146"/>
      <c r="F15" s="1146"/>
      <c r="G15" s="1146"/>
      <c r="H15" s="1146"/>
      <c r="I15" s="1146"/>
      <c r="J15" s="1146"/>
      <c r="K15" s="1146"/>
      <c r="L15" s="1146"/>
      <c r="M15" s="1146"/>
      <c r="N15" s="1146"/>
      <c r="O15" s="1146"/>
      <c r="P15" s="1146"/>
      <c r="Q15" s="1146"/>
      <c r="R15" s="1146"/>
      <c r="S15" s="1146"/>
      <c r="T15" s="1146"/>
      <c r="U15" s="1146"/>
      <c r="V15" s="1146"/>
      <c r="W15" s="1146"/>
      <c r="X15" s="1146"/>
      <c r="Y15" s="1146"/>
      <c r="Z15" s="1146"/>
      <c r="AA15" s="1146"/>
      <c r="AB15" s="1146"/>
      <c r="AC15" s="1146"/>
      <c r="AD15" s="1146"/>
    </row>
    <row r="16" spans="1:160" s="154" customFormat="1" ht="16.5" customHeight="1">
      <c r="C16" s="1147"/>
      <c r="D16" s="1147"/>
      <c r="E16" s="1148"/>
      <c r="F16" s="1148"/>
      <c r="G16" s="1148"/>
      <c r="H16" s="1148"/>
      <c r="I16" s="1148"/>
      <c r="J16" s="1148"/>
      <c r="K16" s="1148"/>
      <c r="L16" s="1148"/>
      <c r="M16" s="1148"/>
      <c r="N16" s="1148"/>
      <c r="O16" s="1148"/>
      <c r="P16" s="1148"/>
      <c r="Q16" s="1148"/>
      <c r="R16" s="1148"/>
      <c r="S16" s="1148"/>
      <c r="T16" s="1148"/>
      <c r="U16" s="1021"/>
      <c r="V16" s="1021"/>
      <c r="W16" s="1021"/>
      <c r="X16" s="1021"/>
      <c r="Y16" s="1021"/>
      <c r="Z16" s="1021"/>
      <c r="AA16" s="1021"/>
      <c r="AB16" s="1021"/>
      <c r="AC16" s="1021"/>
      <c r="AD16" s="1021"/>
    </row>
    <row r="17" spans="1:30" s="29" customFormat="1" ht="16.5" customHeight="1">
      <c r="C17" s="1144"/>
      <c r="D17" s="1149"/>
      <c r="E17" s="1146"/>
      <c r="F17" s="1146"/>
      <c r="G17" s="1146"/>
      <c r="H17" s="1146"/>
      <c r="I17" s="1146"/>
      <c r="J17" s="1146"/>
      <c r="K17" s="1146"/>
      <c r="L17" s="1146"/>
      <c r="M17" s="1146"/>
      <c r="N17" s="1146"/>
      <c r="O17" s="1146"/>
      <c r="P17" s="1146"/>
      <c r="Q17" s="1146"/>
      <c r="R17" s="1146"/>
      <c r="S17" s="1146"/>
      <c r="T17" s="1146"/>
      <c r="U17" s="1146"/>
      <c r="V17" s="1146"/>
      <c r="W17" s="1146"/>
      <c r="X17" s="1146"/>
      <c r="Y17" s="1146"/>
      <c r="Z17" s="1146"/>
      <c r="AA17" s="1146"/>
      <c r="AB17" s="1146"/>
      <c r="AC17" s="1146"/>
      <c r="AD17" s="1146"/>
    </row>
    <row r="18" spans="1:30" s="29" customFormat="1" ht="16.5" customHeight="1">
      <c r="C18" s="1150"/>
      <c r="D18" s="1150"/>
      <c r="E18" s="1151"/>
      <c r="F18" s="1151"/>
      <c r="G18" s="1151"/>
      <c r="H18" s="1151"/>
      <c r="I18" s="1151"/>
      <c r="J18" s="1151"/>
      <c r="K18" s="1151"/>
      <c r="L18" s="1151"/>
      <c r="M18" s="1151"/>
      <c r="N18" s="1151"/>
      <c r="O18" s="1151"/>
      <c r="P18" s="1151"/>
      <c r="Q18" s="1151"/>
      <c r="R18" s="1151"/>
      <c r="S18" s="1151"/>
      <c r="T18" s="1151"/>
      <c r="U18" s="802"/>
      <c r="V18" s="802"/>
      <c r="W18" s="802"/>
      <c r="X18" s="802"/>
      <c r="Y18" s="802"/>
      <c r="Z18" s="802"/>
      <c r="AA18" s="802"/>
      <c r="AB18" s="802"/>
      <c r="AC18" s="802"/>
      <c r="AD18" s="802"/>
    </row>
    <row r="19" spans="1:30" s="29" customFormat="1" ht="16.5" customHeight="1">
      <c r="C19" s="1144"/>
      <c r="D19" s="1149"/>
      <c r="E19" s="1146"/>
      <c r="F19" s="1146"/>
      <c r="G19" s="1146"/>
      <c r="H19" s="1146"/>
      <c r="I19" s="1146"/>
      <c r="J19" s="1146"/>
      <c r="K19" s="1146"/>
      <c r="L19" s="1146"/>
      <c r="M19" s="1146"/>
      <c r="N19" s="1146"/>
      <c r="O19" s="1146"/>
      <c r="P19" s="1146"/>
      <c r="Q19" s="1146"/>
      <c r="R19" s="1146"/>
      <c r="S19" s="1146"/>
      <c r="T19" s="1146"/>
      <c r="U19" s="1146"/>
      <c r="V19" s="1146"/>
      <c r="W19" s="1146"/>
      <c r="X19" s="1146"/>
      <c r="Y19" s="1146"/>
      <c r="Z19" s="1146"/>
      <c r="AA19" s="1146"/>
      <c r="AB19" s="1146"/>
      <c r="AC19" s="1146"/>
      <c r="AD19" s="1146"/>
    </row>
    <row r="20" spans="1:30" s="29" customFormat="1" ht="16.5" customHeight="1">
      <c r="C20" s="1150"/>
      <c r="D20" s="1150"/>
      <c r="E20" s="1152"/>
      <c r="F20" s="1152"/>
      <c r="G20" s="1152"/>
      <c r="H20" s="1152"/>
      <c r="I20" s="1152"/>
      <c r="J20" s="1152"/>
      <c r="K20" s="1152"/>
      <c r="L20" s="1152"/>
      <c r="M20" s="1152"/>
      <c r="N20" s="1152"/>
      <c r="O20" s="1152"/>
      <c r="P20" s="1152"/>
      <c r="Q20" s="1152"/>
      <c r="R20" s="1152"/>
      <c r="S20" s="1152"/>
      <c r="T20" s="1152"/>
      <c r="U20" s="1152"/>
      <c r="V20" s="1152"/>
      <c r="W20" s="1152"/>
      <c r="X20" s="1152"/>
      <c r="Y20" s="1152"/>
      <c r="Z20" s="1152"/>
      <c r="AA20" s="1152"/>
      <c r="AB20" s="1152"/>
      <c r="AC20" s="1152"/>
      <c r="AD20" s="1152"/>
    </row>
    <row r="21" spans="1:30" s="154" customFormat="1" ht="16.5" customHeight="1">
      <c r="C21" s="1147"/>
      <c r="D21" s="1147"/>
      <c r="E21" s="1153"/>
      <c r="F21" s="1153"/>
      <c r="G21" s="1153"/>
      <c r="H21" s="1153"/>
      <c r="I21" s="1153"/>
      <c r="J21" s="1153"/>
      <c r="K21" s="1153"/>
      <c r="L21" s="1153"/>
      <c r="M21" s="1153"/>
      <c r="N21" s="1153"/>
      <c r="O21" s="1153"/>
      <c r="P21" s="1153"/>
      <c r="Q21" s="1153"/>
      <c r="R21" s="1153"/>
      <c r="S21" s="1153"/>
      <c r="T21" s="1153"/>
      <c r="U21" s="1153"/>
      <c r="V21" s="1153"/>
      <c r="W21" s="1153"/>
      <c r="X21" s="1153"/>
      <c r="Y21" s="1153"/>
      <c r="Z21" s="1153"/>
      <c r="AA21" s="1153"/>
      <c r="AB21" s="1153"/>
      <c r="AC21" s="1153"/>
      <c r="AD21" s="1153"/>
    </row>
    <row r="22" spans="1:30" s="29" customFormat="1" ht="16.5" customHeight="1">
      <c r="C22" s="1150"/>
      <c r="D22" s="1150"/>
      <c r="E22" s="1154"/>
      <c r="F22" s="1154"/>
      <c r="G22" s="1154"/>
      <c r="H22" s="1154"/>
      <c r="I22" s="1154"/>
      <c r="J22" s="1154"/>
      <c r="K22" s="1154"/>
      <c r="L22" s="1154"/>
      <c r="M22" s="1154"/>
      <c r="N22" s="1154"/>
      <c r="O22" s="1154"/>
      <c r="P22" s="1154"/>
      <c r="Q22" s="1154"/>
      <c r="R22" s="1154"/>
      <c r="S22" s="1154"/>
      <c r="T22" s="1154"/>
      <c r="U22" s="1154"/>
      <c r="V22" s="1154"/>
      <c r="W22" s="1154"/>
      <c r="X22" s="1154"/>
      <c r="Y22" s="1154"/>
      <c r="Z22" s="1154"/>
      <c r="AA22" s="1154"/>
      <c r="AB22" s="1154"/>
      <c r="AC22" s="1154"/>
      <c r="AD22" s="1154"/>
    </row>
    <row r="23" spans="1:30" s="29" customFormat="1" ht="16.5" customHeight="1"/>
    <row r="24" spans="1:30" s="29" customFormat="1" ht="16.5" customHeight="1">
      <c r="A24" s="154"/>
      <c r="B24" s="154"/>
      <c r="C24" s="349"/>
      <c r="D24" s="349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1087"/>
      <c r="V24" s="30"/>
      <c r="W24" s="30"/>
      <c r="X24" s="1155"/>
      <c r="Y24" s="1155"/>
      <c r="Z24" s="1155"/>
      <c r="AA24" s="1155"/>
      <c r="AB24" s="1155"/>
      <c r="AC24" s="1155"/>
      <c r="AD24" s="1155"/>
    </row>
    <row r="25" spans="1:30" s="29" customFormat="1" ht="16.5" customHeight="1">
      <c r="C25" s="39"/>
      <c r="D25" s="349"/>
      <c r="E25" s="1143"/>
      <c r="F25" s="1143"/>
      <c r="G25" s="1143"/>
      <c r="H25" s="1143"/>
      <c r="I25" s="1143"/>
      <c r="J25" s="1143"/>
      <c r="K25" s="1143"/>
      <c r="L25" s="1143"/>
      <c r="M25" s="1143"/>
      <c r="N25" s="1143"/>
      <c r="O25" s="1143"/>
      <c r="P25" s="1143"/>
      <c r="Q25" s="1143"/>
      <c r="R25" s="1143"/>
      <c r="S25" s="1143"/>
      <c r="T25" s="1143"/>
      <c r="U25" s="1143"/>
      <c r="V25" s="1143"/>
      <c r="W25" s="1143"/>
      <c r="X25" s="1143"/>
      <c r="Y25" s="1143"/>
      <c r="Z25" s="1143"/>
      <c r="AA25" s="1143"/>
      <c r="AB25" s="1143"/>
      <c r="AC25" s="1143"/>
      <c r="AD25" s="1143"/>
    </row>
    <row r="26" spans="1:30" s="655" customFormat="1" ht="16.5" customHeight="1">
      <c r="C26" s="1144"/>
      <c r="D26" s="1145"/>
      <c r="E26" s="1146"/>
      <c r="F26" s="1146"/>
      <c r="G26" s="1146"/>
      <c r="H26" s="1146"/>
      <c r="I26" s="1146"/>
      <c r="J26" s="1146"/>
      <c r="K26" s="1146"/>
      <c r="L26" s="1146"/>
      <c r="M26" s="1146"/>
      <c r="N26" s="1146"/>
      <c r="O26" s="1146"/>
      <c r="P26" s="1146"/>
      <c r="Q26" s="1146"/>
      <c r="R26" s="1146"/>
      <c r="S26" s="1146"/>
      <c r="T26" s="1146"/>
      <c r="U26" s="1146"/>
      <c r="V26" s="1146"/>
      <c r="W26" s="1146"/>
      <c r="X26" s="1146"/>
      <c r="Y26" s="1146"/>
      <c r="Z26" s="1146"/>
      <c r="AA26" s="1146"/>
      <c r="AB26" s="1146"/>
      <c r="AC26" s="1146"/>
      <c r="AD26" s="1146"/>
    </row>
    <row r="27" spans="1:30" s="29" customFormat="1" ht="16.5" customHeight="1">
      <c r="C27" s="39"/>
      <c r="D27" s="349"/>
      <c r="E27" s="1143"/>
      <c r="F27" s="1143"/>
      <c r="G27" s="1143"/>
      <c r="H27" s="1143"/>
      <c r="I27" s="1143"/>
      <c r="J27" s="1143"/>
      <c r="K27" s="1143"/>
      <c r="L27" s="1143"/>
      <c r="M27" s="1143"/>
      <c r="N27" s="1143"/>
      <c r="O27" s="1143"/>
      <c r="P27" s="1143"/>
      <c r="Q27" s="1143"/>
      <c r="R27" s="1143"/>
      <c r="S27" s="1143"/>
      <c r="T27" s="1143"/>
      <c r="U27" s="1143"/>
      <c r="V27" s="1143"/>
      <c r="W27" s="1143"/>
      <c r="X27" s="1143"/>
      <c r="Y27" s="1143"/>
      <c r="Z27" s="1143"/>
      <c r="AA27" s="1143"/>
      <c r="AB27" s="1143"/>
      <c r="AC27" s="1143"/>
      <c r="AD27" s="1143"/>
    </row>
    <row r="28" spans="1:30" s="655" customFormat="1" ht="16.5" customHeight="1">
      <c r="C28" s="1144"/>
      <c r="D28" s="1145"/>
      <c r="E28" s="1146"/>
      <c r="F28" s="1146"/>
      <c r="G28" s="1146"/>
      <c r="H28" s="1146"/>
      <c r="I28" s="1146"/>
      <c r="J28" s="1146"/>
      <c r="K28" s="1146"/>
      <c r="L28" s="1146"/>
      <c r="M28" s="1146"/>
      <c r="N28" s="1146"/>
      <c r="O28" s="1146"/>
      <c r="P28" s="1146"/>
      <c r="Q28" s="1146"/>
      <c r="R28" s="1146"/>
      <c r="S28" s="1146"/>
      <c r="T28" s="1146"/>
      <c r="U28" s="1146"/>
      <c r="V28" s="1146"/>
      <c r="W28" s="1146"/>
      <c r="X28" s="1146"/>
      <c r="Y28" s="1146"/>
      <c r="Z28" s="1146"/>
      <c r="AA28" s="1146"/>
      <c r="AB28" s="1146"/>
      <c r="AC28" s="1146"/>
      <c r="AD28" s="1146"/>
    </row>
    <row r="29" spans="1:30" s="154" customFormat="1" ht="16.5" customHeight="1">
      <c r="C29" s="1147"/>
      <c r="D29" s="1147"/>
      <c r="E29" s="1148"/>
      <c r="F29" s="1148"/>
      <c r="G29" s="1148"/>
      <c r="H29" s="1148"/>
      <c r="I29" s="1148"/>
      <c r="J29" s="1148"/>
      <c r="K29" s="1148"/>
      <c r="L29" s="1148"/>
      <c r="M29" s="1148"/>
      <c r="N29" s="1148"/>
      <c r="O29" s="1148"/>
      <c r="P29" s="1148"/>
      <c r="Q29" s="1148"/>
      <c r="R29" s="1148"/>
      <c r="S29" s="1148"/>
      <c r="T29" s="1148"/>
      <c r="U29" s="1021"/>
      <c r="V29" s="1021"/>
      <c r="W29" s="1021"/>
      <c r="X29" s="1021"/>
      <c r="Y29" s="1021"/>
      <c r="Z29" s="1021"/>
      <c r="AA29" s="1021"/>
      <c r="AB29" s="1021"/>
      <c r="AC29" s="1021"/>
      <c r="AD29" s="1021"/>
    </row>
    <row r="30" spans="1:30" s="29" customFormat="1" ht="16.5" customHeight="1">
      <c r="C30" s="1144"/>
      <c r="D30" s="1149"/>
      <c r="E30" s="1146"/>
      <c r="F30" s="1146"/>
      <c r="G30" s="1146"/>
      <c r="H30" s="1146"/>
      <c r="I30" s="1146"/>
      <c r="J30" s="1146"/>
      <c r="K30" s="1146"/>
      <c r="L30" s="1146"/>
      <c r="M30" s="1146"/>
      <c r="N30" s="1146"/>
      <c r="O30" s="1146"/>
      <c r="P30" s="1146"/>
      <c r="Q30" s="1146"/>
      <c r="R30" s="1146"/>
      <c r="S30" s="1146"/>
      <c r="T30" s="1146"/>
      <c r="U30" s="1146"/>
      <c r="V30" s="1146"/>
      <c r="W30" s="1146"/>
      <c r="X30" s="1146"/>
      <c r="Y30" s="1146"/>
      <c r="Z30" s="1146"/>
      <c r="AA30" s="1146"/>
      <c r="AB30" s="1146"/>
      <c r="AC30" s="1146"/>
      <c r="AD30" s="1146"/>
    </row>
    <row r="31" spans="1:30" s="29" customFormat="1" ht="16.5" customHeight="1">
      <c r="C31" s="1150"/>
      <c r="D31" s="1150"/>
      <c r="E31" s="1151"/>
      <c r="F31" s="1151"/>
      <c r="G31" s="1151"/>
      <c r="H31" s="1151"/>
      <c r="I31" s="1151"/>
      <c r="J31" s="1151"/>
      <c r="K31" s="1151"/>
      <c r="L31" s="1151"/>
      <c r="M31" s="1151"/>
      <c r="N31" s="1151"/>
      <c r="O31" s="1151"/>
      <c r="P31" s="1151"/>
      <c r="Q31" s="1151"/>
      <c r="R31" s="1151"/>
      <c r="S31" s="1151"/>
      <c r="T31" s="1151"/>
      <c r="U31" s="802"/>
      <c r="V31" s="802"/>
      <c r="W31" s="802"/>
      <c r="X31" s="802"/>
      <c r="Y31" s="802"/>
      <c r="Z31" s="802"/>
      <c r="AA31" s="802"/>
      <c r="AB31" s="802"/>
      <c r="AC31" s="802"/>
      <c r="AD31" s="802"/>
    </row>
    <row r="32" spans="1:30" s="29" customFormat="1" ht="16.5" customHeight="1">
      <c r="C32" s="1144"/>
      <c r="D32" s="1149"/>
      <c r="E32" s="1146"/>
      <c r="F32" s="1146"/>
      <c r="G32" s="1146"/>
      <c r="H32" s="1146"/>
      <c r="I32" s="1146"/>
      <c r="J32" s="1146"/>
      <c r="K32" s="1146"/>
      <c r="L32" s="1146"/>
      <c r="M32" s="1146"/>
      <c r="N32" s="1146"/>
      <c r="O32" s="1146"/>
      <c r="P32" s="1146"/>
      <c r="Q32" s="1146"/>
      <c r="R32" s="1146"/>
      <c r="S32" s="1146"/>
      <c r="T32" s="1146"/>
      <c r="U32" s="1146"/>
      <c r="V32" s="1146"/>
      <c r="W32" s="1146"/>
      <c r="X32" s="1146"/>
      <c r="Y32" s="1146"/>
      <c r="Z32" s="1146"/>
      <c r="AA32" s="1146"/>
      <c r="AB32" s="1146"/>
      <c r="AC32" s="1146"/>
      <c r="AD32" s="1146"/>
    </row>
    <row r="33" spans="1:30" s="29" customFormat="1" ht="16.5" customHeight="1">
      <c r="C33" s="1150"/>
      <c r="D33" s="1150"/>
      <c r="E33" s="1152"/>
      <c r="F33" s="1152"/>
      <c r="G33" s="1152"/>
      <c r="H33" s="1152"/>
      <c r="I33" s="1152"/>
      <c r="J33" s="1152"/>
      <c r="K33" s="1152"/>
      <c r="L33" s="1152"/>
      <c r="M33" s="1152"/>
      <c r="N33" s="1152"/>
      <c r="O33" s="1152"/>
      <c r="P33" s="1152"/>
      <c r="Q33" s="1152"/>
      <c r="R33" s="1152"/>
      <c r="S33" s="1152"/>
      <c r="T33" s="1152"/>
      <c r="U33" s="1152"/>
      <c r="V33" s="1152"/>
      <c r="W33" s="1152"/>
      <c r="X33" s="1152"/>
      <c r="Y33" s="1152"/>
      <c r="Z33" s="1152"/>
      <c r="AA33" s="1152"/>
      <c r="AB33" s="1152"/>
      <c r="AC33" s="1152"/>
      <c r="AD33" s="1152"/>
    </row>
    <row r="34" spans="1:30" s="154" customFormat="1" ht="16.5" customHeight="1">
      <c r="C34" s="1147"/>
      <c r="D34" s="1147"/>
      <c r="E34" s="1153"/>
      <c r="F34" s="1153"/>
      <c r="G34" s="1153"/>
      <c r="H34" s="1153"/>
      <c r="I34" s="1153"/>
      <c r="J34" s="1153"/>
      <c r="K34" s="1153"/>
      <c r="L34" s="1153"/>
      <c r="M34" s="1153"/>
      <c r="N34" s="1153"/>
      <c r="O34" s="1153"/>
      <c r="P34" s="1153"/>
      <c r="Q34" s="1153"/>
      <c r="R34" s="1153"/>
      <c r="S34" s="1153"/>
      <c r="T34" s="1153"/>
      <c r="U34" s="1153"/>
      <c r="V34" s="1153"/>
      <c r="W34" s="1153"/>
      <c r="X34" s="1153"/>
      <c r="Y34" s="1153"/>
      <c r="Z34" s="1153"/>
      <c r="AA34" s="1153"/>
      <c r="AB34" s="1153"/>
      <c r="AC34" s="1153"/>
      <c r="AD34" s="1153"/>
    </row>
    <row r="35" spans="1:30" s="29" customFormat="1" ht="16.5" customHeight="1">
      <c r="C35" s="1150"/>
      <c r="D35" s="1150"/>
      <c r="E35" s="1154"/>
      <c r="F35" s="1154"/>
      <c r="G35" s="1154"/>
      <c r="H35" s="1154"/>
      <c r="I35" s="1154"/>
      <c r="J35" s="1154"/>
      <c r="K35" s="1154"/>
      <c r="L35" s="1154"/>
      <c r="M35" s="1154"/>
      <c r="N35" s="1154"/>
      <c r="O35" s="1154"/>
      <c r="P35" s="1154"/>
      <c r="Q35" s="1154"/>
      <c r="R35" s="1154"/>
      <c r="S35" s="1154"/>
      <c r="T35" s="1154"/>
      <c r="U35" s="1154"/>
      <c r="V35" s="1154"/>
      <c r="W35" s="1154"/>
      <c r="X35" s="1154"/>
      <c r="Y35" s="1154"/>
      <c r="Z35" s="1154"/>
      <c r="AA35" s="1154"/>
      <c r="AB35" s="1154"/>
      <c r="AC35" s="1154"/>
      <c r="AD35" s="1154"/>
    </row>
    <row r="36" spans="1:30" s="29" customFormat="1" ht="16.5" customHeight="1"/>
    <row r="37" spans="1:30" s="29" customFormat="1" ht="16.5" customHeight="1">
      <c r="A37" s="154"/>
      <c r="B37" s="154"/>
      <c r="C37" s="349"/>
      <c r="D37" s="34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1087"/>
      <c r="V37" s="30"/>
      <c r="W37" s="30"/>
      <c r="X37" s="1155"/>
      <c r="Y37" s="1155"/>
      <c r="Z37" s="1155"/>
      <c r="AA37" s="1155"/>
      <c r="AB37" s="1155"/>
      <c r="AC37" s="1155"/>
      <c r="AD37" s="1155"/>
    </row>
    <row r="38" spans="1:30" s="29" customFormat="1" ht="16.5" customHeight="1">
      <c r="C38" s="39"/>
      <c r="D38" s="349"/>
      <c r="E38" s="1143"/>
      <c r="F38" s="1143"/>
      <c r="G38" s="1143"/>
      <c r="H38" s="1143"/>
      <c r="I38" s="1143"/>
      <c r="J38" s="1143"/>
      <c r="K38" s="1143"/>
      <c r="L38" s="1143"/>
      <c r="M38" s="1143"/>
      <c r="N38" s="1143"/>
      <c r="O38" s="1143"/>
      <c r="P38" s="1143"/>
      <c r="Q38" s="1143"/>
      <c r="R38" s="1143"/>
      <c r="S38" s="1143"/>
      <c r="T38" s="1143"/>
      <c r="U38" s="1143"/>
      <c r="V38" s="1143"/>
      <c r="W38" s="1143"/>
      <c r="X38" s="1143"/>
      <c r="Y38" s="1143"/>
      <c r="Z38" s="1143"/>
      <c r="AA38" s="1143"/>
      <c r="AB38" s="1143"/>
      <c r="AC38" s="1143"/>
      <c r="AD38" s="1143"/>
    </row>
    <row r="39" spans="1:30" s="655" customFormat="1" ht="16.5" customHeight="1">
      <c r="C39" s="1144"/>
      <c r="D39" s="1145"/>
      <c r="E39" s="1146"/>
      <c r="F39" s="1146"/>
      <c r="G39" s="1146"/>
      <c r="H39" s="1146"/>
      <c r="I39" s="1146"/>
      <c r="J39" s="1146"/>
      <c r="K39" s="1146"/>
      <c r="L39" s="1146"/>
      <c r="M39" s="1146"/>
      <c r="N39" s="1146"/>
      <c r="O39" s="1146"/>
      <c r="P39" s="1146"/>
      <c r="Q39" s="1146"/>
      <c r="R39" s="1146"/>
      <c r="S39" s="1146"/>
      <c r="T39" s="1146"/>
      <c r="U39" s="1146"/>
      <c r="V39" s="1146"/>
      <c r="W39" s="1146"/>
      <c r="X39" s="1146"/>
      <c r="Y39" s="1146"/>
      <c r="Z39" s="1146"/>
      <c r="AA39" s="1146"/>
      <c r="AB39" s="1146"/>
      <c r="AC39" s="1146"/>
      <c r="AD39" s="1146"/>
    </row>
    <row r="40" spans="1:30" s="29" customFormat="1" ht="16.5" customHeight="1">
      <c r="C40" s="39"/>
      <c r="D40" s="349"/>
      <c r="E40" s="1143"/>
      <c r="F40" s="1143"/>
      <c r="G40" s="1143"/>
      <c r="H40" s="1143"/>
      <c r="I40" s="1143"/>
      <c r="J40" s="1143"/>
      <c r="K40" s="1143"/>
      <c r="L40" s="1143"/>
      <c r="M40" s="1143"/>
      <c r="N40" s="1143"/>
      <c r="O40" s="1143"/>
      <c r="P40" s="1143"/>
      <c r="Q40" s="1143"/>
      <c r="R40" s="1143"/>
      <c r="S40" s="1143"/>
      <c r="T40" s="1143"/>
      <c r="U40" s="1143"/>
      <c r="V40" s="1143"/>
      <c r="W40" s="1143"/>
      <c r="X40" s="1143"/>
      <c r="Y40" s="1143"/>
      <c r="Z40" s="1143"/>
      <c r="AA40" s="1143"/>
      <c r="AB40" s="1143"/>
      <c r="AC40" s="1143"/>
      <c r="AD40" s="1143"/>
    </row>
    <row r="41" spans="1:30" s="655" customFormat="1" ht="16.5" customHeight="1">
      <c r="C41" s="1144"/>
      <c r="D41" s="1145"/>
      <c r="E41" s="1146"/>
      <c r="F41" s="1146"/>
      <c r="G41" s="1146"/>
      <c r="H41" s="1146"/>
      <c r="I41" s="1146"/>
      <c r="J41" s="1146"/>
      <c r="K41" s="1146"/>
      <c r="L41" s="1146"/>
      <c r="M41" s="1146"/>
      <c r="N41" s="1146"/>
      <c r="O41" s="1146"/>
      <c r="P41" s="1146"/>
      <c r="Q41" s="1146"/>
      <c r="R41" s="1146"/>
      <c r="S41" s="1146"/>
      <c r="T41" s="1146"/>
      <c r="U41" s="1146"/>
      <c r="V41" s="1146"/>
      <c r="W41" s="1146"/>
      <c r="X41" s="1146"/>
      <c r="Y41" s="1146"/>
      <c r="Z41" s="1146"/>
      <c r="AA41" s="1146"/>
      <c r="AB41" s="1146"/>
      <c r="AC41" s="1146"/>
      <c r="AD41" s="1146"/>
    </row>
    <row r="42" spans="1:30" s="154" customFormat="1" ht="16.5" customHeight="1">
      <c r="C42" s="1147"/>
      <c r="D42" s="1147"/>
      <c r="E42" s="1148"/>
      <c r="F42" s="1148"/>
      <c r="G42" s="1148"/>
      <c r="H42" s="1148"/>
      <c r="I42" s="1148"/>
      <c r="J42" s="1148"/>
      <c r="K42" s="1148"/>
      <c r="L42" s="1148"/>
      <c r="M42" s="1148"/>
      <c r="N42" s="1148"/>
      <c r="O42" s="1148"/>
      <c r="P42" s="1148"/>
      <c r="Q42" s="1148"/>
      <c r="R42" s="1148"/>
      <c r="S42" s="1148"/>
      <c r="T42" s="1148"/>
      <c r="U42" s="1021"/>
      <c r="V42" s="1021"/>
      <c r="W42" s="1021"/>
      <c r="X42" s="1021"/>
      <c r="Y42" s="1021"/>
      <c r="Z42" s="1021"/>
      <c r="AA42" s="1021"/>
      <c r="AB42" s="1021"/>
      <c r="AC42" s="1021"/>
      <c r="AD42" s="1021"/>
    </row>
    <row r="43" spans="1:30" s="29" customFormat="1" ht="16.5" customHeight="1">
      <c r="C43" s="1144"/>
      <c r="D43" s="1149"/>
      <c r="E43" s="1146"/>
      <c r="F43" s="1146"/>
      <c r="G43" s="1146"/>
      <c r="H43" s="1146"/>
      <c r="I43" s="1146"/>
      <c r="J43" s="1146"/>
      <c r="K43" s="1146"/>
      <c r="L43" s="1146"/>
      <c r="M43" s="1146"/>
      <c r="N43" s="1146"/>
      <c r="O43" s="1146"/>
      <c r="P43" s="1146"/>
      <c r="Q43" s="1146"/>
      <c r="R43" s="1146"/>
      <c r="S43" s="1146"/>
      <c r="T43" s="1146"/>
      <c r="U43" s="1146"/>
      <c r="V43" s="1146"/>
      <c r="W43" s="1146"/>
      <c r="X43" s="1146"/>
      <c r="Y43" s="1146"/>
      <c r="Z43" s="1146"/>
      <c r="AA43" s="1146"/>
      <c r="AB43" s="1146"/>
      <c r="AC43" s="1146"/>
      <c r="AD43" s="1146"/>
    </row>
    <row r="44" spans="1:30" s="29" customFormat="1" ht="16.5" customHeight="1">
      <c r="C44" s="1150"/>
      <c r="D44" s="1150"/>
      <c r="E44" s="1151"/>
      <c r="F44" s="1151"/>
      <c r="G44" s="1151"/>
      <c r="H44" s="1151"/>
      <c r="I44" s="1151"/>
      <c r="J44" s="1151"/>
      <c r="K44" s="1151"/>
      <c r="L44" s="1151"/>
      <c r="M44" s="1151"/>
      <c r="N44" s="1151"/>
      <c r="O44" s="1151"/>
      <c r="P44" s="1151"/>
      <c r="Q44" s="1151"/>
      <c r="R44" s="1151"/>
      <c r="S44" s="1151"/>
      <c r="T44" s="1151"/>
      <c r="U44" s="802"/>
      <c r="V44" s="802"/>
      <c r="W44" s="802"/>
      <c r="X44" s="802"/>
      <c r="Y44" s="802"/>
      <c r="Z44" s="802"/>
      <c r="AA44" s="802"/>
      <c r="AB44" s="802"/>
      <c r="AC44" s="802"/>
      <c r="AD44" s="802"/>
    </row>
    <row r="45" spans="1:30" s="29" customFormat="1" ht="16.5" customHeight="1">
      <c r="C45" s="1144"/>
      <c r="D45" s="1149"/>
      <c r="E45" s="1146"/>
      <c r="F45" s="1146"/>
      <c r="G45" s="1146"/>
      <c r="H45" s="1146"/>
      <c r="I45" s="1146"/>
      <c r="J45" s="1146"/>
      <c r="K45" s="1146"/>
      <c r="L45" s="1146"/>
      <c r="M45" s="1146"/>
      <c r="N45" s="1146"/>
      <c r="O45" s="1146"/>
      <c r="P45" s="1146"/>
      <c r="Q45" s="1146"/>
      <c r="R45" s="1146"/>
      <c r="S45" s="1146"/>
      <c r="T45" s="1146"/>
      <c r="U45" s="1146"/>
      <c r="V45" s="1146"/>
      <c r="W45" s="1146"/>
      <c r="X45" s="1146"/>
      <c r="Y45" s="1146"/>
      <c r="Z45" s="1146"/>
      <c r="AA45" s="1146"/>
      <c r="AB45" s="1146"/>
      <c r="AC45" s="1146"/>
      <c r="AD45" s="1146"/>
    </row>
    <row r="46" spans="1:30" s="29" customFormat="1" ht="16.5" customHeight="1">
      <c r="C46" s="1150"/>
      <c r="D46" s="1150"/>
      <c r="E46" s="1152"/>
      <c r="F46" s="1152"/>
      <c r="G46" s="1152"/>
      <c r="H46" s="1152"/>
      <c r="I46" s="1152"/>
      <c r="J46" s="1152"/>
      <c r="K46" s="1152"/>
      <c r="L46" s="1152"/>
      <c r="M46" s="1152"/>
      <c r="N46" s="1152"/>
      <c r="O46" s="1152"/>
      <c r="P46" s="1152"/>
      <c r="Q46" s="1152"/>
      <c r="R46" s="1152"/>
      <c r="S46" s="1152"/>
      <c r="T46" s="1152"/>
      <c r="U46" s="1152"/>
      <c r="V46" s="1152"/>
      <c r="W46" s="1152"/>
      <c r="X46" s="1152"/>
      <c r="Y46" s="1152"/>
      <c r="Z46" s="1152"/>
      <c r="AA46" s="1152"/>
      <c r="AB46" s="1152"/>
      <c r="AC46" s="1152"/>
      <c r="AD46" s="1152"/>
    </row>
    <row r="47" spans="1:30" s="154" customFormat="1" ht="16.5" customHeight="1">
      <c r="C47" s="1147"/>
      <c r="D47" s="1147"/>
      <c r="E47" s="1153"/>
      <c r="F47" s="1153"/>
      <c r="G47" s="1153"/>
      <c r="H47" s="1153"/>
      <c r="I47" s="1153"/>
      <c r="J47" s="1153"/>
      <c r="K47" s="1153"/>
      <c r="L47" s="1153"/>
      <c r="M47" s="1153"/>
      <c r="N47" s="1153"/>
      <c r="O47" s="1153"/>
      <c r="P47" s="1153"/>
      <c r="Q47" s="1153"/>
      <c r="R47" s="1153"/>
      <c r="S47" s="1153"/>
      <c r="T47" s="1153"/>
      <c r="U47" s="1153"/>
      <c r="V47" s="1153"/>
      <c r="W47" s="1153"/>
      <c r="X47" s="1153"/>
      <c r="Y47" s="1153"/>
      <c r="Z47" s="1153"/>
      <c r="AA47" s="1153"/>
      <c r="AB47" s="1153"/>
      <c r="AC47" s="1153"/>
      <c r="AD47" s="1153"/>
    </row>
    <row r="48" spans="1:30" s="29" customFormat="1" ht="16.5" customHeight="1">
      <c r="C48" s="1150"/>
      <c r="D48" s="1150"/>
      <c r="E48" s="1154"/>
      <c r="F48" s="1154"/>
      <c r="G48" s="1154"/>
      <c r="H48" s="1154"/>
      <c r="I48" s="1154"/>
      <c r="J48" s="1154"/>
      <c r="K48" s="1154"/>
      <c r="L48" s="1154"/>
      <c r="M48" s="1154"/>
      <c r="N48" s="1154"/>
      <c r="O48" s="1154"/>
      <c r="P48" s="1154"/>
      <c r="Q48" s="1154"/>
      <c r="R48" s="1154"/>
      <c r="S48" s="1154"/>
      <c r="T48" s="1154"/>
      <c r="U48" s="1154"/>
      <c r="V48" s="1154"/>
      <c r="W48" s="1154"/>
      <c r="X48" s="1154"/>
      <c r="Y48" s="1154"/>
      <c r="Z48" s="1154"/>
      <c r="AA48" s="1154"/>
      <c r="AB48" s="1154"/>
      <c r="AC48" s="1154"/>
      <c r="AD48" s="1154"/>
    </row>
    <row r="49" spans="1:30" s="29" customFormat="1" ht="16.5" customHeight="1"/>
    <row r="50" spans="1:30" s="29" customFormat="1" ht="16.5" customHeight="1">
      <c r="A50" s="154"/>
      <c r="B50" s="154"/>
      <c r="C50" s="349"/>
      <c r="D50" s="34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1087"/>
      <c r="V50" s="30"/>
      <c r="W50" s="30"/>
      <c r="X50" s="1155"/>
      <c r="Y50" s="1155"/>
      <c r="Z50" s="1155"/>
      <c r="AA50" s="1155"/>
      <c r="AB50" s="1155"/>
      <c r="AC50" s="1155"/>
      <c r="AD50" s="1155"/>
    </row>
    <row r="51" spans="1:30" s="29" customFormat="1" ht="16.5" customHeight="1">
      <c r="C51" s="39"/>
      <c r="D51" s="349"/>
      <c r="E51" s="1143"/>
      <c r="F51" s="1143"/>
      <c r="G51" s="1143"/>
      <c r="H51" s="1143"/>
      <c r="I51" s="1143"/>
      <c r="J51" s="1143"/>
      <c r="K51" s="1143"/>
      <c r="L51" s="1143"/>
      <c r="M51" s="1143"/>
      <c r="N51" s="1143"/>
      <c r="O51" s="1143"/>
      <c r="P51" s="1143"/>
      <c r="Q51" s="1143"/>
      <c r="R51" s="1143"/>
      <c r="S51" s="1143"/>
      <c r="T51" s="1143"/>
      <c r="U51" s="1143"/>
      <c r="V51" s="1143"/>
      <c r="W51" s="1143"/>
      <c r="X51" s="1143"/>
      <c r="Y51" s="1143"/>
      <c r="Z51" s="1143"/>
      <c r="AA51" s="1143"/>
      <c r="AB51" s="1143"/>
      <c r="AC51" s="1143"/>
      <c r="AD51" s="1143"/>
    </row>
    <row r="52" spans="1:30" s="655" customFormat="1" ht="16.5" customHeight="1">
      <c r="C52" s="1144"/>
      <c r="D52" s="1145"/>
      <c r="E52" s="1146"/>
      <c r="F52" s="1146"/>
      <c r="G52" s="1146"/>
      <c r="H52" s="1146"/>
      <c r="I52" s="1146"/>
      <c r="J52" s="1146"/>
      <c r="K52" s="1146"/>
      <c r="L52" s="1146"/>
      <c r="M52" s="1146"/>
      <c r="N52" s="1146"/>
      <c r="O52" s="1146"/>
      <c r="P52" s="1146"/>
      <c r="Q52" s="1146"/>
      <c r="R52" s="1146"/>
      <c r="S52" s="1146"/>
      <c r="T52" s="1146"/>
      <c r="U52" s="1146"/>
      <c r="V52" s="1146"/>
      <c r="W52" s="1146"/>
      <c r="X52" s="1146"/>
      <c r="Y52" s="1146"/>
      <c r="Z52" s="1146"/>
      <c r="AA52" s="1146"/>
      <c r="AB52" s="1146"/>
      <c r="AC52" s="1146"/>
      <c r="AD52" s="1146"/>
    </row>
    <row r="53" spans="1:30" s="29" customFormat="1" ht="16.5" customHeight="1">
      <c r="C53" s="39"/>
      <c r="D53" s="349"/>
      <c r="E53" s="1143"/>
      <c r="F53" s="1143"/>
      <c r="G53" s="1143"/>
      <c r="H53" s="1143"/>
      <c r="I53" s="1143"/>
      <c r="J53" s="1143"/>
      <c r="K53" s="1143"/>
      <c r="L53" s="1143"/>
      <c r="M53" s="1143"/>
      <c r="N53" s="1143"/>
      <c r="O53" s="1143"/>
      <c r="P53" s="1143"/>
      <c r="Q53" s="1143"/>
      <c r="R53" s="1143"/>
      <c r="S53" s="1143"/>
      <c r="T53" s="1143"/>
      <c r="U53" s="1143"/>
      <c r="V53" s="1143"/>
      <c r="W53" s="1143"/>
      <c r="X53" s="1143"/>
      <c r="Y53" s="1143"/>
      <c r="Z53" s="1143"/>
      <c r="AA53" s="1143"/>
      <c r="AB53" s="1143"/>
      <c r="AC53" s="1143"/>
      <c r="AD53" s="1143"/>
    </row>
    <row r="54" spans="1:30" s="655" customFormat="1" ht="16.5" customHeight="1">
      <c r="C54" s="1144"/>
      <c r="D54" s="1145"/>
      <c r="E54" s="1146"/>
      <c r="F54" s="1146"/>
      <c r="G54" s="1146"/>
      <c r="H54" s="1146"/>
      <c r="I54" s="1146"/>
      <c r="J54" s="1146"/>
      <c r="K54" s="1146"/>
      <c r="L54" s="1146"/>
      <c r="M54" s="1146"/>
      <c r="N54" s="1146"/>
      <c r="O54" s="1146"/>
      <c r="P54" s="1146"/>
      <c r="Q54" s="1146"/>
      <c r="R54" s="1146"/>
      <c r="S54" s="1146"/>
      <c r="T54" s="1146"/>
      <c r="U54" s="1146"/>
      <c r="V54" s="1146"/>
      <c r="W54" s="1146"/>
      <c r="X54" s="1146"/>
      <c r="Y54" s="1146"/>
      <c r="Z54" s="1146"/>
      <c r="AA54" s="1146"/>
      <c r="AB54" s="1146"/>
      <c r="AC54" s="1146"/>
      <c r="AD54" s="1146"/>
    </row>
    <row r="55" spans="1:30" s="154" customFormat="1" ht="16.5" customHeight="1">
      <c r="C55" s="1147"/>
      <c r="D55" s="1147"/>
      <c r="E55" s="1148"/>
      <c r="F55" s="1148"/>
      <c r="G55" s="1148"/>
      <c r="H55" s="1148"/>
      <c r="I55" s="1148"/>
      <c r="J55" s="1148"/>
      <c r="K55" s="1148"/>
      <c r="L55" s="1148"/>
      <c r="M55" s="1148"/>
      <c r="N55" s="1148"/>
      <c r="O55" s="1148"/>
      <c r="P55" s="1148"/>
      <c r="Q55" s="1148"/>
      <c r="R55" s="1148"/>
      <c r="S55" s="1148"/>
      <c r="T55" s="1148"/>
      <c r="U55" s="1021"/>
      <c r="V55" s="1021"/>
      <c r="W55" s="1021"/>
      <c r="X55" s="1021"/>
      <c r="Y55" s="1021"/>
      <c r="Z55" s="1021"/>
      <c r="AA55" s="1021"/>
      <c r="AB55" s="1021"/>
      <c r="AC55" s="1021"/>
      <c r="AD55" s="1021"/>
    </row>
    <row r="56" spans="1:30" s="29" customFormat="1" ht="16.5" customHeight="1">
      <c r="C56" s="1144"/>
      <c r="D56" s="1149"/>
      <c r="E56" s="1146"/>
      <c r="F56" s="1146"/>
      <c r="G56" s="1146"/>
      <c r="H56" s="1146"/>
      <c r="I56" s="1146"/>
      <c r="J56" s="1146"/>
      <c r="K56" s="1146"/>
      <c r="L56" s="1146"/>
      <c r="M56" s="1146"/>
      <c r="N56" s="1146"/>
      <c r="O56" s="1146"/>
      <c r="P56" s="1146"/>
      <c r="Q56" s="1146"/>
      <c r="R56" s="1146"/>
      <c r="S56" s="1146"/>
      <c r="T56" s="1146"/>
      <c r="U56" s="1146"/>
      <c r="V56" s="1146"/>
      <c r="W56" s="1146"/>
      <c r="X56" s="1146"/>
      <c r="Y56" s="1146"/>
      <c r="Z56" s="1146"/>
      <c r="AA56" s="1146"/>
      <c r="AB56" s="1146"/>
      <c r="AC56" s="1146"/>
      <c r="AD56" s="1146"/>
    </row>
    <row r="57" spans="1:30" s="29" customFormat="1" ht="16.5" customHeight="1">
      <c r="C57" s="1150"/>
      <c r="D57" s="1150"/>
      <c r="E57" s="1151"/>
      <c r="F57" s="1151"/>
      <c r="G57" s="1151"/>
      <c r="H57" s="1151"/>
      <c r="I57" s="1151"/>
      <c r="J57" s="1151"/>
      <c r="K57" s="1151"/>
      <c r="L57" s="1151"/>
      <c r="M57" s="1151"/>
      <c r="N57" s="1151"/>
      <c r="O57" s="1151"/>
      <c r="P57" s="1151"/>
      <c r="Q57" s="1151"/>
      <c r="R57" s="1151"/>
      <c r="S57" s="1151"/>
      <c r="T57" s="1151"/>
      <c r="U57" s="802"/>
      <c r="V57" s="802"/>
      <c r="W57" s="802"/>
      <c r="X57" s="802"/>
      <c r="Y57" s="802"/>
      <c r="Z57" s="802"/>
      <c r="AA57" s="802"/>
      <c r="AB57" s="802"/>
      <c r="AC57" s="802"/>
      <c r="AD57" s="802"/>
    </row>
    <row r="58" spans="1:30" s="29" customFormat="1" ht="16.5" customHeight="1">
      <c r="C58" s="1144"/>
      <c r="D58" s="1149"/>
      <c r="E58" s="1146"/>
      <c r="F58" s="1146"/>
      <c r="G58" s="1146"/>
      <c r="H58" s="1146"/>
      <c r="I58" s="1146"/>
      <c r="J58" s="1146"/>
      <c r="K58" s="1146"/>
      <c r="L58" s="1146"/>
      <c r="M58" s="1146"/>
      <c r="N58" s="1146"/>
      <c r="O58" s="1146"/>
      <c r="P58" s="1146"/>
      <c r="Q58" s="1146"/>
      <c r="R58" s="1146"/>
      <c r="S58" s="1146"/>
      <c r="T58" s="1146"/>
      <c r="U58" s="1146"/>
      <c r="V58" s="1146"/>
      <c r="W58" s="1146"/>
      <c r="X58" s="1146"/>
      <c r="Y58" s="1146"/>
      <c r="Z58" s="1146"/>
      <c r="AA58" s="1146"/>
      <c r="AB58" s="1146"/>
      <c r="AC58" s="1146"/>
      <c r="AD58" s="1146"/>
    </row>
    <row r="59" spans="1:30" s="29" customFormat="1" ht="16.5" customHeight="1">
      <c r="C59" s="1150"/>
      <c r="D59" s="1150"/>
      <c r="E59" s="1152"/>
      <c r="F59" s="1152"/>
      <c r="G59" s="1152"/>
      <c r="H59" s="1152"/>
      <c r="I59" s="1152"/>
      <c r="J59" s="1152"/>
      <c r="K59" s="1152"/>
      <c r="L59" s="1152"/>
      <c r="M59" s="1152"/>
      <c r="N59" s="1152"/>
      <c r="O59" s="1152"/>
      <c r="P59" s="1152"/>
      <c r="Q59" s="1152"/>
      <c r="R59" s="1152"/>
      <c r="S59" s="1152"/>
      <c r="T59" s="1152"/>
      <c r="U59" s="1152"/>
      <c r="V59" s="1152"/>
      <c r="W59" s="1152"/>
      <c r="X59" s="1152"/>
      <c r="Y59" s="1152"/>
      <c r="Z59" s="1152"/>
      <c r="AA59" s="1152"/>
      <c r="AB59" s="1152"/>
      <c r="AC59" s="1152"/>
      <c r="AD59" s="1152"/>
    </row>
    <row r="60" spans="1:30" s="154" customFormat="1" ht="16.5" customHeight="1">
      <c r="C60" s="1147"/>
      <c r="D60" s="1147"/>
      <c r="E60" s="1153"/>
      <c r="F60" s="1153"/>
      <c r="G60" s="1153"/>
      <c r="H60" s="1153"/>
      <c r="I60" s="1153"/>
      <c r="J60" s="1153"/>
      <c r="K60" s="1153"/>
      <c r="L60" s="1153"/>
      <c r="M60" s="1153"/>
      <c r="N60" s="1153"/>
      <c r="O60" s="1153"/>
      <c r="P60" s="1153"/>
      <c r="Q60" s="1153"/>
      <c r="R60" s="1153"/>
      <c r="S60" s="1153"/>
      <c r="T60" s="1153"/>
      <c r="U60" s="1153"/>
      <c r="V60" s="1153"/>
      <c r="W60" s="1153"/>
      <c r="X60" s="1153"/>
      <c r="Y60" s="1153"/>
      <c r="Z60" s="1153"/>
      <c r="AA60" s="1153"/>
      <c r="AB60" s="1153"/>
      <c r="AC60" s="1153"/>
      <c r="AD60" s="1153"/>
    </row>
    <row r="61" spans="1:30" s="29" customFormat="1" ht="16.5" customHeight="1">
      <c r="C61" s="1150"/>
      <c r="D61" s="1150"/>
      <c r="E61" s="1154"/>
      <c r="F61" s="1154"/>
      <c r="G61" s="1154"/>
      <c r="H61" s="1154"/>
      <c r="I61" s="1154"/>
      <c r="J61" s="1154"/>
      <c r="K61" s="1154"/>
      <c r="L61" s="1154"/>
      <c r="M61" s="1154"/>
      <c r="N61" s="1154"/>
      <c r="O61" s="1154"/>
      <c r="P61" s="1154"/>
      <c r="Q61" s="1154"/>
      <c r="R61" s="1154"/>
      <c r="S61" s="1154"/>
      <c r="T61" s="1154"/>
      <c r="U61" s="1154"/>
      <c r="V61" s="1154"/>
      <c r="W61" s="1154"/>
      <c r="X61" s="1154"/>
      <c r="Y61" s="1154"/>
      <c r="Z61" s="1154"/>
      <c r="AA61" s="1154"/>
      <c r="AB61" s="1154"/>
      <c r="AC61" s="1154"/>
      <c r="AD61" s="1154"/>
    </row>
  </sheetData>
  <phoneticPr fontId="14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F53"/>
  <sheetViews>
    <sheetView showGridLines="0" zoomScaleNormal="100" workbookViewId="0">
      <pane xSplit="4" ySplit="4" topLeftCell="H5" activePane="bottomRight" state="frozen"/>
      <selection pane="topRight"/>
      <selection pane="bottomLeft"/>
      <selection pane="bottomRight" activeCell="L6" sqref="L6"/>
    </sheetView>
  </sheetViews>
  <sheetFormatPr defaultColWidth="9" defaultRowHeight="18" customHeight="1" outlineLevelCol="1"/>
  <cols>
    <col min="1" max="1" width="1.875" style="867" customWidth="1"/>
    <col min="2" max="2" width="13.125" style="868" customWidth="1"/>
    <col min="3" max="3" width="11.625" style="868" customWidth="1"/>
    <col min="4" max="4" width="3.625" style="867" customWidth="1"/>
    <col min="5" max="7" width="7.875" style="867" hidden="1" customWidth="1"/>
    <col min="8" max="8" width="4.125" style="867" customWidth="1"/>
    <col min="9" max="11" width="15.625" style="867" customWidth="1"/>
    <col min="12" max="12" width="14.375" style="869" customWidth="1"/>
    <col min="13" max="14" width="15.625" style="869" customWidth="1"/>
    <col min="15" max="15" width="15.625" style="869" hidden="1" customWidth="1"/>
    <col min="16" max="16" width="14.375" style="869" hidden="1" customWidth="1"/>
    <col min="17" max="20" width="15.625" style="869" hidden="1" customWidth="1"/>
    <col min="21" max="21" width="14.375" style="869" hidden="1" customWidth="1"/>
    <col min="22" max="22" width="3.625" style="870" customWidth="1"/>
    <col min="23" max="30" width="13" style="853" hidden="1" customWidth="1" outlineLevel="1"/>
    <col min="31" max="31" width="13.5" style="853" customWidth="1" collapsed="1"/>
    <col min="32" max="37" width="13.5" style="853" customWidth="1"/>
    <col min="38" max="41" width="13.375" style="853" customWidth="1"/>
    <col min="42" max="49" width="12.75" style="871" customWidth="1"/>
    <col min="58" max="58" width="11.625" style="867" customWidth="1"/>
    <col min="59" max="59" width="15.625" style="867" customWidth="1"/>
    <col min="60" max="103" width="9" style="867" customWidth="1"/>
    <col min="104" max="16384" width="9" style="867"/>
  </cols>
  <sheetData>
    <row r="1" spans="1:58" s="744" customFormat="1" ht="18" customHeight="1">
      <c r="B1" s="252" t="s">
        <v>67</v>
      </c>
      <c r="C1" s="872"/>
      <c r="D1" s="873"/>
      <c r="E1" s="874"/>
      <c r="F1" s="874"/>
      <c r="G1" s="874"/>
      <c r="H1" s="874"/>
      <c r="J1" s="873"/>
      <c r="K1" s="873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5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  <c r="AN1" s="874"/>
      <c r="AO1" s="874"/>
      <c r="AP1" s="1001"/>
      <c r="AQ1" s="1001"/>
      <c r="AR1" s="1001"/>
      <c r="AS1" s="1001"/>
      <c r="AT1" s="1001"/>
      <c r="AU1" s="1001"/>
      <c r="AV1" s="1001"/>
      <c r="AW1" s="1001"/>
    </row>
    <row r="2" spans="1:58" s="853" customFormat="1" ht="18" customHeight="1">
      <c r="B2" s="253" t="s">
        <v>68</v>
      </c>
      <c r="C2" s="875"/>
      <c r="D2" s="876"/>
      <c r="E2" s="876"/>
      <c r="F2" s="876"/>
      <c r="G2" s="876"/>
      <c r="H2" s="876"/>
      <c r="I2" s="921" t="s">
        <v>69</v>
      </c>
      <c r="L2" s="871"/>
      <c r="M2" s="871"/>
      <c r="N2" s="871"/>
      <c r="O2" s="871"/>
      <c r="P2" s="871"/>
      <c r="Q2" s="871"/>
      <c r="R2" s="871"/>
      <c r="S2" s="871"/>
      <c r="T2" s="871"/>
      <c r="U2" s="871"/>
      <c r="V2" s="744"/>
      <c r="AP2" s="871"/>
      <c r="AQ2" s="871"/>
      <c r="AR2" s="871"/>
      <c r="AS2" s="871"/>
      <c r="AT2" s="871"/>
      <c r="AU2" s="871"/>
      <c r="AV2" s="871"/>
      <c r="AW2" s="871"/>
    </row>
    <row r="3" spans="1:58" s="853" customFormat="1" ht="18" customHeight="1">
      <c r="B3" s="877" t="str">
        <f>"单位：人民币"&amp;目录!D5</f>
        <v>单位：人民币百万元</v>
      </c>
      <c r="C3" s="877"/>
      <c r="D3" s="878"/>
      <c r="E3" s="879"/>
      <c r="F3" s="879"/>
      <c r="G3" s="879"/>
      <c r="H3" s="879"/>
      <c r="J3" s="922"/>
      <c r="K3" s="922"/>
      <c r="L3" s="923"/>
      <c r="M3" s="923"/>
      <c r="N3" s="923"/>
      <c r="O3" s="923"/>
      <c r="P3" s="923"/>
      <c r="Q3" s="923"/>
      <c r="R3" s="923"/>
      <c r="S3" s="923"/>
      <c r="T3" s="923"/>
      <c r="U3" s="923"/>
      <c r="V3" s="955"/>
      <c r="W3" s="956"/>
      <c r="X3" s="956"/>
      <c r="Y3" s="956"/>
      <c r="Z3" s="973"/>
      <c r="AA3" s="973"/>
      <c r="AB3" s="973"/>
      <c r="AC3" s="973"/>
      <c r="AD3" s="973"/>
      <c r="AE3" s="973"/>
      <c r="AF3" s="973"/>
      <c r="AG3" s="973"/>
      <c r="AH3" s="973"/>
      <c r="AI3" s="973"/>
      <c r="AJ3" s="973"/>
      <c r="AK3" s="973"/>
      <c r="AL3" s="973"/>
      <c r="AM3" s="973"/>
      <c r="AN3" s="973"/>
      <c r="AO3" s="973"/>
      <c r="AP3" s="1002"/>
      <c r="AQ3" s="1002"/>
      <c r="AR3" s="1002"/>
      <c r="AS3" s="1002"/>
      <c r="AT3" s="1002"/>
      <c r="AU3" s="1002"/>
      <c r="AV3" s="1002"/>
      <c r="AW3" s="1002"/>
    </row>
    <row r="4" spans="1:58" s="387" customFormat="1" ht="18" customHeight="1">
      <c r="B4" s="100" t="s">
        <v>70</v>
      </c>
      <c r="C4" s="880"/>
      <c r="D4" s="881"/>
      <c r="E4" s="881"/>
      <c r="F4" s="881"/>
      <c r="G4" s="881"/>
      <c r="H4" s="881"/>
      <c r="I4" s="924">
        <f>利润表!Y4</f>
        <v>2021</v>
      </c>
      <c r="J4" s="924">
        <f>利润表!AC4</f>
        <v>2022</v>
      </c>
      <c r="K4" s="924">
        <f>利润表!AG4</f>
        <v>2023</v>
      </c>
      <c r="L4" s="82" t="str">
        <f>资产负债表!AK4</f>
        <v>2024E</v>
      </c>
      <c r="M4" s="82">
        <f>资产负债表!AL4</f>
        <v>2025</v>
      </c>
      <c r="N4" s="82">
        <f>资产负债表!AM4</f>
        <v>2026</v>
      </c>
      <c r="O4" s="82">
        <f>资产负债表!AN4</f>
        <v>2027</v>
      </c>
      <c r="P4" s="82">
        <f>资产负债表!AO4</f>
        <v>2028</v>
      </c>
      <c r="Q4" s="82">
        <f>资产负债表!AP4</f>
        <v>2029</v>
      </c>
      <c r="R4" s="82">
        <f>资产负债表!AQ4</f>
        <v>2030</v>
      </c>
      <c r="S4" s="82">
        <f>资产负债表!AR4</f>
        <v>2031</v>
      </c>
      <c r="T4" s="82">
        <f>资产负债表!AS4</f>
        <v>2032</v>
      </c>
      <c r="U4" s="82">
        <f>资产负债表!AT4</f>
        <v>2033</v>
      </c>
      <c r="V4" s="54"/>
      <c r="W4" s="924" t="str">
        <f>"1Q"&amp;利润表!Y4</f>
        <v>1Q2021</v>
      </c>
      <c r="X4" s="924" t="str">
        <f>"2Q"&amp;利润表!Y4</f>
        <v>2Q2021</v>
      </c>
      <c r="Y4" s="924" t="str">
        <f>"3Q"&amp;利润表!Y4</f>
        <v>3Q2021</v>
      </c>
      <c r="Z4" s="924" t="str">
        <f>"4Q"&amp;利润表!Y4</f>
        <v>4Q2021</v>
      </c>
      <c r="AA4" s="924" t="str">
        <f>"1Q"&amp;利润表!AC4</f>
        <v>1Q2022</v>
      </c>
      <c r="AB4" s="924" t="str">
        <f>"2Q"&amp;利润表!AC4</f>
        <v>2Q2022</v>
      </c>
      <c r="AC4" s="924" t="str">
        <f>"3Q"&amp;利润表!AC4</f>
        <v>3Q2022</v>
      </c>
      <c r="AD4" s="924" t="str">
        <f>"4Q"&amp;利润表!AC4</f>
        <v>4Q2022</v>
      </c>
      <c r="AE4" s="924" t="str">
        <f>"1Q"&amp;利润表!AG4</f>
        <v>1Q2023</v>
      </c>
      <c r="AF4" s="924" t="str">
        <f>"2Q"&amp;利润表!AG4</f>
        <v>2Q2023</v>
      </c>
      <c r="AG4" s="924" t="str">
        <f>"3Q"&amp;利润表!AG4</f>
        <v>3Q2023</v>
      </c>
      <c r="AH4" s="924" t="str">
        <f>"4Q"&amp;利润表!AG4</f>
        <v>4Q2023</v>
      </c>
      <c r="AI4" s="924" t="str">
        <f>"1Q"&amp;财务基础数据!AP5</f>
        <v>1Q2024</v>
      </c>
      <c r="AJ4" s="924" t="str">
        <f>"2Q"&amp;财务基础数据!AP5</f>
        <v>2Q2024</v>
      </c>
      <c r="AK4" s="924" t="str">
        <f>"3Q"&amp;财务基础数据!AP5</f>
        <v>3Q2024</v>
      </c>
      <c r="AL4" s="82" t="str">
        <f>"1Q"&amp;财务基础数据!AP5</f>
        <v>1Q2024</v>
      </c>
      <c r="AM4" s="82" t="str">
        <f>"2Q"&amp;财务基础数据!AP5</f>
        <v>2Q2024</v>
      </c>
      <c r="AN4" s="82" t="str">
        <f>"3Q"&amp;财务基础数据!AP5</f>
        <v>3Q2024</v>
      </c>
      <c r="AO4" s="82" t="str">
        <f>"4Q"&amp;财务基础数据!AP5</f>
        <v>4Q2024</v>
      </c>
      <c r="AP4" s="82" t="str">
        <f>"1Q"&amp;财务基础数据!AP5+1</f>
        <v>1Q2025</v>
      </c>
      <c r="AQ4" s="82" t="str">
        <f>"2Q"&amp;财务基础数据!AP5+1</f>
        <v>2Q2025</v>
      </c>
      <c r="AR4" s="82" t="str">
        <f>"3Q"&amp;财务基础数据!AP5+1</f>
        <v>3Q2025</v>
      </c>
      <c r="AS4" s="82" t="str">
        <f>"4Q"&amp;财务基础数据!AP5+1</f>
        <v>4Q2025</v>
      </c>
      <c r="AT4" s="82" t="str">
        <f>"1Q"&amp;财务基础数据!AP5+2</f>
        <v>1Q2026</v>
      </c>
      <c r="AU4" s="82" t="str">
        <f>"2Q"&amp;财务基础数据!AP5+2</f>
        <v>2Q2026</v>
      </c>
      <c r="AV4" s="82" t="str">
        <f>"3Q"&amp;财务基础数据!AP5+2</f>
        <v>3Q2026</v>
      </c>
      <c r="AW4" s="82" t="str">
        <f>"4Q"&amp;财务基础数据!AP5+2</f>
        <v>4Q2026</v>
      </c>
    </row>
    <row r="5" spans="1:58" s="854" customFormat="1" ht="18" customHeight="1">
      <c r="A5" s="882"/>
      <c r="B5" s="60" t="s">
        <v>71</v>
      </c>
      <c r="C5" s="60"/>
      <c r="E5" s="882"/>
      <c r="F5" s="882"/>
      <c r="G5" s="882"/>
      <c r="H5" s="882"/>
      <c r="I5" s="925">
        <f>利润表!Y6</f>
        <v>0</v>
      </c>
      <c r="J5" s="925">
        <f>利润表!AC6</f>
        <v>0</v>
      </c>
      <c r="K5" s="925">
        <f>利润表!AG6</f>
        <v>0</v>
      </c>
      <c r="L5" s="925">
        <f>L6+L8</f>
        <v>0</v>
      </c>
      <c r="M5" s="925">
        <f t="shared" ref="M5:AA5" si="0">M6+M8</f>
        <v>0</v>
      </c>
      <c r="N5" s="925">
        <f t="shared" si="0"/>
        <v>0</v>
      </c>
      <c r="O5" s="925">
        <f t="shared" si="0"/>
        <v>0</v>
      </c>
      <c r="P5" s="925">
        <f t="shared" si="0"/>
        <v>0</v>
      </c>
      <c r="Q5" s="925">
        <f t="shared" si="0"/>
        <v>0</v>
      </c>
      <c r="R5" s="925">
        <f t="shared" si="0"/>
        <v>0</v>
      </c>
      <c r="S5" s="925">
        <f t="shared" si="0"/>
        <v>0</v>
      </c>
      <c r="T5" s="925">
        <f t="shared" si="0"/>
        <v>0</v>
      </c>
      <c r="U5" s="925">
        <f t="shared" si="0"/>
        <v>0</v>
      </c>
      <c r="V5" s="925"/>
      <c r="W5" s="925">
        <f t="shared" si="0"/>
        <v>0</v>
      </c>
      <c r="X5" s="925">
        <f t="shared" si="0"/>
        <v>0</v>
      </c>
      <c r="Y5" s="925">
        <f t="shared" si="0"/>
        <v>0</v>
      </c>
      <c r="Z5" s="974">
        <f t="shared" si="0"/>
        <v>0</v>
      </c>
      <c r="AA5" s="925">
        <f t="shared" si="0"/>
        <v>0</v>
      </c>
      <c r="AB5" s="925">
        <f t="shared" ref="AB5:AK5" si="1">AB6+AB8</f>
        <v>0</v>
      </c>
      <c r="AC5" s="925">
        <f t="shared" si="1"/>
        <v>0</v>
      </c>
      <c r="AD5" s="925">
        <f t="shared" si="1"/>
        <v>0</v>
      </c>
      <c r="AE5" s="925">
        <f t="shared" si="1"/>
        <v>0</v>
      </c>
      <c r="AF5" s="925">
        <f t="shared" si="1"/>
        <v>0</v>
      </c>
      <c r="AG5" s="925">
        <f t="shared" si="1"/>
        <v>0</v>
      </c>
      <c r="AH5" s="925">
        <f t="shared" si="1"/>
        <v>0</v>
      </c>
      <c r="AI5" s="925">
        <f t="shared" si="1"/>
        <v>0</v>
      </c>
      <c r="AJ5" s="925">
        <f t="shared" si="1"/>
        <v>0</v>
      </c>
      <c r="AK5" s="925">
        <f t="shared" si="1"/>
        <v>0</v>
      </c>
      <c r="AL5" s="925" t="str">
        <f>IF(ISERROR(AL6+AL8),"—",AL6+AL8)</f>
        <v>—</v>
      </c>
      <c r="AM5" s="925" t="str">
        <f t="shared" ref="AM5:AN5" si="2">IF(ISERROR(AM6+AM8),"—",AM6+AM8)</f>
        <v>—</v>
      </c>
      <c r="AN5" s="925" t="str">
        <f t="shared" si="2"/>
        <v>—</v>
      </c>
      <c r="AO5" s="925">
        <f t="shared" ref="AO5:AW5" si="3">AO6+AO8</f>
        <v>0</v>
      </c>
      <c r="AP5" s="925">
        <f t="shared" si="3"/>
        <v>0</v>
      </c>
      <c r="AQ5" s="925">
        <f t="shared" si="3"/>
        <v>0</v>
      </c>
      <c r="AR5" s="925">
        <f t="shared" si="3"/>
        <v>0</v>
      </c>
      <c r="AS5" s="925">
        <f t="shared" si="3"/>
        <v>0</v>
      </c>
      <c r="AT5" s="925">
        <f t="shared" si="3"/>
        <v>0</v>
      </c>
      <c r="AU5" s="925">
        <f t="shared" si="3"/>
        <v>0</v>
      </c>
      <c r="AV5" s="925">
        <f t="shared" si="3"/>
        <v>0</v>
      </c>
      <c r="AW5" s="925">
        <f t="shared" si="3"/>
        <v>0</v>
      </c>
      <c r="AX5" s="1004"/>
    </row>
    <row r="6" spans="1:58" s="855" customFormat="1" ht="18" customHeight="1">
      <c r="A6" s="883"/>
      <c r="B6" s="62" t="s">
        <v>62</v>
      </c>
      <c r="C6" s="884"/>
      <c r="E6" s="883"/>
      <c r="F6" s="883"/>
      <c r="G6" s="883"/>
      <c r="H6" s="883"/>
      <c r="I6" s="926">
        <f>利润表!Y8</f>
        <v>0</v>
      </c>
      <c r="J6" s="926">
        <f>利润表!AC8</f>
        <v>0</v>
      </c>
      <c r="K6" s="926">
        <f>利润表!AG8</f>
        <v>0</v>
      </c>
      <c r="L6" s="927"/>
      <c r="M6" s="927"/>
      <c r="N6" s="927"/>
      <c r="O6" s="927"/>
      <c r="P6" s="927"/>
      <c r="Q6" s="927"/>
      <c r="R6" s="927"/>
      <c r="S6" s="927"/>
      <c r="T6" s="927"/>
      <c r="U6" s="927"/>
      <c r="V6" s="926"/>
      <c r="W6" s="926">
        <f>利润表!V8</f>
        <v>0</v>
      </c>
      <c r="X6" s="926">
        <f>利润表!W8-利润表!V8</f>
        <v>0</v>
      </c>
      <c r="Y6" s="926">
        <f>利润表!X8-利润表!W8</f>
        <v>0</v>
      </c>
      <c r="Z6" s="975">
        <f>利润表!Y8-利润表!X8</f>
        <v>0</v>
      </c>
      <c r="AA6" s="926">
        <f>利润表!Z8</f>
        <v>0</v>
      </c>
      <c r="AB6" s="926">
        <f>利润表!AA8-利润表!Z8</f>
        <v>0</v>
      </c>
      <c r="AC6" s="926">
        <f>利润表!AB8-利润表!AA8</f>
        <v>0</v>
      </c>
      <c r="AD6" s="975">
        <f>利润表!AC8-利润表!AB8</f>
        <v>0</v>
      </c>
      <c r="AE6" s="926">
        <f>利润表!AD8</f>
        <v>0</v>
      </c>
      <c r="AF6" s="926">
        <f>利润表!AE8-利润表!AD8</f>
        <v>0</v>
      </c>
      <c r="AG6" s="926">
        <f>利润表!AF8-利润表!AE8</f>
        <v>0</v>
      </c>
      <c r="AH6" s="975">
        <f>利润表!AG8-利润表!AF8</f>
        <v>0</v>
      </c>
      <c r="AI6" s="926">
        <f>IF(财务基础数据!AM4=0,0,利润表!AH8)</f>
        <v>0</v>
      </c>
      <c r="AJ6" s="929">
        <f>IF(财务基础数据!AM4&lt;=1,0,利润表!AI8-利润表!AH8)</f>
        <v>0</v>
      </c>
      <c r="AK6" s="929">
        <f>IF(财务基础数据!AM4&lt;=2,0,利润表!AJ8-利润表!AI8)</f>
        <v>0</v>
      </c>
      <c r="AL6" s="946" t="str">
        <f>IF(财务基础数据!AM4=0,"",AI6)</f>
        <v/>
      </c>
      <c r="AM6" s="946" t="str">
        <f>IF(财务基础数据!AM4&lt;=1,"",AJ6)</f>
        <v/>
      </c>
      <c r="AN6" s="946" t="str">
        <f>IF(财务基础数据!AM4&lt;=2,"",AK6)</f>
        <v/>
      </c>
      <c r="AO6" s="946"/>
      <c r="AP6" s="946"/>
      <c r="AQ6" s="946"/>
      <c r="AR6" s="946"/>
      <c r="AS6" s="946"/>
      <c r="AT6" s="946"/>
      <c r="AU6" s="946"/>
      <c r="AV6" s="946"/>
      <c r="AW6" s="946"/>
      <c r="AX6" s="1005"/>
    </row>
    <row r="7" spans="1:58" s="856" customFormat="1" ht="18" customHeight="1">
      <c r="A7" s="885"/>
      <c r="B7" s="886" t="s">
        <v>72</v>
      </c>
      <c r="C7" s="887"/>
      <c r="E7" s="885"/>
      <c r="F7" s="885"/>
      <c r="G7" s="885"/>
      <c r="H7" s="885"/>
      <c r="I7" s="928" t="str">
        <f>IF(ISERROR((I6-利润表!U8)/ABS(利润表!U8)),"—",(I6-利润表!U8)/ABS(利润表!U8))</f>
        <v>—</v>
      </c>
      <c r="J7" s="928" t="str">
        <f>IF(ISERROR((J6-I6)/ABS(I6)),"—",(J6-I6)/ABS(I6))</f>
        <v>—</v>
      </c>
      <c r="K7" s="928" t="str">
        <f>IF(ISERROR((K6-J6)/ABS(J6)),"—",(K6-J6)/ABS(J6))</f>
        <v>—</v>
      </c>
      <c r="L7" s="928" t="str">
        <f t="shared" ref="L7:M7" si="4">IF(ISERROR((L6-K6)/ABS(K6)),"—",(L6-K6)/ABS(K6))</f>
        <v>—</v>
      </c>
      <c r="M7" s="928" t="str">
        <f t="shared" si="4"/>
        <v>—</v>
      </c>
      <c r="N7" s="928" t="str">
        <f t="shared" ref="N7:U7" si="5">IF(ISERROR((N6-M6)/ABS(M6)),"—",(N6-M6)/ABS(M6))</f>
        <v>—</v>
      </c>
      <c r="O7" s="928" t="str">
        <f t="shared" si="5"/>
        <v>—</v>
      </c>
      <c r="P7" s="928" t="str">
        <f t="shared" si="5"/>
        <v>—</v>
      </c>
      <c r="Q7" s="928" t="str">
        <f t="shared" si="5"/>
        <v>—</v>
      </c>
      <c r="R7" s="928" t="str">
        <f t="shared" si="5"/>
        <v>—</v>
      </c>
      <c r="S7" s="928" t="str">
        <f t="shared" si="5"/>
        <v>—</v>
      </c>
      <c r="T7" s="928" t="str">
        <f t="shared" si="5"/>
        <v>—</v>
      </c>
      <c r="U7" s="928" t="str">
        <f t="shared" si="5"/>
        <v>—</v>
      </c>
      <c r="V7" s="928"/>
      <c r="W7" s="926"/>
      <c r="X7" s="926"/>
      <c r="Y7" s="926"/>
      <c r="Z7" s="975"/>
      <c r="AA7" s="959" t="str">
        <f>IF(ISERROR((AA6-W6)/ABS(W6)),"—",(AA6-W6)/ABS(W6))</f>
        <v>—</v>
      </c>
      <c r="AB7" s="928" t="str">
        <f t="shared" ref="AB7:AK7" si="6">IF(ISERROR((AB6-X6)/ABS(X6)),"—",(AB6-X6)/ABS(X6))</f>
        <v>—</v>
      </c>
      <c r="AC7" s="928" t="str">
        <f t="shared" si="6"/>
        <v>—</v>
      </c>
      <c r="AD7" s="976" t="str">
        <f t="shared" si="6"/>
        <v>—</v>
      </c>
      <c r="AE7" s="959" t="str">
        <f t="shared" si="6"/>
        <v>—</v>
      </c>
      <c r="AF7" s="959" t="str">
        <f t="shared" si="6"/>
        <v>—</v>
      </c>
      <c r="AG7" s="959" t="str">
        <f t="shared" si="6"/>
        <v>—</v>
      </c>
      <c r="AH7" s="976" t="str">
        <f t="shared" si="6"/>
        <v>—</v>
      </c>
      <c r="AI7" s="959" t="str">
        <f t="shared" si="6"/>
        <v>—</v>
      </c>
      <c r="AJ7" s="928" t="str">
        <f t="shared" si="6"/>
        <v>—</v>
      </c>
      <c r="AK7" s="928" t="str">
        <f t="shared" si="6"/>
        <v>—</v>
      </c>
      <c r="AL7" s="928" t="str">
        <f>IF(ISERROR((AL6-AE6)/ABS(AE6)),"—",(AL6-AE6)/ABS(AE6))</f>
        <v>—</v>
      </c>
      <c r="AM7" s="928" t="str">
        <f t="shared" ref="AM7:AO7" si="7">IF(ISERROR((AM6-AF6)/ABS(AF6)),"—",(AM6-AF6)/ABS(AF6))</f>
        <v>—</v>
      </c>
      <c r="AN7" s="928" t="str">
        <f t="shared" si="7"/>
        <v>—</v>
      </c>
      <c r="AO7" s="928" t="str">
        <f t="shared" si="7"/>
        <v>—</v>
      </c>
      <c r="AP7" s="928" t="str">
        <f>IF(ISERROR((AP6-AL6)/ABS(AL6)),"—",(AP6-AL6)/ABS(AL6))</f>
        <v>—</v>
      </c>
      <c r="AQ7" s="928" t="str">
        <f t="shared" ref="AQ7:AW7" si="8">IF(ISERROR((AQ6-AM6)/ABS(AM6)),"—",(AQ6-AM6)/ABS(AM6))</f>
        <v>—</v>
      </c>
      <c r="AR7" s="928" t="str">
        <f t="shared" si="8"/>
        <v>—</v>
      </c>
      <c r="AS7" s="928" t="str">
        <f t="shared" si="8"/>
        <v>—</v>
      </c>
      <c r="AT7" s="928" t="str">
        <f t="shared" si="8"/>
        <v>—</v>
      </c>
      <c r="AU7" s="928" t="str">
        <f t="shared" si="8"/>
        <v>—</v>
      </c>
      <c r="AV7" s="928" t="str">
        <f t="shared" si="8"/>
        <v>—</v>
      </c>
      <c r="AW7" s="928" t="str">
        <f t="shared" si="8"/>
        <v>—</v>
      </c>
      <c r="AX7" s="1006"/>
    </row>
    <row r="8" spans="1:58" s="855" customFormat="1" ht="18" customHeight="1">
      <c r="A8" s="883"/>
      <c r="B8" s="62" t="s">
        <v>73</v>
      </c>
      <c r="C8" s="888"/>
      <c r="E8" s="883"/>
      <c r="F8" s="883"/>
      <c r="G8" s="883"/>
      <c r="H8" s="883"/>
      <c r="I8" s="926">
        <f>利润表!Y10</f>
        <v>0</v>
      </c>
      <c r="J8" s="926">
        <f>利润表!AC10</f>
        <v>0</v>
      </c>
      <c r="K8" s="926">
        <f>利润表!AG10</f>
        <v>0</v>
      </c>
      <c r="L8" s="927"/>
      <c r="M8" s="927"/>
      <c r="N8" s="927"/>
      <c r="O8" s="927"/>
      <c r="P8" s="927"/>
      <c r="Q8" s="927"/>
      <c r="R8" s="927"/>
      <c r="S8" s="927"/>
      <c r="T8" s="927"/>
      <c r="U8" s="927"/>
      <c r="V8" s="926"/>
      <c r="W8" s="926">
        <f>利润表!V10</f>
        <v>0</v>
      </c>
      <c r="X8" s="926">
        <f>利润表!W10-利润表!V10</f>
        <v>0</v>
      </c>
      <c r="Y8" s="926">
        <f>利润表!X10-利润表!W10</f>
        <v>0</v>
      </c>
      <c r="Z8" s="975">
        <f>利润表!Y10-利润表!X10</f>
        <v>0</v>
      </c>
      <c r="AA8" s="926">
        <f>利润表!Z10</f>
        <v>0</v>
      </c>
      <c r="AB8" s="926">
        <f>利润表!AA10-利润表!Z10</f>
        <v>0</v>
      </c>
      <c r="AC8" s="926">
        <f>利润表!AB10-利润表!AA10</f>
        <v>0</v>
      </c>
      <c r="AD8" s="975">
        <f>利润表!AC10-利润表!AB10</f>
        <v>0</v>
      </c>
      <c r="AE8" s="926">
        <f>利润表!AD10</f>
        <v>0</v>
      </c>
      <c r="AF8" s="926">
        <f>利润表!AE10-利润表!AD10</f>
        <v>0</v>
      </c>
      <c r="AG8" s="926">
        <f>利润表!AF10-利润表!AE10</f>
        <v>0</v>
      </c>
      <c r="AH8" s="975">
        <f>利润表!AG10-利润表!AF10</f>
        <v>0</v>
      </c>
      <c r="AI8" s="926">
        <f>IF(财务基础数据!AM4=0,0,利润表!AH10)</f>
        <v>0</v>
      </c>
      <c r="AJ8" s="929">
        <f>IF(财务基础数据!AM4&lt;=1,0,利润表!AI10-利润表!AH10)</f>
        <v>0</v>
      </c>
      <c r="AK8" s="929">
        <f>IF(财务基础数据!AM4&lt;=2,0,利润表!AJ10-利润表!AI10)</f>
        <v>0</v>
      </c>
      <c r="AL8" s="946" t="str">
        <f>IF(财务基础数据!AM4=0,"",AI8)</f>
        <v/>
      </c>
      <c r="AM8" s="946" t="str">
        <f>IF(财务基础数据!AM4&lt;=1,"",AJ8)</f>
        <v/>
      </c>
      <c r="AN8" s="946" t="str">
        <f>IF(财务基础数据!AM4&lt;=2,"",AK8)</f>
        <v/>
      </c>
      <c r="AO8" s="946"/>
      <c r="AP8" s="946"/>
      <c r="AQ8" s="946"/>
      <c r="AR8" s="946"/>
      <c r="AS8" s="946"/>
      <c r="AT8" s="946"/>
      <c r="AU8" s="946"/>
      <c r="AV8" s="946"/>
      <c r="AW8" s="946"/>
      <c r="AX8" s="1005"/>
    </row>
    <row r="9" spans="1:58" s="854" customFormat="1" ht="18" customHeight="1">
      <c r="A9" s="882"/>
      <c r="B9" s="60" t="s">
        <v>64</v>
      </c>
      <c r="C9" s="70"/>
      <c r="E9" s="882"/>
      <c r="F9" s="882"/>
      <c r="G9" s="882"/>
      <c r="H9" s="882"/>
      <c r="I9" s="925">
        <f>I10+I12</f>
        <v>0</v>
      </c>
      <c r="J9" s="925">
        <f>J10+J12</f>
        <v>0</v>
      </c>
      <c r="K9" s="925">
        <f>K10+K12</f>
        <v>0</v>
      </c>
      <c r="L9" s="925">
        <f>L10+L12</f>
        <v>0</v>
      </c>
      <c r="M9" s="925">
        <f t="shared" ref="M9:U9" si="9">M10+M12</f>
        <v>0</v>
      </c>
      <c r="N9" s="925">
        <f t="shared" si="9"/>
        <v>0</v>
      </c>
      <c r="O9" s="925">
        <f t="shared" si="9"/>
        <v>0</v>
      </c>
      <c r="P9" s="925">
        <f t="shared" si="9"/>
        <v>0</v>
      </c>
      <c r="Q9" s="925">
        <f t="shared" si="9"/>
        <v>0</v>
      </c>
      <c r="R9" s="925">
        <f t="shared" si="9"/>
        <v>0</v>
      </c>
      <c r="S9" s="925">
        <f t="shared" si="9"/>
        <v>0</v>
      </c>
      <c r="T9" s="925">
        <f t="shared" si="9"/>
        <v>0</v>
      </c>
      <c r="U9" s="925">
        <f t="shared" si="9"/>
        <v>0</v>
      </c>
      <c r="V9" s="925"/>
      <c r="W9" s="925">
        <f t="shared" ref="W9:AK9" si="10">W10+W12</f>
        <v>0</v>
      </c>
      <c r="X9" s="925">
        <f t="shared" si="10"/>
        <v>0</v>
      </c>
      <c r="Y9" s="925">
        <f t="shared" si="10"/>
        <v>0</v>
      </c>
      <c r="Z9" s="974">
        <f t="shared" si="10"/>
        <v>0</v>
      </c>
      <c r="AA9" s="925">
        <f t="shared" si="10"/>
        <v>0</v>
      </c>
      <c r="AB9" s="925">
        <f t="shared" si="10"/>
        <v>0</v>
      </c>
      <c r="AC9" s="925">
        <f t="shared" si="10"/>
        <v>0</v>
      </c>
      <c r="AD9" s="974">
        <f t="shared" si="10"/>
        <v>0</v>
      </c>
      <c r="AE9" s="925">
        <f t="shared" si="10"/>
        <v>0</v>
      </c>
      <c r="AF9" s="925">
        <f t="shared" si="10"/>
        <v>0</v>
      </c>
      <c r="AG9" s="925">
        <f t="shared" si="10"/>
        <v>0</v>
      </c>
      <c r="AH9" s="974">
        <f t="shared" si="10"/>
        <v>0</v>
      </c>
      <c r="AI9" s="925">
        <f t="shared" si="10"/>
        <v>0</v>
      </c>
      <c r="AJ9" s="925">
        <f t="shared" si="10"/>
        <v>0</v>
      </c>
      <c r="AK9" s="925">
        <f t="shared" si="10"/>
        <v>0</v>
      </c>
      <c r="AL9" s="925" t="str">
        <f>IF(ISERROR(AL10+AL12),"—",AL10+AL12)</f>
        <v>—</v>
      </c>
      <c r="AM9" s="925" t="str">
        <f t="shared" ref="AM9" si="11">IF(ISERROR(AM10+AM12),"—",AM10+AM12)</f>
        <v>—</v>
      </c>
      <c r="AN9" s="925" t="str">
        <f t="shared" ref="AN9" si="12">IF(ISERROR(AN10+AN12),"—",AN10+AN12)</f>
        <v>—</v>
      </c>
      <c r="AO9" s="925">
        <f t="shared" ref="AO9:AW9" si="13">AO10+AO12</f>
        <v>0</v>
      </c>
      <c r="AP9" s="925">
        <f t="shared" si="13"/>
        <v>0</v>
      </c>
      <c r="AQ9" s="925">
        <f t="shared" si="13"/>
        <v>0</v>
      </c>
      <c r="AR9" s="925">
        <f t="shared" si="13"/>
        <v>0</v>
      </c>
      <c r="AS9" s="925">
        <f t="shared" si="13"/>
        <v>0</v>
      </c>
      <c r="AT9" s="925">
        <f t="shared" si="13"/>
        <v>0</v>
      </c>
      <c r="AU9" s="925">
        <f t="shared" si="13"/>
        <v>0</v>
      </c>
      <c r="AV9" s="925">
        <f t="shared" si="13"/>
        <v>0</v>
      </c>
      <c r="AW9" s="925">
        <f t="shared" si="13"/>
        <v>0</v>
      </c>
      <c r="AX9" s="1004"/>
    </row>
    <row r="10" spans="1:58" s="855" customFormat="1" ht="18" customHeight="1">
      <c r="A10" s="883"/>
      <c r="B10" s="62" t="s">
        <v>64</v>
      </c>
      <c r="C10" s="884"/>
      <c r="E10" s="883"/>
      <c r="F10" s="883"/>
      <c r="G10" s="883"/>
      <c r="H10" s="883"/>
      <c r="I10" s="926">
        <f>利润表!Y15</f>
        <v>0</v>
      </c>
      <c r="J10" s="926">
        <f>利润表!AC15</f>
        <v>0</v>
      </c>
      <c r="K10" s="926">
        <f>利润表!AG15</f>
        <v>0</v>
      </c>
      <c r="L10" s="927"/>
      <c r="M10" s="927"/>
      <c r="N10" s="927"/>
      <c r="O10" s="927"/>
      <c r="P10" s="927"/>
      <c r="Q10" s="927"/>
      <c r="R10" s="927"/>
      <c r="S10" s="927"/>
      <c r="T10" s="927"/>
      <c r="U10" s="927"/>
      <c r="V10" s="926"/>
      <c r="W10" s="926">
        <f>利润表!V15</f>
        <v>0</v>
      </c>
      <c r="X10" s="926">
        <f>利润表!W15-利润表!V15</f>
        <v>0</v>
      </c>
      <c r="Y10" s="926">
        <f>利润表!X15-利润表!W15</f>
        <v>0</v>
      </c>
      <c r="Z10" s="975">
        <f>利润表!Y15-利润表!X15</f>
        <v>0</v>
      </c>
      <c r="AA10" s="926">
        <f>利润表!Z15</f>
        <v>0</v>
      </c>
      <c r="AB10" s="926">
        <f>利润表!AA15-利润表!Z15</f>
        <v>0</v>
      </c>
      <c r="AC10" s="926">
        <f>利润表!AB15-利润表!AA15</f>
        <v>0</v>
      </c>
      <c r="AD10" s="975">
        <f>利润表!AC15-利润表!AB15</f>
        <v>0</v>
      </c>
      <c r="AE10" s="926">
        <f>利润表!AD15</f>
        <v>0</v>
      </c>
      <c r="AF10" s="926">
        <f>利润表!AE15-利润表!AD15</f>
        <v>0</v>
      </c>
      <c r="AG10" s="926">
        <f>利润表!AF15-利润表!AE15</f>
        <v>0</v>
      </c>
      <c r="AH10" s="975">
        <f>利润表!AG15-利润表!AF15</f>
        <v>0</v>
      </c>
      <c r="AI10" s="926">
        <f>IF(财务基础数据!AM4=0,0,利润表!AH15)</f>
        <v>0</v>
      </c>
      <c r="AJ10" s="929">
        <f>IF(财务基础数据!AM4&lt;=1,0,利润表!AI15-利润表!AH15)</f>
        <v>0</v>
      </c>
      <c r="AK10" s="929">
        <f>IF(财务基础数据!AM4&lt;=2,0,利润表!AJ15-利润表!AI15)</f>
        <v>0</v>
      </c>
      <c r="AL10" s="946" t="str">
        <f>IF(财务基础数据!AM4=0,"",AI10)</f>
        <v/>
      </c>
      <c r="AM10" s="946" t="str">
        <f>IF(财务基础数据!AM4&lt;=1,"",AJ10)</f>
        <v/>
      </c>
      <c r="AN10" s="946" t="str">
        <f>IF(财务基础数据!AM4&lt;=2,"",AK10)</f>
        <v/>
      </c>
      <c r="AO10" s="946"/>
      <c r="AP10" s="946"/>
      <c r="AQ10" s="946"/>
      <c r="AR10" s="946"/>
      <c r="AS10" s="946"/>
      <c r="AT10" s="946"/>
      <c r="AU10" s="946"/>
      <c r="AV10" s="946"/>
      <c r="AW10" s="946"/>
      <c r="AX10" s="1005"/>
    </row>
    <row r="11" spans="1:58" s="856" customFormat="1" ht="18" customHeight="1">
      <c r="A11" s="885"/>
      <c r="B11" s="886" t="s">
        <v>72</v>
      </c>
      <c r="C11" s="887"/>
      <c r="E11" s="885"/>
      <c r="F11" s="885"/>
      <c r="G11" s="885"/>
      <c r="H11" s="885"/>
      <c r="I11" s="928" t="str">
        <f>IF(ISERROR((I10-利润表!U15)/ABS(利润表!U15)),"—",(I10-利润表!U15)/ABS(利润表!U15))</f>
        <v>—</v>
      </c>
      <c r="J11" s="928" t="str">
        <f>IF(ISERROR((J10-I10)/ABS(I10)),"—",(J10-I10)/ABS(I10))</f>
        <v>—</v>
      </c>
      <c r="K11" s="928" t="str">
        <f>IF(ISERROR((K10-J10)/ABS(J10)),"—",(K10-J10)/ABS(J10))</f>
        <v>—</v>
      </c>
      <c r="L11" s="928" t="str">
        <f t="shared" ref="L11:M11" si="14">IF(ISERROR((L10-K10)/ABS(K10)),"—",(L10-K10)/ABS(K10))</f>
        <v>—</v>
      </c>
      <c r="M11" s="928" t="str">
        <f t="shared" si="14"/>
        <v>—</v>
      </c>
      <c r="N11" s="928" t="str">
        <f t="shared" ref="N11" si="15">IF(ISERROR((N10-M10)/ABS(M10)),"—",(N10-M10)/ABS(M10))</f>
        <v>—</v>
      </c>
      <c r="O11" s="928" t="str">
        <f t="shared" ref="O11" si="16">IF(ISERROR((O10-N10)/ABS(N10)),"—",(O10-N10)/ABS(N10))</f>
        <v>—</v>
      </c>
      <c r="P11" s="928" t="str">
        <f t="shared" ref="P11" si="17">IF(ISERROR((P10-O10)/ABS(O10)),"—",(P10-O10)/ABS(O10))</f>
        <v>—</v>
      </c>
      <c r="Q11" s="928" t="str">
        <f t="shared" ref="Q11" si="18">IF(ISERROR((Q10-P10)/ABS(P10)),"—",(Q10-P10)/ABS(P10))</f>
        <v>—</v>
      </c>
      <c r="R11" s="928" t="str">
        <f t="shared" ref="R11" si="19">IF(ISERROR((R10-Q10)/ABS(Q10)),"—",(R10-Q10)/ABS(Q10))</f>
        <v>—</v>
      </c>
      <c r="S11" s="928" t="str">
        <f t="shared" ref="S11" si="20">IF(ISERROR((S10-R10)/ABS(R10)),"—",(S10-R10)/ABS(R10))</f>
        <v>—</v>
      </c>
      <c r="T11" s="928" t="str">
        <f t="shared" ref="T11" si="21">IF(ISERROR((T10-S10)/ABS(S10)),"—",(T10-S10)/ABS(S10))</f>
        <v>—</v>
      </c>
      <c r="U11" s="928" t="str">
        <f t="shared" ref="U11" si="22">IF(ISERROR((U10-T10)/ABS(T10)),"—",(U10-T10)/ABS(T10))</f>
        <v>—</v>
      </c>
      <c r="V11" s="928"/>
      <c r="W11" s="926"/>
      <c r="X11" s="926"/>
      <c r="Y11" s="926"/>
      <c r="Z11" s="975"/>
      <c r="AA11" s="959" t="str">
        <f>IF(ISERROR((AA10-W10)/ABS(W10)),"—",(AA10-W10)/ABS(W10))</f>
        <v>—</v>
      </c>
      <c r="AB11" s="928" t="str">
        <f t="shared" ref="AB11" si="23">IF(ISERROR((AB10-X10)/ABS(X10)),"—",(AB10-X10)/ABS(X10))</f>
        <v>—</v>
      </c>
      <c r="AC11" s="928" t="str">
        <f t="shared" ref="AC11" si="24">IF(ISERROR((AC10-Y10)/ABS(Y10)),"—",(AC10-Y10)/ABS(Y10))</f>
        <v>—</v>
      </c>
      <c r="AD11" s="976" t="str">
        <f t="shared" ref="AD11" si="25">IF(ISERROR((AD10-Z10)/ABS(Z10)),"—",(AD10-Z10)/ABS(Z10))</f>
        <v>—</v>
      </c>
      <c r="AE11" s="959" t="str">
        <f t="shared" ref="AE11" si="26">IF(ISERROR((AE10-AA10)/ABS(AA10)),"—",(AE10-AA10)/ABS(AA10))</f>
        <v>—</v>
      </c>
      <c r="AF11" s="959" t="str">
        <f t="shared" ref="AF11" si="27">IF(ISERROR((AF10-AB10)/ABS(AB10)),"—",(AF10-AB10)/ABS(AB10))</f>
        <v>—</v>
      </c>
      <c r="AG11" s="959" t="str">
        <f t="shared" ref="AG11" si="28">IF(ISERROR((AG10-AC10)/ABS(AC10)),"—",(AG10-AC10)/ABS(AC10))</f>
        <v>—</v>
      </c>
      <c r="AH11" s="976" t="str">
        <f t="shared" ref="AH11" si="29">IF(ISERROR((AH10-AD10)/ABS(AD10)),"—",(AH10-AD10)/ABS(AD10))</f>
        <v>—</v>
      </c>
      <c r="AI11" s="959" t="str">
        <f t="shared" ref="AI11" si="30">IF(ISERROR((AI10-AE10)/ABS(AE10)),"—",(AI10-AE10)/ABS(AE10))</f>
        <v>—</v>
      </c>
      <c r="AJ11" s="928" t="str">
        <f t="shared" ref="AJ11:AK11" si="31">IF(ISERROR((AJ10-AF10)/ABS(AF10)),"—",(AJ10-AF10)/ABS(AF10))</f>
        <v>—</v>
      </c>
      <c r="AK11" s="928" t="str">
        <f t="shared" si="31"/>
        <v>—</v>
      </c>
      <c r="AL11" s="928" t="str">
        <f>IF(ISERROR((AL10-AE10)/ABS(AE10)),"—",(AL10-AE10)/ABS(AE10))</f>
        <v>—</v>
      </c>
      <c r="AM11" s="928" t="str">
        <f>IF(ISERROR((AM10-AF10)/ABS(AF10)),"—",(AM10-AF10)/ABS(AF10))</f>
        <v>—</v>
      </c>
      <c r="AN11" s="928" t="str">
        <f>IF(ISERROR((AN10-AG10)/ABS(AG10)),"—",(AN10-AG10)/ABS(AG10))</f>
        <v>—</v>
      </c>
      <c r="AO11" s="928" t="str">
        <f>IF(ISERROR((AO10-AH10)/ABS(AH10)),"—",(AO10-AH10)/ABS(AH10))</f>
        <v>—</v>
      </c>
      <c r="AP11" s="928" t="str">
        <f>IF(ISERROR((AP10-AL10)/ABS(AL10)),"—",(AP10-AL10)/ABS(AL10))</f>
        <v>—</v>
      </c>
      <c r="AQ11" s="928" t="str">
        <f t="shared" ref="AQ11" si="32">IF(ISERROR((AQ10-AM10)/ABS(AM10)),"—",(AQ10-AM10)/ABS(AM10))</f>
        <v>—</v>
      </c>
      <c r="AR11" s="928" t="str">
        <f t="shared" ref="AR11" si="33">IF(ISERROR((AR10-AN10)/ABS(AN10)),"—",(AR10-AN10)/ABS(AN10))</f>
        <v>—</v>
      </c>
      <c r="AS11" s="928" t="str">
        <f t="shared" ref="AS11" si="34">IF(ISERROR((AS10-AO10)/ABS(AO10)),"—",(AS10-AO10)/ABS(AO10))</f>
        <v>—</v>
      </c>
      <c r="AT11" s="928" t="str">
        <f t="shared" ref="AT11" si="35">IF(ISERROR((AT10-AP10)/ABS(AP10)),"—",(AT10-AP10)/ABS(AP10))</f>
        <v>—</v>
      </c>
      <c r="AU11" s="928" t="str">
        <f t="shared" ref="AU11" si="36">IF(ISERROR((AU10-AQ10)/ABS(AQ10)),"—",(AU10-AQ10)/ABS(AQ10))</f>
        <v>—</v>
      </c>
      <c r="AV11" s="928" t="str">
        <f t="shared" ref="AV11:AW11" si="37">IF(ISERROR((AV10-AR10)/ABS(AR10)),"—",(AV10-AR10)/ABS(AR10))</f>
        <v>—</v>
      </c>
      <c r="AW11" s="928" t="str">
        <f t="shared" si="37"/>
        <v>—</v>
      </c>
      <c r="AX11" s="1006"/>
    </row>
    <row r="12" spans="1:58" s="855" customFormat="1" ht="18" customHeight="1">
      <c r="A12" s="883"/>
      <c r="B12" s="62" t="s">
        <v>74</v>
      </c>
      <c r="C12" s="887"/>
      <c r="D12" s="883"/>
      <c r="E12" s="883"/>
      <c r="F12" s="883"/>
      <c r="G12" s="883"/>
      <c r="H12" s="883"/>
      <c r="I12" s="926">
        <f>利润表!Y19</f>
        <v>0</v>
      </c>
      <c r="J12" s="926">
        <f>利润表!AC19</f>
        <v>0</v>
      </c>
      <c r="K12" s="926">
        <f>利润表!AG19</f>
        <v>0</v>
      </c>
      <c r="L12" s="927"/>
      <c r="M12" s="927"/>
      <c r="N12" s="927"/>
      <c r="O12" s="927"/>
      <c r="P12" s="927"/>
      <c r="Q12" s="927"/>
      <c r="R12" s="927"/>
      <c r="S12" s="927"/>
      <c r="T12" s="927"/>
      <c r="U12" s="927"/>
      <c r="V12" s="926"/>
      <c r="W12" s="926">
        <f>利润表!V19</f>
        <v>0</v>
      </c>
      <c r="X12" s="926">
        <f>利润表!W19-利润表!V19</f>
        <v>0</v>
      </c>
      <c r="Y12" s="926">
        <f>利润表!X19-利润表!W19</f>
        <v>0</v>
      </c>
      <c r="Z12" s="975">
        <f>利润表!Y19-利润表!X19</f>
        <v>0</v>
      </c>
      <c r="AA12" s="926">
        <f>利润表!Z19</f>
        <v>0</v>
      </c>
      <c r="AB12" s="926">
        <f>利润表!AA19-利润表!Z19</f>
        <v>0</v>
      </c>
      <c r="AC12" s="926">
        <f>利润表!AB19-利润表!AA19</f>
        <v>0</v>
      </c>
      <c r="AD12" s="975">
        <f>利润表!AC19-利润表!AB19</f>
        <v>0</v>
      </c>
      <c r="AE12" s="926">
        <f>利润表!AD19</f>
        <v>0</v>
      </c>
      <c r="AF12" s="926">
        <f>利润表!AE19-利润表!AD19</f>
        <v>0</v>
      </c>
      <c r="AG12" s="926">
        <f>利润表!AF19-利润表!AE19</f>
        <v>0</v>
      </c>
      <c r="AH12" s="975">
        <f>利润表!AG19-利润表!AF19</f>
        <v>0</v>
      </c>
      <c r="AI12" s="926">
        <f>IF(财务基础数据!AM4=0,0,利润表!AH19)</f>
        <v>0</v>
      </c>
      <c r="AJ12" s="929">
        <f>IF(财务基础数据!AM4&lt;=1,0,利润表!AI19-利润表!AH19)</f>
        <v>0</v>
      </c>
      <c r="AK12" s="929">
        <f>IF(财务基础数据!AM4&lt;=2,0,利润表!AJ19-利润表!AI19)</f>
        <v>0</v>
      </c>
      <c r="AL12" s="946" t="str">
        <f>IF(财务基础数据!AM4=0,"",AI12)</f>
        <v/>
      </c>
      <c r="AM12" s="946" t="str">
        <f>IF(财务基础数据!AM4&lt;=1,"",AJ12)</f>
        <v/>
      </c>
      <c r="AN12" s="946" t="str">
        <f>IF(财务基础数据!AM4&lt;=2,"",AK12)</f>
        <v/>
      </c>
      <c r="AO12" s="946"/>
      <c r="AP12" s="946"/>
      <c r="AQ12" s="946"/>
      <c r="AR12" s="946"/>
      <c r="AS12" s="946"/>
      <c r="AT12" s="946"/>
      <c r="AU12" s="946"/>
      <c r="AV12" s="946"/>
      <c r="AW12" s="946"/>
      <c r="AX12" s="1005"/>
    </row>
    <row r="13" spans="1:58" s="856" customFormat="1" ht="18" customHeight="1">
      <c r="A13" s="885"/>
      <c r="B13" s="887"/>
      <c r="C13" s="887"/>
      <c r="D13" s="885"/>
      <c r="E13" s="885"/>
      <c r="F13" s="885"/>
      <c r="G13" s="885"/>
      <c r="H13" s="885"/>
      <c r="I13" s="926"/>
      <c r="J13" s="926"/>
      <c r="K13" s="926"/>
      <c r="L13" s="925"/>
      <c r="M13" s="925"/>
      <c r="N13" s="925"/>
      <c r="O13" s="925"/>
      <c r="P13" s="925"/>
      <c r="Q13" s="925"/>
      <c r="R13" s="925"/>
      <c r="S13" s="925"/>
      <c r="T13" s="925"/>
      <c r="U13" s="925"/>
      <c r="V13" s="926"/>
      <c r="W13" s="926"/>
      <c r="X13" s="926"/>
      <c r="Y13" s="926"/>
      <c r="Z13" s="975"/>
      <c r="AA13" s="926"/>
      <c r="AB13" s="926"/>
      <c r="AC13" s="926"/>
      <c r="AD13" s="975"/>
      <c r="AE13" s="926"/>
      <c r="AF13" s="926"/>
      <c r="AG13" s="926"/>
      <c r="AH13" s="975"/>
      <c r="AI13" s="926"/>
      <c r="AJ13" s="929"/>
      <c r="AK13" s="929"/>
      <c r="AL13" s="926"/>
      <c r="AM13" s="926"/>
      <c r="AN13" s="926"/>
      <c r="AO13" s="926"/>
      <c r="AP13" s="925"/>
      <c r="AQ13" s="925"/>
      <c r="AR13" s="925"/>
      <c r="AS13" s="925"/>
      <c r="AT13" s="925"/>
      <c r="AU13" s="925"/>
      <c r="AV13" s="925"/>
      <c r="AW13" s="925"/>
      <c r="AX13" s="1006"/>
    </row>
    <row r="14" spans="1:58" s="857" customFormat="1" ht="18" customHeight="1">
      <c r="A14" s="859"/>
      <c r="B14" s="888" t="s">
        <v>65</v>
      </c>
      <c r="C14" s="888"/>
      <c r="D14" s="889"/>
      <c r="E14" s="889"/>
      <c r="F14" s="889"/>
      <c r="G14" s="889"/>
      <c r="H14" s="889"/>
      <c r="I14" s="929">
        <f>I6-I10</f>
        <v>0</v>
      </c>
      <c r="J14" s="929">
        <f t="shared" ref="J14:U14" si="38">J6-J10</f>
        <v>0</v>
      </c>
      <c r="K14" s="929">
        <f t="shared" si="38"/>
        <v>0</v>
      </c>
      <c r="L14" s="929">
        <f t="shared" si="38"/>
        <v>0</v>
      </c>
      <c r="M14" s="929">
        <f t="shared" si="38"/>
        <v>0</v>
      </c>
      <c r="N14" s="929">
        <f t="shared" si="38"/>
        <v>0</v>
      </c>
      <c r="O14" s="929">
        <f t="shared" si="38"/>
        <v>0</v>
      </c>
      <c r="P14" s="929">
        <f t="shared" si="38"/>
        <v>0</v>
      </c>
      <c r="Q14" s="929">
        <f t="shared" si="38"/>
        <v>0</v>
      </c>
      <c r="R14" s="929">
        <f t="shared" si="38"/>
        <v>0</v>
      </c>
      <c r="S14" s="929">
        <f t="shared" si="38"/>
        <v>0</v>
      </c>
      <c r="T14" s="929">
        <f t="shared" si="38"/>
        <v>0</v>
      </c>
      <c r="U14" s="929">
        <f t="shared" si="38"/>
        <v>0</v>
      </c>
      <c r="V14" s="926"/>
      <c r="W14" s="929">
        <f t="shared" ref="W14:AK14" si="39">W6-W10</f>
        <v>0</v>
      </c>
      <c r="X14" s="929">
        <f t="shared" si="39"/>
        <v>0</v>
      </c>
      <c r="Y14" s="929">
        <f t="shared" si="39"/>
        <v>0</v>
      </c>
      <c r="Z14" s="975">
        <f t="shared" si="39"/>
        <v>0</v>
      </c>
      <c r="AA14" s="926">
        <f t="shared" si="39"/>
        <v>0</v>
      </c>
      <c r="AB14" s="929">
        <f t="shared" si="39"/>
        <v>0</v>
      </c>
      <c r="AC14" s="929">
        <f t="shared" si="39"/>
        <v>0</v>
      </c>
      <c r="AD14" s="975">
        <f t="shared" si="39"/>
        <v>0</v>
      </c>
      <c r="AE14" s="926">
        <f t="shared" si="39"/>
        <v>0</v>
      </c>
      <c r="AF14" s="929">
        <f t="shared" si="39"/>
        <v>0</v>
      </c>
      <c r="AG14" s="929">
        <f t="shared" si="39"/>
        <v>0</v>
      </c>
      <c r="AH14" s="975">
        <f t="shared" si="39"/>
        <v>0</v>
      </c>
      <c r="AI14" s="926">
        <f t="shared" si="39"/>
        <v>0</v>
      </c>
      <c r="AJ14" s="929">
        <f t="shared" si="39"/>
        <v>0</v>
      </c>
      <c r="AK14" s="929">
        <f t="shared" si="39"/>
        <v>0</v>
      </c>
      <c r="AL14" s="929" t="str">
        <f>IF(ISERROR(AL6-AL10),"—",AL6-AL10)</f>
        <v>—</v>
      </c>
      <c r="AM14" s="929" t="str">
        <f>IF(ISERROR(AM6-AM10),"—",AM6-AM10)</f>
        <v>—</v>
      </c>
      <c r="AN14" s="929" t="str">
        <f>IF(ISERROR(AN6-AN10),"—",AN6-AN10)</f>
        <v>—</v>
      </c>
      <c r="AO14" s="929">
        <f>IF(ISERROR(AO6-AO10),"—",AO6-AO10)</f>
        <v>0</v>
      </c>
      <c r="AP14" s="929">
        <f t="shared" ref="AP14:AW14" si="40">AP6-AP10</f>
        <v>0</v>
      </c>
      <c r="AQ14" s="929">
        <f t="shared" si="40"/>
        <v>0</v>
      </c>
      <c r="AR14" s="929">
        <f t="shared" si="40"/>
        <v>0</v>
      </c>
      <c r="AS14" s="929">
        <f t="shared" si="40"/>
        <v>0</v>
      </c>
      <c r="AT14" s="929">
        <f t="shared" si="40"/>
        <v>0</v>
      </c>
      <c r="AU14" s="929">
        <f t="shared" si="40"/>
        <v>0</v>
      </c>
      <c r="AV14" s="929">
        <f t="shared" si="40"/>
        <v>0</v>
      </c>
      <c r="AW14" s="929">
        <f t="shared" si="40"/>
        <v>0</v>
      </c>
      <c r="AX14" s="1007"/>
    </row>
    <row r="15" spans="1:58" s="858" customFormat="1" ht="18" customHeight="1">
      <c r="A15" s="890"/>
      <c r="B15" s="891" t="s">
        <v>66</v>
      </c>
      <c r="C15" s="891"/>
      <c r="D15" s="892"/>
      <c r="E15" s="892"/>
      <c r="F15" s="892"/>
      <c r="G15" s="892"/>
      <c r="H15" s="892"/>
      <c r="I15" s="930" t="str">
        <f>IF(ISERROR(I14/I6),"—",I14/I6)</f>
        <v>—</v>
      </c>
      <c r="J15" s="930" t="str">
        <f t="shared" ref="J15:O15" si="41">IF(ISERROR(J14/J6),"—",J14/J6)</f>
        <v>—</v>
      </c>
      <c r="K15" s="930" t="str">
        <f t="shared" si="41"/>
        <v>—</v>
      </c>
      <c r="L15" s="930" t="str">
        <f t="shared" si="41"/>
        <v>—</v>
      </c>
      <c r="M15" s="930" t="str">
        <f t="shared" si="41"/>
        <v>—</v>
      </c>
      <c r="N15" s="930" t="str">
        <f t="shared" si="41"/>
        <v>—</v>
      </c>
      <c r="O15" s="930" t="str">
        <f t="shared" si="41"/>
        <v>—</v>
      </c>
      <c r="P15" s="930" t="str">
        <f t="shared" ref="P15:U15" si="42">IF(ISERROR(P14/P6),"—",P14/P6)</f>
        <v>—</v>
      </c>
      <c r="Q15" s="930" t="str">
        <f t="shared" si="42"/>
        <v>—</v>
      </c>
      <c r="R15" s="930" t="str">
        <f t="shared" si="42"/>
        <v>—</v>
      </c>
      <c r="S15" s="930" t="str">
        <f t="shared" si="42"/>
        <v>—</v>
      </c>
      <c r="T15" s="930" t="str">
        <f t="shared" si="42"/>
        <v>—</v>
      </c>
      <c r="U15" s="930" t="str">
        <f t="shared" si="42"/>
        <v>—</v>
      </c>
      <c r="V15" s="930"/>
      <c r="W15" s="930" t="str">
        <f t="shared" ref="W15:AK15" si="43">IF(ISERROR(W14/W6),"—",W14/W6)</f>
        <v>—</v>
      </c>
      <c r="X15" s="930" t="str">
        <f t="shared" si="43"/>
        <v>—</v>
      </c>
      <c r="Y15" s="930" t="str">
        <f t="shared" si="43"/>
        <v>—</v>
      </c>
      <c r="Z15" s="977" t="str">
        <f t="shared" si="43"/>
        <v>—</v>
      </c>
      <c r="AA15" s="930" t="str">
        <f t="shared" si="43"/>
        <v>—</v>
      </c>
      <c r="AB15" s="930" t="str">
        <f t="shared" si="43"/>
        <v>—</v>
      </c>
      <c r="AC15" s="930" t="str">
        <f t="shared" si="43"/>
        <v>—</v>
      </c>
      <c r="AD15" s="977" t="str">
        <f t="shared" si="43"/>
        <v>—</v>
      </c>
      <c r="AE15" s="930" t="str">
        <f t="shared" si="43"/>
        <v>—</v>
      </c>
      <c r="AF15" s="930" t="str">
        <f t="shared" si="43"/>
        <v>—</v>
      </c>
      <c r="AG15" s="930" t="str">
        <f t="shared" si="43"/>
        <v>—</v>
      </c>
      <c r="AH15" s="977" t="str">
        <f t="shared" si="43"/>
        <v>—</v>
      </c>
      <c r="AI15" s="930" t="str">
        <f t="shared" si="43"/>
        <v>—</v>
      </c>
      <c r="AJ15" s="990" t="str">
        <f t="shared" si="43"/>
        <v>—</v>
      </c>
      <c r="AK15" s="990" t="str">
        <f t="shared" si="43"/>
        <v>—</v>
      </c>
      <c r="AL15" s="930" t="str">
        <f t="shared" ref="AL15:AO15" si="44">IF(ISERROR(AL14/AL6),"—",AL14/AL6)</f>
        <v>—</v>
      </c>
      <c r="AM15" s="930" t="str">
        <f t="shared" si="44"/>
        <v>—</v>
      </c>
      <c r="AN15" s="930" t="str">
        <f t="shared" si="44"/>
        <v>—</v>
      </c>
      <c r="AO15" s="930" t="str">
        <f t="shared" si="44"/>
        <v>—</v>
      </c>
      <c r="AP15" s="930" t="str">
        <f t="shared" ref="AP15:AW15" si="45">IF(ISERROR(AP14/AP6),"—",AP14/AP6)</f>
        <v>—</v>
      </c>
      <c r="AQ15" s="930" t="str">
        <f t="shared" si="45"/>
        <v>—</v>
      </c>
      <c r="AR15" s="930" t="str">
        <f t="shared" si="45"/>
        <v>—</v>
      </c>
      <c r="AS15" s="930" t="str">
        <f t="shared" si="45"/>
        <v>—</v>
      </c>
      <c r="AT15" s="930" t="str">
        <f t="shared" si="45"/>
        <v>—</v>
      </c>
      <c r="AU15" s="930" t="str">
        <f t="shared" si="45"/>
        <v>—</v>
      </c>
      <c r="AV15" s="930" t="str">
        <f t="shared" si="45"/>
        <v>—</v>
      </c>
      <c r="AW15" s="930" t="str">
        <f t="shared" si="45"/>
        <v>—</v>
      </c>
      <c r="AX15" s="1008"/>
      <c r="BF15" s="1015"/>
    </row>
    <row r="16" spans="1:58" ht="18" customHeight="1">
      <c r="A16" s="893"/>
      <c r="B16" s="894"/>
      <c r="C16" s="162"/>
      <c r="D16" s="895"/>
      <c r="E16" s="895"/>
      <c r="F16" s="895"/>
      <c r="G16" s="895"/>
      <c r="H16" s="895"/>
      <c r="I16" s="931"/>
      <c r="J16" s="931"/>
      <c r="K16" s="931"/>
      <c r="L16" s="931"/>
      <c r="M16" s="931"/>
      <c r="N16" s="931"/>
      <c r="O16" s="931"/>
      <c r="P16" s="931"/>
      <c r="Q16" s="931"/>
      <c r="R16" s="931"/>
      <c r="S16" s="931"/>
      <c r="T16" s="931"/>
      <c r="U16" s="931"/>
      <c r="V16" s="931"/>
      <c r="W16" s="931"/>
      <c r="X16" s="931"/>
      <c r="Y16" s="931"/>
      <c r="Z16" s="931"/>
      <c r="AA16" s="978"/>
      <c r="AB16" s="931"/>
      <c r="AC16" s="931"/>
      <c r="AD16" s="931"/>
      <c r="AE16" s="931"/>
      <c r="AF16" s="931"/>
      <c r="AG16" s="931"/>
      <c r="AH16" s="991"/>
      <c r="AI16" s="978"/>
      <c r="AJ16" s="931"/>
      <c r="AK16" s="931"/>
      <c r="AL16" s="931"/>
      <c r="AM16" s="931"/>
      <c r="AN16" s="931"/>
      <c r="AO16" s="931"/>
      <c r="AP16" s="931"/>
      <c r="AQ16" s="931"/>
      <c r="AR16" s="931"/>
      <c r="AS16" s="931"/>
      <c r="AT16" s="931"/>
      <c r="AU16" s="931"/>
      <c r="AV16" s="931"/>
      <c r="AW16" s="931"/>
      <c r="AX16" s="1009"/>
      <c r="AY16" s="867"/>
      <c r="AZ16" s="867"/>
      <c r="BA16" s="867"/>
      <c r="BB16" s="867"/>
      <c r="BC16" s="867"/>
      <c r="BD16" s="867"/>
      <c r="BE16" s="867"/>
    </row>
    <row r="17" spans="1:57" ht="18" customHeight="1">
      <c r="A17" s="896"/>
      <c r="B17" s="897"/>
      <c r="C17" s="897"/>
      <c r="D17" s="896"/>
      <c r="E17" s="896"/>
      <c r="F17" s="896"/>
      <c r="G17" s="896"/>
      <c r="H17" s="896"/>
      <c r="I17" s="932"/>
      <c r="J17" s="932"/>
      <c r="K17" s="932"/>
      <c r="L17" s="933"/>
      <c r="M17" s="933"/>
      <c r="N17" s="933"/>
      <c r="O17" s="933"/>
      <c r="P17" s="933"/>
      <c r="Q17" s="933"/>
      <c r="R17" s="933"/>
      <c r="S17" s="933"/>
      <c r="T17" s="933"/>
      <c r="U17" s="933"/>
      <c r="V17" s="957"/>
      <c r="W17" s="934"/>
      <c r="X17" s="934"/>
      <c r="Y17" s="934"/>
      <c r="Z17" s="934"/>
      <c r="AA17" s="979"/>
      <c r="AB17" s="934"/>
      <c r="AC17" s="934"/>
      <c r="AD17" s="934"/>
      <c r="AE17" s="934"/>
      <c r="AF17" s="934"/>
      <c r="AG17" s="934"/>
      <c r="AH17" s="992"/>
      <c r="AI17" s="979"/>
      <c r="AJ17" s="934"/>
      <c r="AK17" s="934"/>
      <c r="AL17" s="934"/>
      <c r="AM17" s="934"/>
      <c r="AN17" s="934"/>
      <c r="AO17" s="934"/>
      <c r="AP17" s="935"/>
      <c r="AQ17" s="935"/>
      <c r="AR17" s="935"/>
      <c r="AS17" s="935"/>
      <c r="AT17" s="935"/>
      <c r="AU17" s="935"/>
      <c r="AV17" s="935"/>
      <c r="AW17" s="935"/>
    </row>
    <row r="18" spans="1:57" ht="18" customHeight="1">
      <c r="A18" s="853"/>
      <c r="B18" s="253" t="s">
        <v>75</v>
      </c>
      <c r="C18" s="875"/>
      <c r="D18" s="876"/>
      <c r="E18" s="876"/>
      <c r="F18" s="876"/>
      <c r="G18" s="876"/>
      <c r="H18" s="876"/>
      <c r="I18" s="253" t="s">
        <v>76</v>
      </c>
      <c r="J18" s="934"/>
      <c r="K18" s="934"/>
      <c r="L18" s="935"/>
      <c r="M18" s="935"/>
      <c r="N18" s="935"/>
      <c r="O18" s="935"/>
      <c r="P18" s="935"/>
      <c r="Q18" s="935"/>
      <c r="R18" s="935"/>
      <c r="S18" s="935"/>
      <c r="T18" s="935"/>
      <c r="U18" s="935"/>
      <c r="V18" s="934"/>
      <c r="W18" s="934"/>
      <c r="X18" s="934"/>
      <c r="Y18" s="934"/>
      <c r="Z18" s="934"/>
      <c r="AA18" s="979"/>
      <c r="AB18" s="934"/>
      <c r="AC18" s="934"/>
      <c r="AD18" s="934"/>
      <c r="AE18" s="934"/>
      <c r="AF18" s="934"/>
      <c r="AG18" s="934"/>
      <c r="AH18" s="992"/>
      <c r="AI18" s="979"/>
      <c r="AJ18" s="934"/>
      <c r="AK18" s="934"/>
      <c r="AL18" s="934"/>
      <c r="AM18" s="934"/>
      <c r="AN18" s="934"/>
      <c r="AO18" s="934"/>
      <c r="AP18" s="935"/>
      <c r="AQ18" s="935"/>
      <c r="AR18" s="935"/>
      <c r="AS18" s="935"/>
      <c r="AT18" s="935"/>
      <c r="AU18" s="935"/>
      <c r="AV18" s="935"/>
      <c r="AW18" s="935"/>
      <c r="AX18" s="1009"/>
      <c r="AY18" s="867"/>
      <c r="AZ18" s="867"/>
      <c r="BA18" s="867"/>
      <c r="BB18" s="867"/>
      <c r="BC18" s="867"/>
      <c r="BD18" s="867"/>
      <c r="BE18" s="867"/>
    </row>
    <row r="19" spans="1:57" ht="18" customHeight="1">
      <c r="A19" s="893"/>
      <c r="B19" s="877"/>
      <c r="C19" s="877"/>
      <c r="D19" s="893"/>
      <c r="E19" s="893"/>
      <c r="F19" s="893"/>
      <c r="G19" s="893"/>
      <c r="H19" s="898"/>
      <c r="I19" s="936"/>
      <c r="J19" s="936"/>
      <c r="K19" s="936"/>
      <c r="L19" s="937"/>
      <c r="M19" s="937"/>
      <c r="N19" s="937"/>
      <c r="O19" s="938"/>
      <c r="P19" s="938"/>
      <c r="Q19" s="938"/>
      <c r="R19" s="938"/>
      <c r="S19" s="938"/>
      <c r="T19" s="938"/>
      <c r="U19" s="938"/>
      <c r="V19" s="958"/>
      <c r="W19" s="934"/>
      <c r="X19" s="934"/>
      <c r="Y19" s="934"/>
      <c r="Z19" s="934"/>
      <c r="AA19" s="979"/>
      <c r="AB19" s="934"/>
      <c r="AC19" s="934"/>
      <c r="AD19" s="934"/>
      <c r="AE19" s="934"/>
      <c r="AF19" s="934"/>
      <c r="AG19" s="934"/>
      <c r="AH19" s="992"/>
      <c r="AI19" s="979"/>
      <c r="AJ19" s="934"/>
      <c r="AK19" s="934"/>
      <c r="AL19" s="934"/>
      <c r="AM19" s="934"/>
      <c r="AN19" s="934"/>
      <c r="AO19" s="934"/>
      <c r="AP19" s="935"/>
      <c r="AQ19" s="935"/>
      <c r="AR19" s="935"/>
      <c r="AS19" s="935"/>
      <c r="AT19" s="935"/>
      <c r="AU19" s="935"/>
      <c r="AV19" s="935"/>
      <c r="AW19" s="935"/>
    </row>
    <row r="20" spans="1:57" s="387" customFormat="1" ht="18" customHeight="1">
      <c r="B20" s="100" t="s">
        <v>70</v>
      </c>
      <c r="C20" s="880"/>
      <c r="D20" s="881"/>
      <c r="E20" s="881"/>
      <c r="F20" s="881"/>
      <c r="G20" s="881"/>
      <c r="H20" s="881"/>
      <c r="I20" s="924">
        <f>I4</f>
        <v>2021</v>
      </c>
      <c r="J20" s="924">
        <f>J4</f>
        <v>2022</v>
      </c>
      <c r="K20" s="924">
        <f>K4</f>
        <v>2023</v>
      </c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54"/>
      <c r="W20" s="924" t="str">
        <f t="shared" ref="W20:AK20" si="46">W4</f>
        <v>1Q2021</v>
      </c>
      <c r="X20" s="924" t="str">
        <f t="shared" si="46"/>
        <v>2Q2021</v>
      </c>
      <c r="Y20" s="924" t="str">
        <f t="shared" si="46"/>
        <v>3Q2021</v>
      </c>
      <c r="Z20" s="924" t="str">
        <f t="shared" si="46"/>
        <v>4Q2021</v>
      </c>
      <c r="AA20" s="924" t="str">
        <f t="shared" si="46"/>
        <v>1Q2022</v>
      </c>
      <c r="AB20" s="924" t="str">
        <f t="shared" si="46"/>
        <v>2Q2022</v>
      </c>
      <c r="AC20" s="924" t="str">
        <f t="shared" si="46"/>
        <v>3Q2022</v>
      </c>
      <c r="AD20" s="924" t="str">
        <f t="shared" si="46"/>
        <v>4Q2022</v>
      </c>
      <c r="AE20" s="924" t="str">
        <f t="shared" si="46"/>
        <v>1Q2023</v>
      </c>
      <c r="AF20" s="924" t="str">
        <f t="shared" si="46"/>
        <v>2Q2023</v>
      </c>
      <c r="AG20" s="924" t="str">
        <f t="shared" si="46"/>
        <v>3Q2023</v>
      </c>
      <c r="AH20" s="924" t="str">
        <f t="shared" si="46"/>
        <v>4Q2023</v>
      </c>
      <c r="AI20" s="924" t="str">
        <f t="shared" si="46"/>
        <v>1Q2024</v>
      </c>
      <c r="AJ20" s="924" t="str">
        <f t="shared" si="46"/>
        <v>2Q2024</v>
      </c>
      <c r="AK20" s="924" t="str">
        <f t="shared" si="46"/>
        <v>3Q2024</v>
      </c>
      <c r="AL20" s="82" t="str">
        <f t="shared" ref="AL20:AO20" si="47">AL4</f>
        <v>1Q2024</v>
      </c>
      <c r="AM20" s="82" t="str">
        <f t="shared" si="47"/>
        <v>2Q2024</v>
      </c>
      <c r="AN20" s="82" t="str">
        <f t="shared" si="47"/>
        <v>3Q2024</v>
      </c>
      <c r="AO20" s="82" t="str">
        <f t="shared" si="47"/>
        <v>4Q2024</v>
      </c>
      <c r="AP20" s="82" t="str">
        <f t="shared" ref="AP20:AW20" si="48">AP4</f>
        <v>1Q2025</v>
      </c>
      <c r="AQ20" s="82" t="str">
        <f t="shared" si="48"/>
        <v>2Q2025</v>
      </c>
      <c r="AR20" s="82" t="str">
        <f t="shared" si="48"/>
        <v>3Q2025</v>
      </c>
      <c r="AS20" s="82" t="str">
        <f t="shared" si="48"/>
        <v>4Q2025</v>
      </c>
      <c r="AT20" s="82" t="str">
        <f t="shared" si="48"/>
        <v>1Q2026</v>
      </c>
      <c r="AU20" s="82" t="str">
        <f t="shared" si="48"/>
        <v>2Q2026</v>
      </c>
      <c r="AV20" s="82" t="str">
        <f t="shared" si="48"/>
        <v>3Q2026</v>
      </c>
      <c r="AW20" s="82" t="str">
        <f t="shared" si="48"/>
        <v>4Q2026</v>
      </c>
    </row>
    <row r="21" spans="1:57" s="859" customFormat="1" ht="18" customHeight="1">
      <c r="B21" s="888" t="s">
        <v>77</v>
      </c>
      <c r="C21" s="888"/>
      <c r="D21" s="899"/>
      <c r="E21" s="899"/>
      <c r="F21" s="899"/>
      <c r="G21" s="899"/>
      <c r="H21" s="899"/>
      <c r="I21" s="929">
        <f>利润表!Y27</f>
        <v>0</v>
      </c>
      <c r="J21" s="929">
        <f>利润表!AC27</f>
        <v>0</v>
      </c>
      <c r="K21" s="929">
        <f>利润表!AG27</f>
        <v>0</v>
      </c>
      <c r="L21" s="939">
        <f>IF(COUNT(AL22:AO22)=4,SUM(AL21:AO21),L22*L6)</f>
        <v>0</v>
      </c>
      <c r="M21" s="939">
        <f>IF(COUNT(AP22:AS22)=4,SUM(AP21:AS21),M22*M6)</f>
        <v>0</v>
      </c>
      <c r="N21" s="939">
        <f>IF(COUNT(AT22:AW22)=4,SUM(AT21:AW21),N22*N6)</f>
        <v>0</v>
      </c>
      <c r="O21" s="939">
        <f t="shared" ref="O21:U21" si="49">IF(ISERROR(O22*O6),"—",O22*O6)</f>
        <v>0</v>
      </c>
      <c r="P21" s="939">
        <f t="shared" si="49"/>
        <v>0</v>
      </c>
      <c r="Q21" s="939">
        <f t="shared" si="49"/>
        <v>0</v>
      </c>
      <c r="R21" s="939">
        <f t="shared" si="49"/>
        <v>0</v>
      </c>
      <c r="S21" s="939">
        <f t="shared" si="49"/>
        <v>0</v>
      </c>
      <c r="T21" s="939">
        <f t="shared" si="49"/>
        <v>0</v>
      </c>
      <c r="U21" s="939">
        <f t="shared" si="49"/>
        <v>0</v>
      </c>
      <c r="V21" s="926"/>
      <c r="W21" s="939">
        <f>利润表!V27</f>
        <v>0</v>
      </c>
      <c r="X21" s="926">
        <f>利润表!W27-利润表!V27</f>
        <v>0</v>
      </c>
      <c r="Y21" s="926">
        <f>利润表!X27-利润表!W27</f>
        <v>0</v>
      </c>
      <c r="Z21" s="980">
        <f>利润表!Y27-利润表!X27</f>
        <v>0</v>
      </c>
      <c r="AA21" s="926">
        <f>利润表!Z27</f>
        <v>0</v>
      </c>
      <c r="AB21" s="926">
        <f>利润表!AA27-利润表!Z27</f>
        <v>0</v>
      </c>
      <c r="AC21" s="926">
        <f>利润表!AB27-利润表!AA27</f>
        <v>0</v>
      </c>
      <c r="AD21" s="980">
        <f>利润表!AC27-利润表!AB27</f>
        <v>0</v>
      </c>
      <c r="AE21" s="926">
        <f>利润表!AD27</f>
        <v>0</v>
      </c>
      <c r="AF21" s="926">
        <f>利润表!AE27-利润表!AD27</f>
        <v>0</v>
      </c>
      <c r="AG21" s="926">
        <f>利润表!AF27-利润表!AE27</f>
        <v>0</v>
      </c>
      <c r="AH21" s="980">
        <f>利润表!AG27-利润表!AF27</f>
        <v>0</v>
      </c>
      <c r="AI21" s="926">
        <f>IF(财务基础数据!AM4=0,0,利润表!AH27)</f>
        <v>0</v>
      </c>
      <c r="AJ21" s="926">
        <f>IF(财务基础数据!AM4&lt;=1,0,利润表!AI27-利润表!AH27)</f>
        <v>0</v>
      </c>
      <c r="AK21" s="926">
        <f>IF(财务基础数据!AM4&lt;=2,0,利润表!AJ27-利润表!AI27)</f>
        <v>0</v>
      </c>
      <c r="AL21" s="993" t="str">
        <f>IF(ISERROR(AL22*AL6),"—",AL22*AL6)</f>
        <v>—</v>
      </c>
      <c r="AM21" s="993" t="str">
        <f>IF(ISERROR(AM22*AM6),"—",AM22*AM6)</f>
        <v>—</v>
      </c>
      <c r="AN21" s="993" t="str">
        <f>IF(ISERROR(AN22*AN6),"—",AN22*AN6)</f>
        <v>—</v>
      </c>
      <c r="AO21" s="993">
        <f>IF(ISERROR(AO22*AO6),"—",AO22*AO6)</f>
        <v>0</v>
      </c>
      <c r="AP21" s="993">
        <f t="shared" ref="AP21:AW21" si="50">IF(ISERROR(AP22*AP6),"—",AP22*AP6)</f>
        <v>0</v>
      </c>
      <c r="AQ21" s="993">
        <f t="shared" si="50"/>
        <v>0</v>
      </c>
      <c r="AR21" s="993">
        <f t="shared" si="50"/>
        <v>0</v>
      </c>
      <c r="AS21" s="993">
        <f t="shared" si="50"/>
        <v>0</v>
      </c>
      <c r="AT21" s="993">
        <f t="shared" si="50"/>
        <v>0</v>
      </c>
      <c r="AU21" s="993">
        <f t="shared" si="50"/>
        <v>0</v>
      </c>
      <c r="AV21" s="993">
        <f t="shared" si="50"/>
        <v>0</v>
      </c>
      <c r="AW21" s="993">
        <f t="shared" si="50"/>
        <v>0</v>
      </c>
    </row>
    <row r="22" spans="1:57" s="860" customFormat="1" ht="18" customHeight="1">
      <c r="B22" s="900" t="s">
        <v>78</v>
      </c>
      <c r="C22" s="444"/>
      <c r="D22" s="901"/>
      <c r="E22" s="901"/>
      <c r="F22" s="901"/>
      <c r="G22" s="901"/>
      <c r="H22" s="901"/>
      <c r="I22" s="928" t="str">
        <f>IF(ISERROR(I21/I6),"—",I21/I6)</f>
        <v>—</v>
      </c>
      <c r="J22" s="928" t="str">
        <f>IF(ISERROR(J21/J6),"—",J21/J6)</f>
        <v>—</v>
      </c>
      <c r="K22" s="928" t="str">
        <f>IF(ISERROR(K21/K6),"—",K21/K6)</f>
        <v>—</v>
      </c>
      <c r="L22" s="940"/>
      <c r="M22" s="940"/>
      <c r="N22" s="940"/>
      <c r="O22" s="940"/>
      <c r="P22" s="940"/>
      <c r="Q22" s="940"/>
      <c r="R22" s="940"/>
      <c r="S22" s="940"/>
      <c r="T22" s="940"/>
      <c r="U22" s="940"/>
      <c r="V22" s="959"/>
      <c r="W22" s="928" t="str">
        <f t="shared" ref="W22:AK22" si="51">IF(ISERROR(W21/W6),"—",W21/W6)</f>
        <v>—</v>
      </c>
      <c r="X22" s="928" t="str">
        <f t="shared" si="51"/>
        <v>—</v>
      </c>
      <c r="Y22" s="928" t="str">
        <f t="shared" si="51"/>
        <v>—</v>
      </c>
      <c r="Z22" s="981" t="str">
        <f t="shared" si="51"/>
        <v>—</v>
      </c>
      <c r="AA22" s="959" t="str">
        <f t="shared" si="51"/>
        <v>—</v>
      </c>
      <c r="AB22" s="928" t="str">
        <f t="shared" si="51"/>
        <v>—</v>
      </c>
      <c r="AC22" s="928" t="str">
        <f t="shared" si="51"/>
        <v>—</v>
      </c>
      <c r="AD22" s="981" t="str">
        <f t="shared" si="51"/>
        <v>—</v>
      </c>
      <c r="AE22" s="959" t="str">
        <f t="shared" si="51"/>
        <v>—</v>
      </c>
      <c r="AF22" s="928" t="str">
        <f t="shared" si="51"/>
        <v>—</v>
      </c>
      <c r="AG22" s="928" t="str">
        <f t="shared" si="51"/>
        <v>—</v>
      </c>
      <c r="AH22" s="981" t="str">
        <f t="shared" si="51"/>
        <v>—</v>
      </c>
      <c r="AI22" s="959" t="str">
        <f t="shared" si="51"/>
        <v>—</v>
      </c>
      <c r="AJ22" s="959" t="str">
        <f t="shared" si="51"/>
        <v>—</v>
      </c>
      <c r="AK22" s="959" t="str">
        <f t="shared" si="51"/>
        <v>—</v>
      </c>
      <c r="AL22" s="994" t="str">
        <f>IF(财务基础数据!AM4=0,"",AI22)</f>
        <v/>
      </c>
      <c r="AM22" s="994" t="str">
        <f>IF(财务基础数据!AM4&lt;=1,"",AJ22)</f>
        <v/>
      </c>
      <c r="AN22" s="994" t="str">
        <f>IF(财务基础数据!AM4&lt;=2,"",AK22)</f>
        <v/>
      </c>
      <c r="AO22" s="994"/>
      <c r="AP22" s="994"/>
      <c r="AQ22" s="994"/>
      <c r="AR22" s="994"/>
      <c r="AS22" s="994"/>
      <c r="AT22" s="994"/>
      <c r="AU22" s="994"/>
      <c r="AV22" s="994"/>
      <c r="AW22" s="994"/>
    </row>
    <row r="23" spans="1:57" s="853" customFormat="1" ht="18" customHeight="1">
      <c r="B23" s="97"/>
      <c r="C23" s="97"/>
      <c r="D23" s="902"/>
      <c r="E23" s="902"/>
      <c r="F23" s="902"/>
      <c r="G23" s="902"/>
      <c r="H23" s="902"/>
      <c r="I23" s="941"/>
      <c r="J23" s="941"/>
      <c r="K23" s="941"/>
      <c r="L23" s="941"/>
      <c r="M23" s="941"/>
      <c r="N23" s="941"/>
      <c r="O23" s="941"/>
      <c r="P23" s="941"/>
      <c r="Q23" s="941"/>
      <c r="R23" s="941"/>
      <c r="S23" s="941"/>
      <c r="T23" s="941"/>
      <c r="U23" s="941"/>
      <c r="V23" s="960"/>
      <c r="W23" s="942"/>
      <c r="X23" s="942"/>
      <c r="Y23" s="942"/>
      <c r="Z23" s="981"/>
      <c r="AA23" s="959"/>
      <c r="AB23" s="942"/>
      <c r="AC23" s="942"/>
      <c r="AD23" s="981"/>
      <c r="AE23" s="959"/>
      <c r="AF23" s="942"/>
      <c r="AG23" s="942"/>
      <c r="AH23" s="981"/>
      <c r="AI23" s="959"/>
      <c r="AJ23" s="959"/>
      <c r="AK23" s="959"/>
      <c r="AL23" s="941"/>
      <c r="AM23" s="941"/>
      <c r="AN23" s="941"/>
      <c r="AO23" s="941"/>
      <c r="AP23" s="941"/>
      <c r="AQ23" s="941"/>
      <c r="AR23" s="941"/>
      <c r="AS23" s="941"/>
      <c r="AT23" s="941"/>
      <c r="AU23" s="941"/>
      <c r="AV23" s="941"/>
      <c r="AW23" s="941"/>
    </row>
    <row r="24" spans="1:57" s="859" customFormat="1" ht="18" customHeight="1">
      <c r="B24" s="888" t="s">
        <v>79</v>
      </c>
      <c r="C24" s="888"/>
      <c r="D24" s="899"/>
      <c r="E24" s="899"/>
      <c r="F24" s="899"/>
      <c r="G24" s="899"/>
      <c r="H24" s="899"/>
      <c r="I24" s="926">
        <f>利润表!Y29</f>
        <v>0</v>
      </c>
      <c r="J24" s="926">
        <f>利润表!AC29</f>
        <v>0</v>
      </c>
      <c r="K24" s="926">
        <f>利润表!AG29</f>
        <v>0</v>
      </c>
      <c r="L24" s="939">
        <f>IF(COUNT(AL25:AO25)=4,SUM(AL24:AO24),L25*L6)</f>
        <v>0</v>
      </c>
      <c r="M24" s="939">
        <f>IF(COUNT(AP25:AS25)=4,SUM(AP24:AS24),M25*M6)</f>
        <v>0</v>
      </c>
      <c r="N24" s="939">
        <f>IF(COUNT(AT25:AW25)=4,SUM(AT24:AW24),N25*N6)</f>
        <v>0</v>
      </c>
      <c r="O24" s="939">
        <f t="shared" ref="O24:U24" si="52">IF(ISERROR(O25*O6),"—",O25*O6)</f>
        <v>0</v>
      </c>
      <c r="P24" s="939">
        <f t="shared" si="52"/>
        <v>0</v>
      </c>
      <c r="Q24" s="939">
        <f t="shared" si="52"/>
        <v>0</v>
      </c>
      <c r="R24" s="939">
        <f t="shared" si="52"/>
        <v>0</v>
      </c>
      <c r="S24" s="939">
        <f t="shared" si="52"/>
        <v>0</v>
      </c>
      <c r="T24" s="939">
        <f t="shared" si="52"/>
        <v>0</v>
      </c>
      <c r="U24" s="939">
        <f t="shared" si="52"/>
        <v>0</v>
      </c>
      <c r="V24" s="926"/>
      <c r="W24" s="939">
        <f>利润表!V29</f>
        <v>0</v>
      </c>
      <c r="X24" s="926">
        <f>利润表!W29-利润表!V29</f>
        <v>0</v>
      </c>
      <c r="Y24" s="926">
        <f>利润表!X29-利润表!W29</f>
        <v>0</v>
      </c>
      <c r="Z24" s="980">
        <f>利润表!Y29-利润表!X29</f>
        <v>0</v>
      </c>
      <c r="AA24" s="926">
        <f>利润表!Z29</f>
        <v>0</v>
      </c>
      <c r="AB24" s="926">
        <f>利润表!AA29-利润表!Z29</f>
        <v>0</v>
      </c>
      <c r="AC24" s="926">
        <f>利润表!AB29-利润表!AA29</f>
        <v>0</v>
      </c>
      <c r="AD24" s="980">
        <f>利润表!AC29-利润表!AB29</f>
        <v>0</v>
      </c>
      <c r="AE24" s="926">
        <f>利润表!AD29</f>
        <v>0</v>
      </c>
      <c r="AF24" s="926">
        <f>利润表!AE29-利润表!AD29</f>
        <v>0</v>
      </c>
      <c r="AG24" s="926">
        <f>利润表!AF29-利润表!AE29</f>
        <v>0</v>
      </c>
      <c r="AH24" s="980">
        <f>利润表!AG29-利润表!AF29</f>
        <v>0</v>
      </c>
      <c r="AI24" s="926">
        <f>IF(财务基础数据!AM4=0,0,利润表!AH29)</f>
        <v>0</v>
      </c>
      <c r="AJ24" s="926">
        <f>IF(财务基础数据!AM4&lt;=1,0,利润表!AI29-利润表!AH29)</f>
        <v>0</v>
      </c>
      <c r="AK24" s="926">
        <f>IF(财务基础数据!AM4&lt;=2,0,利润表!AJ29-利润表!AI29)</f>
        <v>0</v>
      </c>
      <c r="AL24" s="939" t="str">
        <f>IF(ISERROR(AL25*AL6),"—",AL25*AL6)</f>
        <v>—</v>
      </c>
      <c r="AM24" s="939" t="str">
        <f>IF(ISERROR(AM25*AM6),"—",AM25*AM6)</f>
        <v>—</v>
      </c>
      <c r="AN24" s="939" t="str">
        <f>IF(ISERROR(AN25*AN6),"—",AN25*AN6)</f>
        <v>—</v>
      </c>
      <c r="AO24" s="939">
        <f t="shared" ref="AO24:AW24" si="53">IF(ISERROR(AO25*AO6),"—",AO25*AO6)</f>
        <v>0</v>
      </c>
      <c r="AP24" s="939">
        <f t="shared" si="53"/>
        <v>0</v>
      </c>
      <c r="AQ24" s="939">
        <f t="shared" si="53"/>
        <v>0</v>
      </c>
      <c r="AR24" s="939">
        <f t="shared" si="53"/>
        <v>0</v>
      </c>
      <c r="AS24" s="939">
        <f t="shared" si="53"/>
        <v>0</v>
      </c>
      <c r="AT24" s="939">
        <f t="shared" si="53"/>
        <v>0</v>
      </c>
      <c r="AU24" s="939">
        <f t="shared" si="53"/>
        <v>0</v>
      </c>
      <c r="AV24" s="939">
        <f t="shared" si="53"/>
        <v>0</v>
      </c>
      <c r="AW24" s="939">
        <f t="shared" si="53"/>
        <v>0</v>
      </c>
    </row>
    <row r="25" spans="1:57" s="860" customFormat="1" ht="18" customHeight="1">
      <c r="B25" s="444" t="s">
        <v>80</v>
      </c>
      <c r="C25" s="444"/>
      <c r="D25" s="901"/>
      <c r="E25" s="901"/>
      <c r="F25" s="901"/>
      <c r="G25" s="901"/>
      <c r="H25" s="901"/>
      <c r="I25" s="928" t="str">
        <f>IF(ISERROR(I24/I6),"—",I24/I6)</f>
        <v>—</v>
      </c>
      <c r="J25" s="928" t="str">
        <f>IF(ISERROR(J24/J6),"—",J24/J6)</f>
        <v>—</v>
      </c>
      <c r="K25" s="928" t="str">
        <f>IF(ISERROR(K24/K6),"—",K24/K6)</f>
        <v>—</v>
      </c>
      <c r="L25" s="940"/>
      <c r="M25" s="940"/>
      <c r="N25" s="940"/>
      <c r="O25" s="940"/>
      <c r="P25" s="940"/>
      <c r="Q25" s="940"/>
      <c r="R25" s="940"/>
      <c r="S25" s="940"/>
      <c r="T25" s="940"/>
      <c r="U25" s="940"/>
      <c r="V25" s="959"/>
      <c r="W25" s="928" t="str">
        <f t="shared" ref="W25:AK25" si="54">IF(ISERROR(W24/W6),"—",W24/W6)</f>
        <v>—</v>
      </c>
      <c r="X25" s="928" t="str">
        <f t="shared" si="54"/>
        <v>—</v>
      </c>
      <c r="Y25" s="928" t="str">
        <f t="shared" si="54"/>
        <v>—</v>
      </c>
      <c r="Z25" s="981" t="str">
        <f t="shared" si="54"/>
        <v>—</v>
      </c>
      <c r="AA25" s="959" t="str">
        <f t="shared" si="54"/>
        <v>—</v>
      </c>
      <c r="AB25" s="928" t="str">
        <f t="shared" si="54"/>
        <v>—</v>
      </c>
      <c r="AC25" s="928" t="str">
        <f t="shared" si="54"/>
        <v>—</v>
      </c>
      <c r="AD25" s="981" t="str">
        <f t="shared" si="54"/>
        <v>—</v>
      </c>
      <c r="AE25" s="959" t="str">
        <f t="shared" si="54"/>
        <v>—</v>
      </c>
      <c r="AF25" s="928" t="str">
        <f t="shared" si="54"/>
        <v>—</v>
      </c>
      <c r="AG25" s="928" t="str">
        <f t="shared" si="54"/>
        <v>—</v>
      </c>
      <c r="AH25" s="981" t="str">
        <f t="shared" si="54"/>
        <v>—</v>
      </c>
      <c r="AI25" s="959" t="str">
        <f t="shared" si="54"/>
        <v>—</v>
      </c>
      <c r="AJ25" s="959" t="str">
        <f t="shared" si="54"/>
        <v>—</v>
      </c>
      <c r="AK25" s="959" t="str">
        <f t="shared" si="54"/>
        <v>—</v>
      </c>
      <c r="AL25" s="994" t="str">
        <f>IF(财务基础数据!AM4=0,"",AI25)</f>
        <v/>
      </c>
      <c r="AM25" s="994" t="str">
        <f>IF(财务基础数据!AM4&lt;=1,"",AJ25)</f>
        <v/>
      </c>
      <c r="AN25" s="994" t="str">
        <f>IF(财务基础数据!AM4&lt;=2,"",AK25)</f>
        <v/>
      </c>
      <c r="AO25" s="994"/>
      <c r="AP25" s="994"/>
      <c r="AQ25" s="994"/>
      <c r="AR25" s="994"/>
      <c r="AS25" s="994"/>
      <c r="AT25" s="994"/>
      <c r="AU25" s="994"/>
      <c r="AV25" s="994"/>
      <c r="AW25" s="994"/>
    </row>
    <row r="26" spans="1:57" s="853" customFormat="1" ht="18" customHeight="1">
      <c r="B26" s="97"/>
      <c r="C26" s="97"/>
      <c r="D26" s="902"/>
      <c r="E26" s="902"/>
      <c r="F26" s="902"/>
      <c r="G26" s="902"/>
      <c r="H26" s="902"/>
      <c r="I26" s="941"/>
      <c r="J26" s="941"/>
      <c r="K26" s="941"/>
      <c r="L26" s="941"/>
      <c r="M26" s="941"/>
      <c r="N26" s="941"/>
      <c r="O26" s="941"/>
      <c r="P26" s="941"/>
      <c r="Q26" s="941"/>
      <c r="R26" s="941"/>
      <c r="S26" s="941"/>
      <c r="T26" s="941"/>
      <c r="U26" s="941"/>
      <c r="V26" s="960"/>
      <c r="W26" s="942"/>
      <c r="X26" s="942"/>
      <c r="Y26" s="942"/>
      <c r="Z26" s="981"/>
      <c r="AA26" s="959"/>
      <c r="AB26" s="942"/>
      <c r="AC26" s="942"/>
      <c r="AD26" s="981"/>
      <c r="AE26" s="959"/>
      <c r="AF26" s="942"/>
      <c r="AG26" s="942"/>
      <c r="AH26" s="981"/>
      <c r="AI26" s="959"/>
      <c r="AJ26" s="959"/>
      <c r="AK26" s="959"/>
      <c r="AL26" s="941"/>
      <c r="AM26" s="941"/>
      <c r="AN26" s="941"/>
      <c r="AO26" s="941"/>
      <c r="AP26" s="941"/>
      <c r="AQ26" s="941"/>
      <c r="AR26" s="941"/>
      <c r="AS26" s="941"/>
      <c r="AT26" s="941"/>
      <c r="AU26" s="941"/>
      <c r="AV26" s="941"/>
      <c r="AW26" s="941"/>
    </row>
    <row r="27" spans="1:57" s="859" customFormat="1" ht="18" customHeight="1">
      <c r="B27" s="888" t="s">
        <v>81</v>
      </c>
      <c r="C27" s="888"/>
      <c r="D27" s="899"/>
      <c r="E27" s="899"/>
      <c r="F27" s="899"/>
      <c r="G27" s="899"/>
      <c r="H27" s="899"/>
      <c r="I27" s="926">
        <f>利润表!Y31</f>
        <v>0</v>
      </c>
      <c r="J27" s="926">
        <f>利润表!AC31</f>
        <v>0</v>
      </c>
      <c r="K27" s="926">
        <f>利润表!AG31</f>
        <v>0</v>
      </c>
      <c r="L27" s="939">
        <f>IF(COUNT(AL28:AO28)=4,SUM(AL27:AO27),L28*L6)</f>
        <v>0</v>
      </c>
      <c r="M27" s="939">
        <f>IF(COUNT(AP28:AS28)=4,SUM(AP27:AS27),M28*M6)</f>
        <v>0</v>
      </c>
      <c r="N27" s="939">
        <f>IF(COUNT(AT28:AW28)=4,SUM(AT27:AW27),N28*N6)</f>
        <v>0</v>
      </c>
      <c r="O27" s="939">
        <f t="shared" ref="O27:U27" si="55">IF(ISERROR(O28*O6),"—",O28*O6)</f>
        <v>0</v>
      </c>
      <c r="P27" s="939">
        <f t="shared" si="55"/>
        <v>0</v>
      </c>
      <c r="Q27" s="939">
        <f t="shared" si="55"/>
        <v>0</v>
      </c>
      <c r="R27" s="939">
        <f t="shared" si="55"/>
        <v>0</v>
      </c>
      <c r="S27" s="939">
        <f t="shared" si="55"/>
        <v>0</v>
      </c>
      <c r="T27" s="939">
        <f t="shared" si="55"/>
        <v>0</v>
      </c>
      <c r="U27" s="939">
        <f t="shared" si="55"/>
        <v>0</v>
      </c>
      <c r="V27" s="926"/>
      <c r="W27" s="939">
        <f>利润表!V31</f>
        <v>0</v>
      </c>
      <c r="X27" s="926">
        <f>利润表!W31-利润表!V31</f>
        <v>0</v>
      </c>
      <c r="Y27" s="926">
        <f>利润表!X31-利润表!W31</f>
        <v>0</v>
      </c>
      <c r="Z27" s="980">
        <f>利润表!Y31-利润表!X31</f>
        <v>0</v>
      </c>
      <c r="AA27" s="926">
        <f>利润表!Z31</f>
        <v>0</v>
      </c>
      <c r="AB27" s="926">
        <f>利润表!AA31-利润表!Z31</f>
        <v>0</v>
      </c>
      <c r="AC27" s="926">
        <f>利润表!AB31-利润表!AA31</f>
        <v>0</v>
      </c>
      <c r="AD27" s="980">
        <f>利润表!AC31-利润表!AB31</f>
        <v>0</v>
      </c>
      <c r="AE27" s="926">
        <f>利润表!AD31</f>
        <v>0</v>
      </c>
      <c r="AF27" s="926">
        <f>利润表!AE31-利润表!AD31</f>
        <v>0</v>
      </c>
      <c r="AG27" s="926">
        <f>利润表!AF31-利润表!AE31</f>
        <v>0</v>
      </c>
      <c r="AH27" s="980">
        <f>利润表!AG31-利润表!AF31</f>
        <v>0</v>
      </c>
      <c r="AI27" s="926">
        <f>IF(财务基础数据!AM4=0,0,利润表!AH31)</f>
        <v>0</v>
      </c>
      <c r="AJ27" s="929">
        <f>IF(财务基础数据!AM4&lt;=1,0,利润表!AI31-利润表!AH31)</f>
        <v>0</v>
      </c>
      <c r="AK27" s="929">
        <f>IF(财务基础数据!AM4&lt;=2,0,利润表!AJ31-利润表!AI31)</f>
        <v>0</v>
      </c>
      <c r="AL27" s="939" t="str">
        <f>IF(ISERROR(AL28*AL6),"—",AL28*AL6)</f>
        <v>—</v>
      </c>
      <c r="AM27" s="939" t="str">
        <f>IF(ISERROR(AM28*AM6),"—",AM28*AM6)</f>
        <v>—</v>
      </c>
      <c r="AN27" s="939" t="str">
        <f>IF(ISERROR(AN28*AN6),"—",AN28*AN6)</f>
        <v>—</v>
      </c>
      <c r="AO27" s="939">
        <f t="shared" ref="AO27:AW27" si="56">IF(ISERROR(AO28*AO6),"—",AO28*AO6)</f>
        <v>0</v>
      </c>
      <c r="AP27" s="939">
        <f t="shared" si="56"/>
        <v>0</v>
      </c>
      <c r="AQ27" s="939">
        <f t="shared" si="56"/>
        <v>0</v>
      </c>
      <c r="AR27" s="939">
        <f t="shared" si="56"/>
        <v>0</v>
      </c>
      <c r="AS27" s="939">
        <f t="shared" si="56"/>
        <v>0</v>
      </c>
      <c r="AT27" s="939">
        <f t="shared" si="56"/>
        <v>0</v>
      </c>
      <c r="AU27" s="939">
        <f t="shared" si="56"/>
        <v>0</v>
      </c>
      <c r="AV27" s="939">
        <f t="shared" si="56"/>
        <v>0</v>
      </c>
      <c r="AW27" s="939">
        <f t="shared" si="56"/>
        <v>0</v>
      </c>
    </row>
    <row r="28" spans="1:57" s="860" customFormat="1" ht="18" customHeight="1">
      <c r="B28" s="444" t="s">
        <v>82</v>
      </c>
      <c r="C28" s="444"/>
      <c r="D28" s="901"/>
      <c r="E28" s="901"/>
      <c r="F28" s="901"/>
      <c r="G28" s="901"/>
      <c r="H28" s="901"/>
      <c r="I28" s="942" t="str">
        <f>IF(ISERROR(I27/I6),"—",I27/I6)</f>
        <v>—</v>
      </c>
      <c r="J28" s="942" t="str">
        <f>IF(ISERROR(J27/J6),"—",J27/J6)</f>
        <v>—</v>
      </c>
      <c r="K28" s="942" t="str">
        <f>IF(ISERROR(K27/K6),"—",K27/K6)</f>
        <v>—</v>
      </c>
      <c r="L28" s="940"/>
      <c r="M28" s="940"/>
      <c r="N28" s="940"/>
      <c r="O28" s="940"/>
      <c r="P28" s="940"/>
      <c r="Q28" s="940"/>
      <c r="R28" s="940"/>
      <c r="S28" s="940"/>
      <c r="T28" s="940"/>
      <c r="U28" s="940"/>
      <c r="V28" s="959"/>
      <c r="W28" s="942" t="str">
        <f t="shared" ref="W28:AK28" si="57">IF(ISERROR(W27/W6),"—",W27/W6)</f>
        <v>—</v>
      </c>
      <c r="X28" s="942" t="str">
        <f t="shared" si="57"/>
        <v>—</v>
      </c>
      <c r="Y28" s="942" t="str">
        <f t="shared" si="57"/>
        <v>—</v>
      </c>
      <c r="Z28" s="981" t="str">
        <f t="shared" si="57"/>
        <v>—</v>
      </c>
      <c r="AA28" s="959" t="str">
        <f t="shared" si="57"/>
        <v>—</v>
      </c>
      <c r="AB28" s="942" t="str">
        <f t="shared" si="57"/>
        <v>—</v>
      </c>
      <c r="AC28" s="942" t="str">
        <f t="shared" si="57"/>
        <v>—</v>
      </c>
      <c r="AD28" s="981" t="str">
        <f t="shared" si="57"/>
        <v>—</v>
      </c>
      <c r="AE28" s="959" t="str">
        <f t="shared" si="57"/>
        <v>—</v>
      </c>
      <c r="AF28" s="942" t="str">
        <f t="shared" si="57"/>
        <v>—</v>
      </c>
      <c r="AG28" s="942" t="str">
        <f t="shared" si="57"/>
        <v>—</v>
      </c>
      <c r="AH28" s="981" t="str">
        <f t="shared" si="57"/>
        <v>—</v>
      </c>
      <c r="AI28" s="959" t="str">
        <f t="shared" si="57"/>
        <v>—</v>
      </c>
      <c r="AJ28" s="942" t="str">
        <f t="shared" si="57"/>
        <v>—</v>
      </c>
      <c r="AK28" s="942" t="str">
        <f t="shared" si="57"/>
        <v>—</v>
      </c>
      <c r="AL28" s="994" t="str">
        <f>IF(财务基础数据!AM4=0,"",AI28)</f>
        <v/>
      </c>
      <c r="AM28" s="994" t="str">
        <f>IF(财务基础数据!AM4&lt;=1,"",AJ28)</f>
        <v/>
      </c>
      <c r="AN28" s="994" t="str">
        <f>IF(财务基础数据!AM4&lt;=2,"",AK28)</f>
        <v/>
      </c>
      <c r="AO28" s="994"/>
      <c r="AP28" s="994"/>
      <c r="AQ28" s="994"/>
      <c r="AR28" s="994"/>
      <c r="AS28" s="994"/>
      <c r="AT28" s="994"/>
      <c r="AU28" s="994"/>
      <c r="AV28" s="994"/>
      <c r="AW28" s="994"/>
    </row>
    <row r="29" spans="1:57" s="853" customFormat="1" ht="18" customHeight="1">
      <c r="B29" s="97"/>
      <c r="C29" s="97"/>
      <c r="D29" s="902"/>
      <c r="E29" s="902"/>
      <c r="F29" s="902"/>
      <c r="G29" s="902"/>
      <c r="H29" s="902"/>
      <c r="I29" s="941"/>
      <c r="J29" s="941"/>
      <c r="K29" s="941"/>
      <c r="L29" s="941"/>
      <c r="M29" s="941"/>
      <c r="N29" s="941"/>
      <c r="O29" s="941"/>
      <c r="P29" s="941"/>
      <c r="Q29" s="941"/>
      <c r="R29" s="941"/>
      <c r="S29" s="941"/>
      <c r="T29" s="941"/>
      <c r="U29" s="941"/>
      <c r="V29" s="960"/>
      <c r="W29" s="942"/>
      <c r="X29" s="942"/>
      <c r="Y29" s="942"/>
      <c r="Z29" s="981"/>
      <c r="AA29" s="959"/>
      <c r="AB29" s="942"/>
      <c r="AC29" s="942"/>
      <c r="AD29" s="981"/>
      <c r="AE29" s="959"/>
      <c r="AF29" s="942"/>
      <c r="AG29" s="942"/>
      <c r="AH29" s="981"/>
      <c r="AI29" s="959"/>
      <c r="AJ29" s="942"/>
      <c r="AK29" s="942"/>
      <c r="AL29" s="941"/>
      <c r="AM29" s="941"/>
      <c r="AN29" s="941"/>
      <c r="AO29" s="941"/>
      <c r="AP29" s="941"/>
      <c r="AQ29" s="941"/>
      <c r="AR29" s="941"/>
      <c r="AS29" s="941"/>
      <c r="AT29" s="941"/>
      <c r="AU29" s="941"/>
      <c r="AV29" s="941"/>
      <c r="AW29" s="941"/>
    </row>
    <row r="30" spans="1:57" s="859" customFormat="1" ht="18" customHeight="1">
      <c r="B30" s="888" t="s">
        <v>83</v>
      </c>
      <c r="C30" s="888"/>
      <c r="D30" s="899"/>
      <c r="E30" s="899"/>
      <c r="F30" s="899"/>
      <c r="G30" s="899"/>
      <c r="H30" s="899"/>
      <c r="I30" s="926">
        <f>利润表!Y33</f>
        <v>0</v>
      </c>
      <c r="J30" s="926">
        <f>利润表!AC33</f>
        <v>0</v>
      </c>
      <c r="K30" s="926">
        <f>利润表!AG33</f>
        <v>0</v>
      </c>
      <c r="L30" s="939">
        <f>IF(COUNT(AL31:AO31)=4,SUM(AL30:AO30),L31*L6)</f>
        <v>0</v>
      </c>
      <c r="M30" s="939">
        <f>IF(COUNT(AP31:AS31)=4,SUM(AP30:AS30),M31*M6)</f>
        <v>0</v>
      </c>
      <c r="N30" s="939">
        <f>IF(COUNT(AT31:AW31)=4,SUM(AT30:AW30),N31*N6)</f>
        <v>0</v>
      </c>
      <c r="O30" s="939">
        <f t="shared" ref="O30:U30" si="58">IF(ISERROR(O31*O6),"—",O31*O6)</f>
        <v>0</v>
      </c>
      <c r="P30" s="939">
        <f t="shared" si="58"/>
        <v>0</v>
      </c>
      <c r="Q30" s="939">
        <f t="shared" si="58"/>
        <v>0</v>
      </c>
      <c r="R30" s="939">
        <f t="shared" si="58"/>
        <v>0</v>
      </c>
      <c r="S30" s="939">
        <f t="shared" si="58"/>
        <v>0</v>
      </c>
      <c r="T30" s="939">
        <f t="shared" si="58"/>
        <v>0</v>
      </c>
      <c r="U30" s="939">
        <f t="shared" si="58"/>
        <v>0</v>
      </c>
      <c r="V30" s="926"/>
      <c r="W30" s="939">
        <f>利润表!V33</f>
        <v>0</v>
      </c>
      <c r="X30" s="926">
        <f>利润表!W33-利润表!V33</f>
        <v>0</v>
      </c>
      <c r="Y30" s="926">
        <f>利润表!X33-利润表!W33</f>
        <v>0</v>
      </c>
      <c r="Z30" s="980">
        <f>利润表!Y33-利润表!X33</f>
        <v>0</v>
      </c>
      <c r="AA30" s="926">
        <f>利润表!Z33</f>
        <v>0</v>
      </c>
      <c r="AB30" s="926">
        <f>利润表!AA33-利润表!Z33</f>
        <v>0</v>
      </c>
      <c r="AC30" s="926">
        <f>利润表!AB33-利润表!AA33</f>
        <v>0</v>
      </c>
      <c r="AD30" s="980">
        <f>利润表!AC33-利润表!AB33</f>
        <v>0</v>
      </c>
      <c r="AE30" s="926">
        <f>利润表!AD33</f>
        <v>0</v>
      </c>
      <c r="AF30" s="926">
        <f>利润表!AE33-利润表!AD33</f>
        <v>0</v>
      </c>
      <c r="AG30" s="926">
        <f>利润表!AF33-利润表!AE33</f>
        <v>0</v>
      </c>
      <c r="AH30" s="980">
        <f>利润表!AG33-利润表!AF33</f>
        <v>0</v>
      </c>
      <c r="AI30" s="926">
        <f>IF(财务基础数据!AM4=0,0,利润表!AH33)</f>
        <v>0</v>
      </c>
      <c r="AJ30" s="929">
        <f>IF(财务基础数据!AM4&lt;=1,0,利润表!AI33-利润表!AH33)</f>
        <v>0</v>
      </c>
      <c r="AK30" s="929">
        <f>IF(财务基础数据!AM4&lt;=2,0,利润表!AJ33-利润表!AI33)</f>
        <v>0</v>
      </c>
      <c r="AL30" s="939" t="str">
        <f>IF(ISERROR(AL31*AL6),"—",AL31*AL6)</f>
        <v>—</v>
      </c>
      <c r="AM30" s="939" t="str">
        <f>IF(ISERROR(AM31*AM6),"—",AM31*AM6)</f>
        <v>—</v>
      </c>
      <c r="AN30" s="939" t="str">
        <f>IF(ISERROR(AN31*AN6),"—",AN31*AN6)</f>
        <v>—</v>
      </c>
      <c r="AO30" s="939">
        <f t="shared" ref="AO30:AW30" si="59">IF(ISERROR(AO31*AO6),"—",AO31*AO6)</f>
        <v>0</v>
      </c>
      <c r="AP30" s="939">
        <f t="shared" si="59"/>
        <v>0</v>
      </c>
      <c r="AQ30" s="939">
        <f t="shared" si="59"/>
        <v>0</v>
      </c>
      <c r="AR30" s="939">
        <f t="shared" si="59"/>
        <v>0</v>
      </c>
      <c r="AS30" s="939">
        <f t="shared" si="59"/>
        <v>0</v>
      </c>
      <c r="AT30" s="939">
        <f t="shared" si="59"/>
        <v>0</v>
      </c>
      <c r="AU30" s="939">
        <f t="shared" si="59"/>
        <v>0</v>
      </c>
      <c r="AV30" s="939">
        <f t="shared" si="59"/>
        <v>0</v>
      </c>
      <c r="AW30" s="939">
        <f t="shared" si="59"/>
        <v>0</v>
      </c>
    </row>
    <row r="31" spans="1:57" s="860" customFormat="1" ht="18" customHeight="1">
      <c r="B31" s="444" t="s">
        <v>84</v>
      </c>
      <c r="C31" s="444"/>
      <c r="D31" s="901"/>
      <c r="E31" s="901"/>
      <c r="F31" s="901"/>
      <c r="G31" s="901"/>
      <c r="H31" s="901"/>
      <c r="I31" s="928" t="str">
        <f>IF(ISERROR(I30/I6),"—",I30/I6)</f>
        <v>—</v>
      </c>
      <c r="J31" s="928" t="str">
        <f>IF(ISERROR(J30/J6),"—",J30/J6)</f>
        <v>—</v>
      </c>
      <c r="K31" s="928" t="str">
        <f>IF(ISERROR(K30/K6),"—",K30/K6)</f>
        <v>—</v>
      </c>
      <c r="L31" s="940"/>
      <c r="M31" s="940"/>
      <c r="N31" s="940"/>
      <c r="O31" s="940"/>
      <c r="P31" s="940"/>
      <c r="Q31" s="940"/>
      <c r="R31" s="940"/>
      <c r="S31" s="940"/>
      <c r="T31" s="940"/>
      <c r="U31" s="940"/>
      <c r="V31" s="959"/>
      <c r="W31" s="928" t="str">
        <f t="shared" ref="W31:AK31" si="60">IF(ISERROR(W30/W6),"—",W30/W6)</f>
        <v>—</v>
      </c>
      <c r="X31" s="928" t="str">
        <f t="shared" si="60"/>
        <v>—</v>
      </c>
      <c r="Y31" s="928" t="str">
        <f t="shared" si="60"/>
        <v>—</v>
      </c>
      <c r="Z31" s="981" t="str">
        <f t="shared" si="60"/>
        <v>—</v>
      </c>
      <c r="AA31" s="959" t="str">
        <f t="shared" si="60"/>
        <v>—</v>
      </c>
      <c r="AB31" s="928" t="str">
        <f t="shared" si="60"/>
        <v>—</v>
      </c>
      <c r="AC31" s="928" t="str">
        <f t="shared" si="60"/>
        <v>—</v>
      </c>
      <c r="AD31" s="981" t="str">
        <f t="shared" si="60"/>
        <v>—</v>
      </c>
      <c r="AE31" s="959" t="str">
        <f t="shared" si="60"/>
        <v>—</v>
      </c>
      <c r="AF31" s="928" t="str">
        <f t="shared" si="60"/>
        <v>—</v>
      </c>
      <c r="AG31" s="928" t="str">
        <f t="shared" si="60"/>
        <v>—</v>
      </c>
      <c r="AH31" s="981" t="str">
        <f t="shared" si="60"/>
        <v>—</v>
      </c>
      <c r="AI31" s="959" t="str">
        <f t="shared" si="60"/>
        <v>—</v>
      </c>
      <c r="AJ31" s="942" t="str">
        <f t="shared" si="60"/>
        <v>—</v>
      </c>
      <c r="AK31" s="942" t="str">
        <f t="shared" si="60"/>
        <v>—</v>
      </c>
      <c r="AL31" s="994" t="str">
        <f>IF(财务基础数据!AM4=0,"",AI31)</f>
        <v/>
      </c>
      <c r="AM31" s="994" t="str">
        <f>IF(财务基础数据!AM4&lt;=1,"",AJ31)</f>
        <v/>
      </c>
      <c r="AN31" s="994" t="str">
        <f>IF(财务基础数据!AM4&lt;=2,"",AK31)</f>
        <v/>
      </c>
      <c r="AO31" s="994"/>
      <c r="AP31" s="994"/>
      <c r="AQ31" s="994"/>
      <c r="AR31" s="994"/>
      <c r="AS31" s="994"/>
      <c r="AT31" s="994"/>
      <c r="AU31" s="994"/>
      <c r="AV31" s="994"/>
      <c r="AW31" s="994"/>
    </row>
    <row r="32" spans="1:57" s="853" customFormat="1" ht="18" customHeight="1">
      <c r="B32" s="97"/>
      <c r="C32" s="97"/>
      <c r="D32" s="902"/>
      <c r="E32" s="902"/>
      <c r="F32" s="902"/>
      <c r="G32" s="902"/>
      <c r="H32" s="902"/>
      <c r="I32" s="941"/>
      <c r="J32" s="941"/>
      <c r="K32" s="941"/>
      <c r="L32" s="941"/>
      <c r="M32" s="941"/>
      <c r="N32" s="941"/>
      <c r="O32" s="941"/>
      <c r="P32" s="941"/>
      <c r="Q32" s="941"/>
      <c r="R32" s="941"/>
      <c r="S32" s="941"/>
      <c r="T32" s="941"/>
      <c r="U32" s="941"/>
      <c r="V32" s="960"/>
      <c r="W32" s="942"/>
      <c r="X32" s="942"/>
      <c r="Y32" s="942"/>
      <c r="Z32" s="981"/>
      <c r="AA32" s="959"/>
      <c r="AB32" s="942"/>
      <c r="AC32" s="942"/>
      <c r="AD32" s="981"/>
      <c r="AE32" s="959"/>
      <c r="AF32" s="942"/>
      <c r="AG32" s="942"/>
      <c r="AH32" s="981"/>
      <c r="AI32" s="959"/>
      <c r="AJ32" s="942"/>
      <c r="AK32" s="942"/>
      <c r="AL32" s="941"/>
      <c r="AM32" s="941"/>
      <c r="AN32" s="941"/>
      <c r="AO32" s="941"/>
      <c r="AP32" s="941"/>
      <c r="AQ32" s="941"/>
      <c r="AR32" s="941"/>
      <c r="AS32" s="941"/>
      <c r="AT32" s="941"/>
      <c r="AU32" s="941"/>
      <c r="AV32" s="941"/>
      <c r="AW32" s="941"/>
    </row>
    <row r="33" spans="2:58" s="859" customFormat="1" ht="18" customHeight="1">
      <c r="B33" s="65" t="s">
        <v>85</v>
      </c>
      <c r="C33" s="888"/>
      <c r="D33" s="899"/>
      <c r="E33" s="899"/>
      <c r="F33" s="899"/>
      <c r="G33" s="899"/>
      <c r="H33" s="899"/>
      <c r="I33" s="926">
        <f>利润表!Y49</f>
        <v>0</v>
      </c>
      <c r="J33" s="926">
        <f>利润表!AC49</f>
        <v>0</v>
      </c>
      <c r="K33" s="926">
        <f>利润表!AG49</f>
        <v>0</v>
      </c>
      <c r="L33" s="710">
        <f>IF(COUNT(AL34:AO34)=4,SUM(AL33:AO33),L34*L6)</f>
        <v>0</v>
      </c>
      <c r="M33" s="710">
        <f>IF(COUNT(AP34:AS34)=4,SUM(AP33:AS33),M34*M6)</f>
        <v>0</v>
      </c>
      <c r="N33" s="710">
        <f>IF(COUNT(AT34:AW34)=4,SUM(AT33:AW33),N34*N6)</f>
        <v>0</v>
      </c>
      <c r="O33" s="710">
        <f t="shared" ref="O33:U33" si="61">O34*O6</f>
        <v>0</v>
      </c>
      <c r="P33" s="710">
        <f t="shared" si="61"/>
        <v>0</v>
      </c>
      <c r="Q33" s="710">
        <f t="shared" si="61"/>
        <v>0</v>
      </c>
      <c r="R33" s="710">
        <f t="shared" si="61"/>
        <v>0</v>
      </c>
      <c r="S33" s="710">
        <f t="shared" si="61"/>
        <v>0</v>
      </c>
      <c r="T33" s="710">
        <f t="shared" si="61"/>
        <v>0</v>
      </c>
      <c r="U33" s="710">
        <f t="shared" si="61"/>
        <v>0</v>
      </c>
      <c r="V33" s="926"/>
      <c r="W33" s="939">
        <f>利润表!V49</f>
        <v>0</v>
      </c>
      <c r="X33" s="926">
        <f>利润表!W49-利润表!V49</f>
        <v>0</v>
      </c>
      <c r="Y33" s="926">
        <f>利润表!X49-利润表!W49</f>
        <v>0</v>
      </c>
      <c r="Z33" s="980">
        <f>利润表!Y49-利润表!X49</f>
        <v>0</v>
      </c>
      <c r="AA33" s="926">
        <f>利润表!Z49</f>
        <v>0</v>
      </c>
      <c r="AB33" s="926">
        <f>利润表!AA49-利润表!Z49</f>
        <v>0</v>
      </c>
      <c r="AC33" s="926">
        <f>利润表!AB49-利润表!AA49</f>
        <v>0</v>
      </c>
      <c r="AD33" s="980">
        <f>利润表!AC49-利润表!AB49</f>
        <v>0</v>
      </c>
      <c r="AE33" s="926">
        <f>利润表!AD49</f>
        <v>0</v>
      </c>
      <c r="AF33" s="926">
        <f>利润表!AE49-利润表!AD49</f>
        <v>0</v>
      </c>
      <c r="AG33" s="926">
        <f>利润表!AF49-利润表!AE49</f>
        <v>0</v>
      </c>
      <c r="AH33" s="980">
        <f>利润表!AG49-利润表!AF49</f>
        <v>0</v>
      </c>
      <c r="AI33" s="926">
        <f>IF(财务基础数据!AM4=0,0,利润表!AH49)</f>
        <v>0</v>
      </c>
      <c r="AJ33" s="929">
        <f>IF(财务基础数据!AM4&lt;=1,0,利润表!AI49-利润表!AH49)</f>
        <v>0</v>
      </c>
      <c r="AK33" s="929">
        <f>IF(财务基础数据!AM4&lt;=2,0,利润表!AJ49-利润表!AI49)</f>
        <v>0</v>
      </c>
      <c r="AL33" s="939" t="str">
        <f>IF(ISERROR(AL34*AL6),"—",AL34*AL6)</f>
        <v>—</v>
      </c>
      <c r="AM33" s="939" t="str">
        <f>IF(ISERROR(AM34*AM6),"—",AM34*AM6)</f>
        <v>—</v>
      </c>
      <c r="AN33" s="939" t="str">
        <f>IF(ISERROR(AN34*AN6),"—",AN34*AN6)</f>
        <v>—</v>
      </c>
      <c r="AO33" s="939">
        <f t="shared" ref="AO33:AW33" si="62">IF(ISERROR(AO34*AO6),"—",AO34*AO6)</f>
        <v>0</v>
      </c>
      <c r="AP33" s="939">
        <f t="shared" si="62"/>
        <v>0</v>
      </c>
      <c r="AQ33" s="939">
        <f t="shared" si="62"/>
        <v>0</v>
      </c>
      <c r="AR33" s="939">
        <f t="shared" si="62"/>
        <v>0</v>
      </c>
      <c r="AS33" s="939">
        <f t="shared" si="62"/>
        <v>0</v>
      </c>
      <c r="AT33" s="939">
        <f t="shared" si="62"/>
        <v>0</v>
      </c>
      <c r="AU33" s="939">
        <f t="shared" si="62"/>
        <v>0</v>
      </c>
      <c r="AV33" s="939">
        <f t="shared" si="62"/>
        <v>0</v>
      </c>
      <c r="AW33" s="939">
        <f t="shared" si="62"/>
        <v>0</v>
      </c>
    </row>
    <row r="34" spans="2:58" s="861" customFormat="1" ht="18" customHeight="1">
      <c r="B34" s="903" t="s">
        <v>86</v>
      </c>
      <c r="C34" s="903"/>
      <c r="D34" s="904"/>
      <c r="E34" s="904"/>
      <c r="F34" s="904"/>
      <c r="G34" s="904"/>
      <c r="H34" s="904"/>
      <c r="I34" s="943" t="str">
        <f>IF(ISERROR(I33/I6),"—",I33/I6)</f>
        <v>—</v>
      </c>
      <c r="J34" s="943" t="str">
        <f>IF(ISERROR(J33/J6),"—",J33/J6)</f>
        <v>—</v>
      </c>
      <c r="K34" s="943" t="str">
        <f>IF(ISERROR(K33/K6),"—",K33/K6)</f>
        <v>—</v>
      </c>
      <c r="L34" s="940"/>
      <c r="M34" s="940"/>
      <c r="N34" s="940"/>
      <c r="O34" s="940"/>
      <c r="P34" s="940"/>
      <c r="Q34" s="940"/>
      <c r="R34" s="940"/>
      <c r="S34" s="940"/>
      <c r="T34" s="940"/>
      <c r="U34" s="940"/>
      <c r="V34" s="961"/>
      <c r="W34" s="959" t="str">
        <f t="shared" ref="W34:AK34" si="63">IF(ISERROR(W33/W6),"—",W33/W6)</f>
        <v>—</v>
      </c>
      <c r="X34" s="959" t="str">
        <f t="shared" si="63"/>
        <v>—</v>
      </c>
      <c r="Y34" s="959" t="str">
        <f t="shared" si="63"/>
        <v>—</v>
      </c>
      <c r="Z34" s="981" t="str">
        <f t="shared" si="63"/>
        <v>—</v>
      </c>
      <c r="AA34" s="959" t="str">
        <f t="shared" si="63"/>
        <v>—</v>
      </c>
      <c r="AB34" s="959" t="str">
        <f t="shared" si="63"/>
        <v>—</v>
      </c>
      <c r="AC34" s="959" t="str">
        <f t="shared" si="63"/>
        <v>—</v>
      </c>
      <c r="AD34" s="981" t="str">
        <f t="shared" si="63"/>
        <v>—</v>
      </c>
      <c r="AE34" s="959" t="str">
        <f t="shared" si="63"/>
        <v>—</v>
      </c>
      <c r="AF34" s="959" t="str">
        <f t="shared" si="63"/>
        <v>—</v>
      </c>
      <c r="AG34" s="959" t="str">
        <f t="shared" si="63"/>
        <v>—</v>
      </c>
      <c r="AH34" s="981" t="str">
        <f t="shared" si="63"/>
        <v>—</v>
      </c>
      <c r="AI34" s="959" t="str">
        <f t="shared" si="63"/>
        <v>—</v>
      </c>
      <c r="AJ34" s="942" t="str">
        <f t="shared" si="63"/>
        <v>—</v>
      </c>
      <c r="AK34" s="942" t="str">
        <f t="shared" si="63"/>
        <v>—</v>
      </c>
      <c r="AL34" s="994" t="str">
        <f>IF(财务基础数据!AM4=0,"",AI34)</f>
        <v/>
      </c>
      <c r="AM34" s="994" t="str">
        <f>IF(财务基础数据!AM4&lt;=1,"",AJ34)</f>
        <v/>
      </c>
      <c r="AN34" s="994" t="str">
        <f>IF(财务基础数据!AM4&lt;=2,"",AK34)</f>
        <v/>
      </c>
      <c r="AO34" s="994"/>
      <c r="AP34" s="994"/>
      <c r="AQ34" s="994"/>
      <c r="AR34" s="994"/>
      <c r="AS34" s="994"/>
      <c r="AT34" s="994"/>
      <c r="AU34" s="994"/>
      <c r="AV34" s="994"/>
      <c r="AW34" s="994"/>
      <c r="AX34" s="1010"/>
      <c r="BF34" s="1016"/>
    </row>
    <row r="35" spans="2:58" s="853" customFormat="1" ht="18" customHeight="1">
      <c r="B35" s="97"/>
      <c r="C35" s="97"/>
      <c r="D35" s="902"/>
      <c r="E35" s="902"/>
      <c r="F35" s="902"/>
      <c r="G35" s="902"/>
      <c r="H35" s="902"/>
      <c r="I35" s="941"/>
      <c r="J35" s="941"/>
      <c r="K35" s="941"/>
      <c r="L35" s="941"/>
      <c r="M35" s="941"/>
      <c r="N35" s="941"/>
      <c r="O35" s="941"/>
      <c r="P35" s="941"/>
      <c r="Q35" s="941"/>
      <c r="R35" s="941"/>
      <c r="S35" s="941"/>
      <c r="T35" s="941"/>
      <c r="U35" s="941"/>
      <c r="V35" s="960"/>
      <c r="W35" s="942"/>
      <c r="X35" s="942"/>
      <c r="Y35" s="942"/>
      <c r="Z35" s="981"/>
      <c r="AA35" s="959"/>
      <c r="AB35" s="942"/>
      <c r="AC35" s="942"/>
      <c r="AD35" s="981"/>
      <c r="AE35" s="959"/>
      <c r="AF35" s="942"/>
      <c r="AG35" s="942"/>
      <c r="AH35" s="981"/>
      <c r="AI35" s="959"/>
      <c r="AJ35" s="942"/>
      <c r="AK35" s="942"/>
      <c r="AL35" s="941"/>
      <c r="AM35" s="941"/>
      <c r="AN35" s="941"/>
      <c r="AO35" s="941"/>
      <c r="AP35" s="941"/>
      <c r="AQ35" s="941"/>
      <c r="AR35" s="941"/>
      <c r="AS35" s="941"/>
      <c r="AT35" s="941"/>
      <c r="AU35" s="941"/>
      <c r="AV35" s="941"/>
      <c r="AW35" s="941"/>
    </row>
    <row r="36" spans="2:58" s="859" customFormat="1" ht="18" customHeight="1">
      <c r="B36" s="888" t="s">
        <v>87</v>
      </c>
      <c r="C36" s="888"/>
      <c r="D36" s="899"/>
      <c r="E36" s="899"/>
      <c r="F36" s="899"/>
      <c r="G36" s="899"/>
      <c r="H36" s="899"/>
      <c r="I36" s="926">
        <f>利润表!Y51</f>
        <v>0</v>
      </c>
      <c r="J36" s="926">
        <f>利润表!AC51</f>
        <v>0</v>
      </c>
      <c r="K36" s="926">
        <f>利润表!AG51</f>
        <v>0</v>
      </c>
      <c r="L36" s="710">
        <f>IF(COUNT(AL37:AO37)=4,SUM(AL36:AO36),L37*L6)</f>
        <v>0</v>
      </c>
      <c r="M36" s="710">
        <f>IF(COUNT(AP37:AS37)=4,SUM(AP36:AS36),M37*M6)</f>
        <v>0</v>
      </c>
      <c r="N36" s="710">
        <f>IF(COUNT(AT37:AW37)=4,SUM(AT36:AW36),N37*N6)</f>
        <v>0</v>
      </c>
      <c r="O36" s="710">
        <f t="shared" ref="O36:U36" si="64">O37*O6</f>
        <v>0</v>
      </c>
      <c r="P36" s="710">
        <f t="shared" si="64"/>
        <v>0</v>
      </c>
      <c r="Q36" s="710">
        <f t="shared" si="64"/>
        <v>0</v>
      </c>
      <c r="R36" s="710">
        <f t="shared" si="64"/>
        <v>0</v>
      </c>
      <c r="S36" s="710">
        <f t="shared" si="64"/>
        <v>0</v>
      </c>
      <c r="T36" s="710">
        <f t="shared" si="64"/>
        <v>0</v>
      </c>
      <c r="U36" s="710">
        <f t="shared" si="64"/>
        <v>0</v>
      </c>
      <c r="V36" s="926"/>
      <c r="W36" s="939">
        <f>利润表!V51</f>
        <v>0</v>
      </c>
      <c r="X36" s="926">
        <f>利润表!W51-利润表!V51</f>
        <v>0</v>
      </c>
      <c r="Y36" s="926">
        <f>利润表!X51-利润表!W51</f>
        <v>0</v>
      </c>
      <c r="Z36" s="980">
        <f>利润表!Y51-利润表!X51</f>
        <v>0</v>
      </c>
      <c r="AA36" s="926">
        <f>利润表!Z51</f>
        <v>0</v>
      </c>
      <c r="AB36" s="926">
        <f>利润表!AA51-利润表!Z51</f>
        <v>0</v>
      </c>
      <c r="AC36" s="926">
        <f>利润表!AB51-利润表!AA51</f>
        <v>0</v>
      </c>
      <c r="AD36" s="980">
        <f>利润表!AC51-利润表!AB51</f>
        <v>0</v>
      </c>
      <c r="AE36" s="926">
        <f>利润表!AD51</f>
        <v>0</v>
      </c>
      <c r="AF36" s="926">
        <f>利润表!AE51-利润表!AD51</f>
        <v>0</v>
      </c>
      <c r="AG36" s="926">
        <f>利润表!AF51-利润表!AE51</f>
        <v>0</v>
      </c>
      <c r="AH36" s="980">
        <f>利润表!AG51-利润表!AF51</f>
        <v>0</v>
      </c>
      <c r="AI36" s="926">
        <f>IF(财务基础数据!AM4=0,0,利润表!AH51)</f>
        <v>0</v>
      </c>
      <c r="AJ36" s="929">
        <f>IF(财务基础数据!AM4&lt;=1,0,利润表!AI51-利润表!AH51)</f>
        <v>0</v>
      </c>
      <c r="AK36" s="929">
        <f>IF(财务基础数据!AM4&lt;=2,0,利润表!AJ51-利润表!AI51)</f>
        <v>0</v>
      </c>
      <c r="AL36" s="939" t="str">
        <f>IF(ISERROR(AL37*AL6),"—",AL37*AL6)</f>
        <v>—</v>
      </c>
      <c r="AM36" s="939" t="str">
        <f>IF(ISERROR(AM37*AM6),"—",AM37*AM6)</f>
        <v>—</v>
      </c>
      <c r="AN36" s="939" t="str">
        <f>IF(ISERROR(AN37*AN6),"—",AN37*AN6)</f>
        <v>—</v>
      </c>
      <c r="AO36" s="939">
        <f t="shared" ref="AO36:AW36" si="65">IF(ISERROR(AO37*AO6),"—",AO37*AO6)</f>
        <v>0</v>
      </c>
      <c r="AP36" s="939">
        <f t="shared" si="65"/>
        <v>0</v>
      </c>
      <c r="AQ36" s="939">
        <f t="shared" si="65"/>
        <v>0</v>
      </c>
      <c r="AR36" s="939">
        <f t="shared" si="65"/>
        <v>0</v>
      </c>
      <c r="AS36" s="939">
        <f t="shared" si="65"/>
        <v>0</v>
      </c>
      <c r="AT36" s="939">
        <f t="shared" si="65"/>
        <v>0</v>
      </c>
      <c r="AU36" s="939">
        <f t="shared" si="65"/>
        <v>0</v>
      </c>
      <c r="AV36" s="939">
        <f t="shared" si="65"/>
        <v>0</v>
      </c>
      <c r="AW36" s="939">
        <f t="shared" si="65"/>
        <v>0</v>
      </c>
    </row>
    <row r="37" spans="2:58" s="862" customFormat="1" ht="18" customHeight="1">
      <c r="B37" s="905" t="s">
        <v>88</v>
      </c>
      <c r="C37" s="905"/>
      <c r="D37" s="906"/>
      <c r="E37" s="906"/>
      <c r="F37" s="906"/>
      <c r="G37" s="906"/>
      <c r="H37" s="906"/>
      <c r="I37" s="944" t="str">
        <f>IF(ISERROR(I36/I6),"—",I36/I6)</f>
        <v>—</v>
      </c>
      <c r="J37" s="944" t="str">
        <f>IF(ISERROR(J36/J6),"—",J36/J6)</f>
        <v>—</v>
      </c>
      <c r="K37" s="944" t="str">
        <f>IF(ISERROR(K36/K6),"—",K36/K6)</f>
        <v>—</v>
      </c>
      <c r="L37" s="940"/>
      <c r="M37" s="940"/>
      <c r="N37" s="940"/>
      <c r="O37" s="940"/>
      <c r="P37" s="940"/>
      <c r="Q37" s="940"/>
      <c r="R37" s="940"/>
      <c r="S37" s="940"/>
      <c r="T37" s="940"/>
      <c r="U37" s="940"/>
      <c r="V37" s="962"/>
      <c r="W37" s="963" t="str">
        <f t="shared" ref="W37:AK37" si="66">IF(ISERROR(W36/W6),"—",W36/W6)</f>
        <v>—</v>
      </c>
      <c r="X37" s="963" t="str">
        <f t="shared" si="66"/>
        <v>—</v>
      </c>
      <c r="Y37" s="963" t="str">
        <f t="shared" si="66"/>
        <v>—</v>
      </c>
      <c r="Z37" s="982" t="str">
        <f t="shared" si="66"/>
        <v>—</v>
      </c>
      <c r="AA37" s="963" t="str">
        <f t="shared" si="66"/>
        <v>—</v>
      </c>
      <c r="AB37" s="963" t="str">
        <f t="shared" si="66"/>
        <v>—</v>
      </c>
      <c r="AC37" s="963" t="str">
        <f t="shared" si="66"/>
        <v>—</v>
      </c>
      <c r="AD37" s="982" t="str">
        <f t="shared" si="66"/>
        <v>—</v>
      </c>
      <c r="AE37" s="963" t="str">
        <f t="shared" si="66"/>
        <v>—</v>
      </c>
      <c r="AF37" s="963" t="str">
        <f t="shared" si="66"/>
        <v>—</v>
      </c>
      <c r="AG37" s="963" t="str">
        <f t="shared" si="66"/>
        <v>—</v>
      </c>
      <c r="AH37" s="982" t="str">
        <f t="shared" si="66"/>
        <v>—</v>
      </c>
      <c r="AI37" s="963" t="str">
        <f t="shared" si="66"/>
        <v>—</v>
      </c>
      <c r="AJ37" s="995" t="str">
        <f t="shared" si="66"/>
        <v>—</v>
      </c>
      <c r="AK37" s="995" t="str">
        <f t="shared" si="66"/>
        <v>—</v>
      </c>
      <c r="AL37" s="996" t="str">
        <f>IF(财务基础数据!AM4=0,"",AI37)</f>
        <v/>
      </c>
      <c r="AM37" s="996" t="str">
        <f>IF(财务基础数据!AM4&lt;=1,"",AJ37)</f>
        <v/>
      </c>
      <c r="AN37" s="996" t="str">
        <f>IF(财务基础数据!AM4&lt;=2,"",AK37)</f>
        <v/>
      </c>
      <c r="AO37" s="996"/>
      <c r="AP37" s="996"/>
      <c r="AQ37" s="996"/>
      <c r="AR37" s="996"/>
      <c r="AS37" s="996"/>
      <c r="AT37" s="996"/>
      <c r="AU37" s="996"/>
      <c r="AV37" s="996"/>
      <c r="AW37" s="996"/>
      <c r="AX37" s="1011"/>
      <c r="BF37" s="1017"/>
    </row>
    <row r="38" spans="2:58" s="853" customFormat="1" ht="18" customHeight="1">
      <c r="B38" s="97"/>
      <c r="C38" s="97"/>
      <c r="D38" s="902"/>
      <c r="E38" s="902"/>
      <c r="F38" s="902"/>
      <c r="G38" s="902"/>
      <c r="H38" s="902"/>
      <c r="I38" s="941"/>
      <c r="J38" s="941"/>
      <c r="K38" s="941"/>
      <c r="L38" s="941"/>
      <c r="M38" s="941"/>
      <c r="N38" s="941"/>
      <c r="O38" s="941"/>
      <c r="P38" s="941"/>
      <c r="Q38" s="941"/>
      <c r="R38" s="941"/>
      <c r="S38" s="941"/>
      <c r="T38" s="941"/>
      <c r="U38" s="941"/>
      <c r="V38" s="960"/>
      <c r="W38" s="942"/>
      <c r="X38" s="942"/>
      <c r="Y38" s="942"/>
      <c r="Z38" s="981"/>
      <c r="AA38" s="959"/>
      <c r="AB38" s="942"/>
      <c r="AC38" s="942"/>
      <c r="AD38" s="981"/>
      <c r="AE38" s="959"/>
      <c r="AF38" s="942"/>
      <c r="AG38" s="942"/>
      <c r="AH38" s="981"/>
      <c r="AI38" s="959"/>
      <c r="AJ38" s="942"/>
      <c r="AK38" s="942"/>
      <c r="AL38" s="941"/>
      <c r="AM38" s="941"/>
      <c r="AN38" s="941"/>
      <c r="AO38" s="941"/>
      <c r="AP38" s="941"/>
      <c r="AQ38" s="941"/>
      <c r="AR38" s="941"/>
      <c r="AS38" s="941"/>
      <c r="AT38" s="941"/>
      <c r="AU38" s="941"/>
      <c r="AV38" s="941"/>
      <c r="AW38" s="941"/>
    </row>
    <row r="39" spans="2:58" s="859" customFormat="1" ht="18" customHeight="1">
      <c r="B39" s="888" t="s">
        <v>89</v>
      </c>
      <c r="C39" s="888"/>
      <c r="D39" s="899"/>
      <c r="E39" s="899"/>
      <c r="F39" s="899"/>
      <c r="G39" s="899"/>
      <c r="H39" s="899"/>
      <c r="I39" s="926">
        <f>利润表!Y66</f>
        <v>0</v>
      </c>
      <c r="J39" s="926">
        <f>利润表!AC66</f>
        <v>0</v>
      </c>
      <c r="K39" s="926">
        <f>利润表!AG66</f>
        <v>0</v>
      </c>
      <c r="L39" s="710">
        <f>IF(COUNT(AL40:AO40)=4,SUM(AL39:AO39),L40*L6)</f>
        <v>0</v>
      </c>
      <c r="M39" s="710">
        <f>IF(COUNT(AP40:AS40)=4,SUM(AP39:AS39),M40*M6)</f>
        <v>0</v>
      </c>
      <c r="N39" s="710">
        <f>IF(COUNT(AT40:AW40)=4,SUM(AT39:AW39),N40*N6)</f>
        <v>0</v>
      </c>
      <c r="O39" s="710">
        <f t="shared" ref="O39:U39" si="67">O40*O6</f>
        <v>0</v>
      </c>
      <c r="P39" s="710">
        <f t="shared" si="67"/>
        <v>0</v>
      </c>
      <c r="Q39" s="710">
        <f t="shared" si="67"/>
        <v>0</v>
      </c>
      <c r="R39" s="710">
        <f t="shared" si="67"/>
        <v>0</v>
      </c>
      <c r="S39" s="710">
        <f t="shared" si="67"/>
        <v>0</v>
      </c>
      <c r="T39" s="710">
        <f t="shared" si="67"/>
        <v>0</v>
      </c>
      <c r="U39" s="710">
        <f t="shared" si="67"/>
        <v>0</v>
      </c>
      <c r="V39" s="926"/>
      <c r="W39" s="939">
        <f>利润表!V66</f>
        <v>0</v>
      </c>
      <c r="X39" s="926">
        <f>利润表!W66-利润表!V66</f>
        <v>0</v>
      </c>
      <c r="Y39" s="926">
        <f>利润表!X66-利润表!W66</f>
        <v>0</v>
      </c>
      <c r="Z39" s="980">
        <f>利润表!Y66-利润表!X66</f>
        <v>0</v>
      </c>
      <c r="AA39" s="926">
        <f>利润表!Z66</f>
        <v>0</v>
      </c>
      <c r="AB39" s="926">
        <f>利润表!AA66-利润表!Z66</f>
        <v>0</v>
      </c>
      <c r="AC39" s="926">
        <f>利润表!AB66-利润表!AA66</f>
        <v>0</v>
      </c>
      <c r="AD39" s="980">
        <f>利润表!AC66-利润表!AB66</f>
        <v>0</v>
      </c>
      <c r="AE39" s="926">
        <f>利润表!AD66</f>
        <v>0</v>
      </c>
      <c r="AF39" s="926">
        <f>利润表!AE66-利润表!AD66</f>
        <v>0</v>
      </c>
      <c r="AG39" s="926">
        <f>利润表!AF66-利润表!AE66</f>
        <v>0</v>
      </c>
      <c r="AH39" s="980">
        <f>利润表!AG66-利润表!AF66</f>
        <v>0</v>
      </c>
      <c r="AI39" s="926">
        <f>IF(财务基础数据!AM4=0,0,利润表!AH66)</f>
        <v>0</v>
      </c>
      <c r="AJ39" s="929">
        <f>IF(财务基础数据!AM4&lt;=1,0,利润表!AI66-利润表!AH66)</f>
        <v>0</v>
      </c>
      <c r="AK39" s="929">
        <f>IF(财务基础数据!AM4&lt;=2,0,利润表!AJ66-利润表!AI66)</f>
        <v>0</v>
      </c>
      <c r="AL39" s="939" t="str">
        <f>IF(ISERROR(AL40*AL6),"—",AL40*AL6)</f>
        <v>—</v>
      </c>
      <c r="AM39" s="939" t="str">
        <f>IF(ISERROR(AM40*AM6),"—",AM40*AM6)</f>
        <v>—</v>
      </c>
      <c r="AN39" s="939" t="str">
        <f>IF(ISERROR(AN40*AN6),"—",AN40*AN6)</f>
        <v>—</v>
      </c>
      <c r="AO39" s="939">
        <f t="shared" ref="AO39:AW39" si="68">IF(ISERROR(AO40*AO6),"—",AO40*AO6)</f>
        <v>0</v>
      </c>
      <c r="AP39" s="939">
        <f t="shared" si="68"/>
        <v>0</v>
      </c>
      <c r="AQ39" s="939">
        <f t="shared" si="68"/>
        <v>0</v>
      </c>
      <c r="AR39" s="939">
        <f t="shared" si="68"/>
        <v>0</v>
      </c>
      <c r="AS39" s="939">
        <f t="shared" si="68"/>
        <v>0</v>
      </c>
      <c r="AT39" s="939">
        <f t="shared" si="68"/>
        <v>0</v>
      </c>
      <c r="AU39" s="939">
        <f t="shared" si="68"/>
        <v>0</v>
      </c>
      <c r="AV39" s="939">
        <f t="shared" si="68"/>
        <v>0</v>
      </c>
      <c r="AW39" s="939">
        <f t="shared" si="68"/>
        <v>0</v>
      </c>
    </row>
    <row r="40" spans="2:58" s="861" customFormat="1" ht="18" customHeight="1">
      <c r="B40" s="903" t="s">
        <v>90</v>
      </c>
      <c r="C40" s="903"/>
      <c r="D40" s="904"/>
      <c r="E40" s="904"/>
      <c r="F40" s="904"/>
      <c r="G40" s="904"/>
      <c r="H40" s="904"/>
      <c r="I40" s="943" t="str">
        <f>IF(ISERROR(I39/I6),"—",I39/I6)</f>
        <v>—</v>
      </c>
      <c r="J40" s="943" t="str">
        <f>IF(ISERROR(J39/J6),"—",J39/J6)</f>
        <v>—</v>
      </c>
      <c r="K40" s="943" t="str">
        <f>IF(ISERROR(K39/K6),"—",K39/K6)</f>
        <v>—</v>
      </c>
      <c r="L40" s="940"/>
      <c r="M40" s="940"/>
      <c r="N40" s="940"/>
      <c r="O40" s="940"/>
      <c r="P40" s="940"/>
      <c r="Q40" s="940"/>
      <c r="R40" s="940"/>
      <c r="S40" s="940"/>
      <c r="T40" s="940"/>
      <c r="U40" s="940"/>
      <c r="V40" s="961"/>
      <c r="W40" s="959" t="str">
        <f t="shared" ref="W40:AK40" si="69">IF(ISERROR(W39/W6),"—",W39/W6)</f>
        <v>—</v>
      </c>
      <c r="X40" s="959" t="str">
        <f t="shared" si="69"/>
        <v>—</v>
      </c>
      <c r="Y40" s="959" t="str">
        <f t="shared" si="69"/>
        <v>—</v>
      </c>
      <c r="Z40" s="981" t="str">
        <f t="shared" si="69"/>
        <v>—</v>
      </c>
      <c r="AA40" s="959" t="str">
        <f t="shared" si="69"/>
        <v>—</v>
      </c>
      <c r="AB40" s="959" t="str">
        <f t="shared" si="69"/>
        <v>—</v>
      </c>
      <c r="AC40" s="959" t="str">
        <f t="shared" si="69"/>
        <v>—</v>
      </c>
      <c r="AD40" s="981" t="str">
        <f t="shared" si="69"/>
        <v>—</v>
      </c>
      <c r="AE40" s="959" t="str">
        <f t="shared" si="69"/>
        <v>—</v>
      </c>
      <c r="AF40" s="959" t="str">
        <f t="shared" si="69"/>
        <v>—</v>
      </c>
      <c r="AG40" s="959" t="str">
        <f t="shared" si="69"/>
        <v>—</v>
      </c>
      <c r="AH40" s="981" t="str">
        <f t="shared" si="69"/>
        <v>—</v>
      </c>
      <c r="AI40" s="959" t="str">
        <f t="shared" si="69"/>
        <v>—</v>
      </c>
      <c r="AJ40" s="942" t="str">
        <f t="shared" si="69"/>
        <v>—</v>
      </c>
      <c r="AK40" s="942" t="str">
        <f t="shared" si="69"/>
        <v>—</v>
      </c>
      <c r="AL40" s="994" t="str">
        <f>IF(财务基础数据!AM4=0,"",AI40)</f>
        <v/>
      </c>
      <c r="AM40" s="994" t="str">
        <f>IF(财务基础数据!AM4&lt;=1,"",AJ40)</f>
        <v/>
      </c>
      <c r="AN40" s="994" t="str">
        <f>IF(财务基础数据!AM4&lt;=2,"",AK40)</f>
        <v/>
      </c>
      <c r="AO40" s="994"/>
      <c r="AP40" s="994"/>
      <c r="AQ40" s="994"/>
      <c r="AR40" s="994"/>
      <c r="AS40" s="994"/>
      <c r="AT40" s="994"/>
      <c r="AU40" s="994"/>
      <c r="AV40" s="994"/>
      <c r="AW40" s="994"/>
      <c r="AX40" s="1010"/>
      <c r="BF40" s="1016"/>
    </row>
    <row r="41" spans="2:58" s="853" customFormat="1" ht="18" customHeight="1">
      <c r="B41" s="97"/>
      <c r="C41" s="97"/>
      <c r="D41" s="902"/>
      <c r="E41" s="902"/>
      <c r="F41" s="902"/>
      <c r="G41" s="902"/>
      <c r="H41" s="902"/>
      <c r="I41" s="941"/>
      <c r="J41" s="941"/>
      <c r="K41" s="941"/>
      <c r="L41" s="941"/>
      <c r="M41" s="941"/>
      <c r="N41" s="941"/>
      <c r="O41" s="941"/>
      <c r="P41" s="941"/>
      <c r="Q41" s="941"/>
      <c r="R41" s="941"/>
      <c r="S41" s="941"/>
      <c r="T41" s="941"/>
      <c r="U41" s="941"/>
      <c r="V41" s="960"/>
      <c r="W41" s="942"/>
      <c r="X41" s="942"/>
      <c r="Y41" s="942"/>
      <c r="Z41" s="981"/>
      <c r="AA41" s="959"/>
      <c r="AB41" s="942"/>
      <c r="AC41" s="942"/>
      <c r="AD41" s="981"/>
      <c r="AE41" s="959"/>
      <c r="AF41" s="942"/>
      <c r="AG41" s="942"/>
      <c r="AH41" s="981"/>
      <c r="AI41" s="959"/>
      <c r="AJ41" s="942"/>
      <c r="AK41" s="942"/>
      <c r="AL41" s="941"/>
      <c r="AM41" s="941"/>
      <c r="AN41" s="941"/>
      <c r="AO41" s="941"/>
      <c r="AP41" s="941"/>
      <c r="AQ41" s="941"/>
      <c r="AR41" s="941"/>
      <c r="AS41" s="941"/>
      <c r="AT41" s="941"/>
      <c r="AU41" s="941"/>
      <c r="AV41" s="941"/>
      <c r="AW41" s="941"/>
    </row>
    <row r="42" spans="2:58" s="859" customFormat="1" ht="18" customHeight="1">
      <c r="B42" s="888" t="s">
        <v>91</v>
      </c>
      <c r="C42" s="888"/>
      <c r="D42" s="899"/>
      <c r="E42" s="899"/>
      <c r="F42" s="899"/>
      <c r="G42" s="899"/>
      <c r="H42" s="899"/>
      <c r="I42" s="926">
        <f>利润表!Y77</f>
        <v>0</v>
      </c>
      <c r="J42" s="926">
        <f>利润表!AC77</f>
        <v>0</v>
      </c>
      <c r="K42" s="926">
        <f>利润表!AG77</f>
        <v>0</v>
      </c>
      <c r="L42" s="927"/>
      <c r="M42" s="927"/>
      <c r="N42" s="927"/>
      <c r="O42" s="927"/>
      <c r="P42" s="927"/>
      <c r="Q42" s="927"/>
      <c r="R42" s="927"/>
      <c r="S42" s="927"/>
      <c r="T42" s="927"/>
      <c r="U42" s="927"/>
      <c r="V42" s="926"/>
      <c r="W42" s="939">
        <f>利润表!V77</f>
        <v>0</v>
      </c>
      <c r="X42" s="926">
        <f>利润表!W77-利润表!V77</f>
        <v>0</v>
      </c>
      <c r="Y42" s="926">
        <f>利润表!X77-利润表!W77</f>
        <v>0</v>
      </c>
      <c r="Z42" s="980">
        <f>利润表!Y77-利润表!X77</f>
        <v>0</v>
      </c>
      <c r="AA42" s="926">
        <f>利润表!Z77</f>
        <v>0</v>
      </c>
      <c r="AB42" s="926">
        <f>利润表!AA77-利润表!Z77</f>
        <v>0</v>
      </c>
      <c r="AC42" s="926">
        <f>利润表!AB77-利润表!AA77</f>
        <v>0</v>
      </c>
      <c r="AD42" s="980">
        <f>利润表!AC77-利润表!AB77</f>
        <v>0</v>
      </c>
      <c r="AE42" s="926">
        <f>利润表!AD77</f>
        <v>0</v>
      </c>
      <c r="AF42" s="926">
        <f>利润表!AE77-利润表!AD77</f>
        <v>0</v>
      </c>
      <c r="AG42" s="926">
        <f>利润表!AF77-利润表!AE77</f>
        <v>0</v>
      </c>
      <c r="AH42" s="980">
        <f>利润表!AG77-利润表!AF77</f>
        <v>0</v>
      </c>
      <c r="AI42" s="926">
        <f>IF(财务基础数据!AM4=0,0,利润表!AH77)</f>
        <v>0</v>
      </c>
      <c r="AJ42" s="929">
        <f>IF(财务基础数据!AM4&lt;=1,0,利润表!AI77-利润表!AH77)</f>
        <v>0</v>
      </c>
      <c r="AK42" s="929">
        <f>IF(财务基础数据!AM4&lt;=2,0,利润表!AJ77-利润表!AI77)</f>
        <v>0</v>
      </c>
      <c r="AL42" s="946" t="str">
        <f>IF(财务基础数据!AM4=0,"",AI42)</f>
        <v/>
      </c>
      <c r="AM42" s="946" t="str">
        <f>IF(财务基础数据!AM4&lt;=1,"",AJ42)</f>
        <v/>
      </c>
      <c r="AN42" s="946" t="str">
        <f>IF(财务基础数据!AM4&lt;=2,"",AK42)</f>
        <v/>
      </c>
      <c r="AO42" s="946"/>
      <c r="AP42" s="946"/>
      <c r="AQ42" s="946"/>
      <c r="AR42" s="946"/>
      <c r="AS42" s="946"/>
      <c r="AT42" s="946"/>
      <c r="AU42" s="946"/>
      <c r="AV42" s="946"/>
      <c r="AW42" s="946"/>
    </row>
    <row r="43" spans="2:58" s="859" customFormat="1" ht="18" customHeight="1">
      <c r="B43" s="888" t="s">
        <v>92</v>
      </c>
      <c r="C43" s="888"/>
      <c r="D43" s="899"/>
      <c r="E43" s="899"/>
      <c r="F43" s="899"/>
      <c r="G43" s="899"/>
      <c r="H43" s="899"/>
      <c r="I43" s="926">
        <f>利润表!Y79</f>
        <v>0</v>
      </c>
      <c r="J43" s="926">
        <f>利润表!AC79</f>
        <v>0</v>
      </c>
      <c r="K43" s="926">
        <f>利润表!AG79</f>
        <v>0</v>
      </c>
      <c r="L43" s="927"/>
      <c r="M43" s="927"/>
      <c r="N43" s="927"/>
      <c r="O43" s="927"/>
      <c r="P43" s="927"/>
      <c r="Q43" s="927"/>
      <c r="R43" s="927"/>
      <c r="S43" s="927"/>
      <c r="T43" s="927"/>
      <c r="U43" s="927"/>
      <c r="V43" s="926"/>
      <c r="W43" s="939">
        <f>利润表!V79</f>
        <v>0</v>
      </c>
      <c r="X43" s="926">
        <f>利润表!W79-利润表!V79</f>
        <v>0</v>
      </c>
      <c r="Y43" s="926">
        <f>利润表!X79-利润表!W79</f>
        <v>0</v>
      </c>
      <c r="Z43" s="980">
        <f>利润表!Y79-利润表!X79</f>
        <v>0</v>
      </c>
      <c r="AA43" s="926">
        <f>利润表!Z79</f>
        <v>0</v>
      </c>
      <c r="AB43" s="926">
        <f>利润表!AA79-利润表!Z79</f>
        <v>0</v>
      </c>
      <c r="AC43" s="926">
        <f>利润表!AB79-利润表!AA79</f>
        <v>0</v>
      </c>
      <c r="AD43" s="980">
        <f>利润表!AC79-利润表!AB79</f>
        <v>0</v>
      </c>
      <c r="AE43" s="926">
        <f>利润表!AD79</f>
        <v>0</v>
      </c>
      <c r="AF43" s="926">
        <f>利润表!AE79-利润表!AD79</f>
        <v>0</v>
      </c>
      <c r="AG43" s="926">
        <f>利润表!AF79-利润表!AE79</f>
        <v>0</v>
      </c>
      <c r="AH43" s="980">
        <f>利润表!AG79-利润表!AF79</f>
        <v>0</v>
      </c>
      <c r="AI43" s="926">
        <f>IF(财务基础数据!AM4=0,0,利润表!AH79)</f>
        <v>0</v>
      </c>
      <c r="AJ43" s="929">
        <f>IF(财务基础数据!AM4&lt;=1,0,利润表!AI79-利润表!AH79)</f>
        <v>0</v>
      </c>
      <c r="AK43" s="929">
        <f>IF(财务基础数据!AM4&lt;=2,0,利润表!AJ79-利润表!AI79)</f>
        <v>0</v>
      </c>
      <c r="AL43" s="946" t="str">
        <f>IF(财务基础数据!AM4=0,"",AI43)</f>
        <v/>
      </c>
      <c r="AM43" s="946" t="str">
        <f>IF(财务基础数据!AM4&lt;=1,"",AJ43)</f>
        <v/>
      </c>
      <c r="AN43" s="946" t="str">
        <f>IF(财务基础数据!AM4&lt;=2,"",AK43)</f>
        <v/>
      </c>
      <c r="AO43" s="946"/>
      <c r="AP43" s="946"/>
      <c r="AQ43" s="946"/>
      <c r="AR43" s="946"/>
      <c r="AS43" s="946"/>
      <c r="AT43" s="946"/>
      <c r="AU43" s="946"/>
      <c r="AV43" s="946"/>
      <c r="AW43" s="946"/>
    </row>
    <row r="44" spans="2:58" s="859" customFormat="1" ht="18" customHeight="1">
      <c r="B44" s="888" t="s">
        <v>93</v>
      </c>
      <c r="C44" s="888"/>
      <c r="D44" s="899"/>
      <c r="E44" s="899"/>
      <c r="F44" s="899"/>
      <c r="G44" s="899"/>
      <c r="H44" s="899"/>
      <c r="I44" s="926">
        <f>利润表!Y81</f>
        <v>0</v>
      </c>
      <c r="J44" s="926">
        <f>利润表!AC81</f>
        <v>0</v>
      </c>
      <c r="K44" s="926">
        <f>利润表!AG81</f>
        <v>0</v>
      </c>
      <c r="L44" s="939">
        <f>IF(ISERROR(L42-L43),"—",L42-L43)</f>
        <v>0</v>
      </c>
      <c r="M44" s="939">
        <f>M42-M43</f>
        <v>0</v>
      </c>
      <c r="N44" s="939">
        <f>N42-N43</f>
        <v>0</v>
      </c>
      <c r="O44" s="939">
        <f t="shared" ref="O44:U44" si="70">O42-O43</f>
        <v>0</v>
      </c>
      <c r="P44" s="939">
        <f t="shared" si="70"/>
        <v>0</v>
      </c>
      <c r="Q44" s="939">
        <f t="shared" si="70"/>
        <v>0</v>
      </c>
      <c r="R44" s="939">
        <f t="shared" si="70"/>
        <v>0</v>
      </c>
      <c r="S44" s="939">
        <f t="shared" si="70"/>
        <v>0</v>
      </c>
      <c r="T44" s="939">
        <f t="shared" si="70"/>
        <v>0</v>
      </c>
      <c r="U44" s="939">
        <f t="shared" si="70"/>
        <v>0</v>
      </c>
      <c r="V44" s="926"/>
      <c r="W44" s="939">
        <f>利润表!V81</f>
        <v>0</v>
      </c>
      <c r="X44" s="926">
        <f>利润表!W81-利润表!V81</f>
        <v>0</v>
      </c>
      <c r="Y44" s="926">
        <f>利润表!X81-利润表!W81</f>
        <v>0</v>
      </c>
      <c r="Z44" s="980">
        <f>利润表!Y81-利润表!X81</f>
        <v>0</v>
      </c>
      <c r="AA44" s="926">
        <f>利润表!Z81</f>
        <v>0</v>
      </c>
      <c r="AB44" s="926">
        <f>利润表!AA81-利润表!Z81</f>
        <v>0</v>
      </c>
      <c r="AC44" s="926">
        <f>利润表!AB81-利润表!AA81</f>
        <v>0</v>
      </c>
      <c r="AD44" s="980">
        <f>利润表!AC81-利润表!AB81</f>
        <v>0</v>
      </c>
      <c r="AE44" s="926">
        <f>利润表!AD81</f>
        <v>0</v>
      </c>
      <c r="AF44" s="926">
        <f>利润表!AE81-利润表!AD81</f>
        <v>0</v>
      </c>
      <c r="AG44" s="926">
        <f>利润表!AF81-利润表!AE81</f>
        <v>0</v>
      </c>
      <c r="AH44" s="980">
        <f>利润表!AG81-利润表!AF81</f>
        <v>0</v>
      </c>
      <c r="AI44" s="926">
        <f>IF(财务基础数据!AM4=0,0,利润表!AH81)</f>
        <v>0</v>
      </c>
      <c r="AJ44" s="929">
        <f>IF(财务基础数据!AM4&lt;=1,0,利润表!AI81-利润表!AH81)</f>
        <v>0</v>
      </c>
      <c r="AK44" s="929">
        <f>IF(财务基础数据!AM4&lt;=2,0,利润表!AJ81-利润表!AI81)</f>
        <v>0</v>
      </c>
      <c r="AL44" s="939" t="str">
        <f>IF(ISERROR(AL42-AL43),"—",AL42-AL43)</f>
        <v>—</v>
      </c>
      <c r="AM44" s="939" t="str">
        <f t="shared" ref="AM44:AW44" si="71">IF(ISERROR(AM42-AM43),"—",AM42-AM43)</f>
        <v>—</v>
      </c>
      <c r="AN44" s="939" t="str">
        <f t="shared" si="71"/>
        <v>—</v>
      </c>
      <c r="AO44" s="939">
        <f t="shared" si="71"/>
        <v>0</v>
      </c>
      <c r="AP44" s="939">
        <f t="shared" si="71"/>
        <v>0</v>
      </c>
      <c r="AQ44" s="939">
        <f t="shared" si="71"/>
        <v>0</v>
      </c>
      <c r="AR44" s="939">
        <f t="shared" si="71"/>
        <v>0</v>
      </c>
      <c r="AS44" s="939">
        <f t="shared" si="71"/>
        <v>0</v>
      </c>
      <c r="AT44" s="939">
        <f t="shared" si="71"/>
        <v>0</v>
      </c>
      <c r="AU44" s="939">
        <f t="shared" si="71"/>
        <v>0</v>
      </c>
      <c r="AV44" s="939">
        <f t="shared" si="71"/>
        <v>0</v>
      </c>
      <c r="AW44" s="939">
        <f t="shared" si="71"/>
        <v>0</v>
      </c>
    </row>
    <row r="45" spans="2:58" s="863" customFormat="1" ht="18" customHeight="1">
      <c r="B45" s="907" t="s">
        <v>94</v>
      </c>
      <c r="C45" s="908"/>
      <c r="I45" s="945"/>
      <c r="J45" s="945"/>
      <c r="K45" s="945"/>
      <c r="L45" s="946"/>
      <c r="M45" s="946"/>
      <c r="N45" s="946"/>
      <c r="O45" s="946"/>
      <c r="P45" s="946"/>
      <c r="Q45" s="946"/>
      <c r="R45" s="946"/>
      <c r="S45" s="946"/>
      <c r="T45" s="946"/>
      <c r="U45" s="946"/>
      <c r="V45" s="964"/>
      <c r="W45" s="965"/>
      <c r="X45" s="965"/>
      <c r="Y45" s="965"/>
      <c r="Z45" s="983"/>
      <c r="AA45" s="984"/>
      <c r="AB45" s="965"/>
      <c r="AC45" s="965"/>
      <c r="AD45" s="983"/>
      <c r="AE45" s="984"/>
      <c r="AF45" s="984"/>
      <c r="AG45" s="984"/>
      <c r="AH45" s="983"/>
      <c r="AI45" s="984"/>
      <c r="AJ45" s="965"/>
      <c r="AK45" s="965"/>
      <c r="AL45" s="965"/>
      <c r="AM45" s="965"/>
      <c r="AN45" s="965"/>
      <c r="AO45" s="984"/>
      <c r="AP45" s="965"/>
      <c r="AQ45" s="965"/>
      <c r="AR45" s="965"/>
      <c r="AS45" s="965"/>
      <c r="AT45" s="965"/>
      <c r="AU45" s="965"/>
      <c r="AV45" s="965"/>
      <c r="AW45" s="965"/>
      <c r="AX45" s="1012"/>
      <c r="AY45" s="1012"/>
      <c r="AZ45" s="1012"/>
      <c r="BA45" s="1012"/>
      <c r="BB45" s="1012"/>
      <c r="BC45" s="1012"/>
      <c r="BD45" s="1012"/>
      <c r="BE45" s="1012"/>
    </row>
    <row r="46" spans="2:58" ht="18" customHeight="1">
      <c r="D46" s="909"/>
      <c r="E46" s="909"/>
      <c r="F46" s="909"/>
      <c r="G46" s="909"/>
      <c r="H46" s="909"/>
      <c r="I46" s="947"/>
      <c r="J46" s="947"/>
      <c r="K46" s="947"/>
      <c r="L46" s="947"/>
      <c r="M46" s="947"/>
      <c r="N46" s="947"/>
      <c r="O46" s="947"/>
      <c r="P46" s="947"/>
      <c r="Q46" s="947"/>
      <c r="R46" s="947"/>
      <c r="S46" s="947"/>
      <c r="T46" s="947"/>
      <c r="U46" s="947"/>
      <c r="V46" s="966"/>
      <c r="W46" s="967"/>
      <c r="X46" s="967"/>
      <c r="Y46" s="967"/>
      <c r="Z46" s="985"/>
      <c r="AA46" s="986"/>
      <c r="AB46" s="967"/>
      <c r="AC46" s="967"/>
      <c r="AD46" s="985"/>
      <c r="AE46" s="986"/>
      <c r="AF46" s="967"/>
      <c r="AG46" s="967"/>
      <c r="AH46" s="985"/>
      <c r="AI46" s="997"/>
      <c r="AJ46" s="967"/>
      <c r="AK46" s="967"/>
      <c r="AL46" s="998"/>
      <c r="AM46" s="998"/>
      <c r="AN46" s="998"/>
      <c r="AO46" s="1003"/>
      <c r="AP46" s="998"/>
      <c r="AQ46" s="998"/>
      <c r="AR46" s="998"/>
      <c r="AS46" s="998"/>
      <c r="AT46" s="998"/>
      <c r="AU46" s="998"/>
      <c r="AV46" s="998"/>
      <c r="AW46" s="998"/>
      <c r="AX46" s="1009"/>
      <c r="AY46" s="867"/>
      <c r="AZ46" s="867"/>
      <c r="BA46" s="867"/>
      <c r="BB46" s="867"/>
      <c r="BC46" s="867"/>
      <c r="BD46" s="867"/>
      <c r="BE46" s="867"/>
    </row>
    <row r="47" spans="2:58" s="859" customFormat="1" ht="18" customHeight="1">
      <c r="B47" s="888" t="s">
        <v>95</v>
      </c>
      <c r="C47" s="888"/>
      <c r="D47" s="899"/>
      <c r="E47" s="899"/>
      <c r="F47" s="899"/>
      <c r="G47" s="899"/>
      <c r="H47" s="899"/>
      <c r="I47" s="926">
        <f>利润表!Y86</f>
        <v>0</v>
      </c>
      <c r="J47" s="926">
        <f>利润表!AC86</f>
        <v>0</v>
      </c>
      <c r="K47" s="926">
        <f>利润表!AG86</f>
        <v>0</v>
      </c>
      <c r="L47" s="939">
        <f>IF(COUNT(AL47:AO47)=4,SUM(AL47:AO47),利润表!AK84*L48)</f>
        <v>0</v>
      </c>
      <c r="M47" s="939">
        <f>IF(COUNT(AP47:AS47)=4,SUM(AP47:AS47),利润表!AL84*M48)</f>
        <v>0</v>
      </c>
      <c r="N47" s="939">
        <f>IF(COUNT(AT47:AW47)=4,SUM(AT47:AW47),利润表!AM84*N48)</f>
        <v>0</v>
      </c>
      <c r="O47" s="939">
        <f>IF(ISERROR(利润表!AN84*O48),"—",利润表!AN84*O48)</f>
        <v>0</v>
      </c>
      <c r="P47" s="939">
        <f>IF(ISERROR(利润表!AO84*P48),"—",利润表!AO84*P48)</f>
        <v>0</v>
      </c>
      <c r="Q47" s="939">
        <f>IF(ISERROR(利润表!AP84*Q48),"—",利润表!AP84*Q48)</f>
        <v>0</v>
      </c>
      <c r="R47" s="939">
        <f>IF(ISERROR(利润表!AQ84*R48),"—",利润表!AQ84*R48)</f>
        <v>0</v>
      </c>
      <c r="S47" s="939">
        <f>IF(ISERROR(利润表!AR84*S48),"—",利润表!AR84*S48)</f>
        <v>0</v>
      </c>
      <c r="T47" s="939">
        <f>IF(ISERROR(利润表!AS84*T48),"—",利润表!AS84*T48)</f>
        <v>0</v>
      </c>
      <c r="U47" s="939">
        <f>IF(ISERROR(利润表!AT84*U48),"—",利润表!AT84*U48)</f>
        <v>0</v>
      </c>
      <c r="V47" s="926"/>
      <c r="W47" s="939">
        <f>利润表!V86</f>
        <v>0</v>
      </c>
      <c r="X47" s="926">
        <f>利润表!W86-利润表!V86</f>
        <v>0</v>
      </c>
      <c r="Y47" s="926">
        <f>利润表!X86-利润表!W86</f>
        <v>0</v>
      </c>
      <c r="Z47" s="980">
        <f>利润表!Y86-利润表!X86</f>
        <v>0</v>
      </c>
      <c r="AA47" s="926">
        <f>利润表!Z86</f>
        <v>0</v>
      </c>
      <c r="AB47" s="926">
        <f>利润表!AA86-利润表!Z86</f>
        <v>0</v>
      </c>
      <c r="AC47" s="926">
        <f>利润表!AB86-利润表!AA86</f>
        <v>0</v>
      </c>
      <c r="AD47" s="980">
        <f>利润表!AC86-利润表!AB86</f>
        <v>0</v>
      </c>
      <c r="AE47" s="926">
        <f>利润表!AD86</f>
        <v>0</v>
      </c>
      <c r="AF47" s="926">
        <f>利润表!AE86-利润表!AD86</f>
        <v>0</v>
      </c>
      <c r="AG47" s="926">
        <f>利润表!AF86-利润表!AE86</f>
        <v>0</v>
      </c>
      <c r="AH47" s="980">
        <f>利润表!AG86-利润表!AF86</f>
        <v>0</v>
      </c>
      <c r="AI47" s="926">
        <f>IF(财务基础数据!AM4=0,0,利润表!AH86)</f>
        <v>0</v>
      </c>
      <c r="AJ47" s="929">
        <f>IF(财务基础数据!AM4&lt;=1,0,利润表!AI86-利润表!AH86)</f>
        <v>0</v>
      </c>
      <c r="AK47" s="929">
        <f>IF(财务基础数据!AM4&lt;=2,0,利润表!AJ86-利润表!AI86)</f>
        <v>0</v>
      </c>
      <c r="AL47" s="946" t="str">
        <f>IF(财务基础数据!AM4=0,"",AI47)</f>
        <v/>
      </c>
      <c r="AM47" s="946" t="str">
        <f>IF(财务基础数据!AM4&lt;=1,"",AJ47)</f>
        <v/>
      </c>
      <c r="AN47" s="946" t="str">
        <f>IF(财务基础数据!AM4&lt;=2,"",AK47)</f>
        <v/>
      </c>
      <c r="AO47" s="946"/>
      <c r="AP47" s="946"/>
      <c r="AQ47" s="946"/>
      <c r="AR47" s="946"/>
      <c r="AS47" s="946"/>
      <c r="AT47" s="946"/>
      <c r="AU47" s="946"/>
      <c r="AV47" s="946"/>
      <c r="AW47" s="946"/>
    </row>
    <row r="48" spans="2:58" s="864" customFormat="1" ht="18" customHeight="1">
      <c r="B48" s="910" t="s">
        <v>96</v>
      </c>
      <c r="C48" s="910"/>
      <c r="D48" s="911"/>
      <c r="E48" s="911"/>
      <c r="F48" s="911"/>
      <c r="G48" s="911"/>
      <c r="H48" s="911"/>
      <c r="I48" s="948" t="str">
        <f>利润表!Y87</f>
        <v>—</v>
      </c>
      <c r="J48" s="948" t="str">
        <f>利润表!AC87</f>
        <v>—</v>
      </c>
      <c r="K48" s="948" t="str">
        <f>利润表!AG87</f>
        <v>—</v>
      </c>
      <c r="L48" s="940"/>
      <c r="M48" s="940"/>
      <c r="N48" s="940"/>
      <c r="O48" s="940"/>
      <c r="P48" s="940"/>
      <c r="Q48" s="940"/>
      <c r="R48" s="940"/>
      <c r="S48" s="940"/>
      <c r="T48" s="940"/>
      <c r="U48" s="940"/>
      <c r="V48" s="968"/>
      <c r="W48" s="969" t="str">
        <f>利润表!V87</f>
        <v>—</v>
      </c>
      <c r="X48" s="969" t="e">
        <f>X47/(利润表!W84-利润表!V84)</f>
        <v>#DIV/0!</v>
      </c>
      <c r="Y48" s="969" t="e">
        <f>Y47/(利润表!X84-利润表!W84)</f>
        <v>#DIV/0!</v>
      </c>
      <c r="Z48" s="987" t="e">
        <f>Z47/(利润表!Y84-利润表!X84)</f>
        <v>#DIV/0!</v>
      </c>
      <c r="AA48" s="988" t="str">
        <f>利润表!Z87</f>
        <v>—</v>
      </c>
      <c r="AB48" s="969" t="e">
        <f>AB47/(利润表!AA84-利润表!Z84)</f>
        <v>#DIV/0!</v>
      </c>
      <c r="AC48" s="969" t="e">
        <f>AC47/(利润表!AB84-利润表!AA84)</f>
        <v>#DIV/0!</v>
      </c>
      <c r="AD48" s="987" t="e">
        <f>AD47/(利润表!AC84-利润表!AB84)</f>
        <v>#DIV/0!</v>
      </c>
      <c r="AE48" s="988" t="str">
        <f>利润表!AD87</f>
        <v>—</v>
      </c>
      <c r="AF48" s="969" t="e">
        <f>AF47/(利润表!AE84-利润表!AD84)</f>
        <v>#DIV/0!</v>
      </c>
      <c r="AG48" s="969" t="e">
        <f>AG47/(利润表!AF84-利润表!AE84)</f>
        <v>#DIV/0!</v>
      </c>
      <c r="AH48" s="987" t="e">
        <f>AH47/(利润表!AG84-利润表!AF84)</f>
        <v>#DIV/0!</v>
      </c>
      <c r="AI48" s="988"/>
      <c r="AJ48" s="969"/>
      <c r="AK48" s="969"/>
      <c r="AL48" s="999"/>
      <c r="AM48" s="999"/>
      <c r="AN48" s="999"/>
      <c r="AO48" s="999"/>
      <c r="AP48" s="999"/>
      <c r="AQ48" s="999"/>
      <c r="AR48" s="999"/>
      <c r="AS48" s="999"/>
      <c r="AT48" s="999"/>
      <c r="AU48" s="999"/>
      <c r="AV48" s="999"/>
      <c r="AW48" s="999"/>
      <c r="AX48" s="1013"/>
      <c r="AY48" s="1013"/>
      <c r="AZ48" s="1013"/>
      <c r="BA48" s="1013"/>
      <c r="BB48" s="1013"/>
      <c r="BC48" s="1013"/>
      <c r="BD48" s="1013"/>
      <c r="BE48" s="1013"/>
      <c r="BF48" s="1018"/>
    </row>
    <row r="49" spans="1:58" s="853" customFormat="1" ht="18" customHeight="1">
      <c r="B49" s="97"/>
      <c r="C49" s="97"/>
      <c r="D49" s="902"/>
      <c r="E49" s="902"/>
      <c r="F49" s="902"/>
      <c r="G49" s="902"/>
      <c r="H49" s="902"/>
      <c r="I49" s="941"/>
      <c r="J49" s="941"/>
      <c r="K49" s="941"/>
      <c r="L49" s="941"/>
      <c r="M49" s="941"/>
      <c r="N49" s="941"/>
      <c r="O49" s="941"/>
      <c r="P49" s="941"/>
      <c r="Q49" s="941"/>
      <c r="R49" s="941"/>
      <c r="S49" s="941"/>
      <c r="T49" s="941"/>
      <c r="U49" s="941"/>
      <c r="V49" s="960"/>
      <c r="W49" s="942"/>
      <c r="X49" s="942"/>
      <c r="Y49" s="942"/>
      <c r="Z49" s="981"/>
      <c r="AA49" s="959"/>
      <c r="AB49" s="942"/>
      <c r="AC49" s="942"/>
      <c r="AD49" s="981"/>
      <c r="AE49" s="959"/>
      <c r="AF49" s="942"/>
      <c r="AG49" s="942"/>
      <c r="AH49" s="981"/>
      <c r="AI49" s="959"/>
      <c r="AJ49" s="942"/>
      <c r="AK49" s="942"/>
      <c r="AL49" s="941"/>
      <c r="AM49" s="941"/>
      <c r="AN49" s="941"/>
      <c r="AO49" s="941"/>
      <c r="AP49" s="941"/>
      <c r="AQ49" s="941"/>
      <c r="AR49" s="941"/>
      <c r="AS49" s="941"/>
      <c r="AT49" s="941"/>
      <c r="AU49" s="941"/>
      <c r="AV49" s="941"/>
      <c r="AW49" s="941"/>
    </row>
    <row r="50" spans="1:58" s="859" customFormat="1" ht="18" customHeight="1">
      <c r="B50" s="888" t="s">
        <v>97</v>
      </c>
      <c r="C50" s="888"/>
      <c r="D50" s="899"/>
      <c r="E50" s="899"/>
      <c r="F50" s="899"/>
      <c r="G50" s="899"/>
      <c r="H50" s="899"/>
      <c r="I50" s="926">
        <f>利润表!Y91</f>
        <v>0</v>
      </c>
      <c r="J50" s="926">
        <f>利润表!AC91</f>
        <v>0</v>
      </c>
      <c r="K50" s="926">
        <f>利润表!AG91</f>
        <v>0</v>
      </c>
      <c r="L50" s="939">
        <f>IF(COUNT(AL50:AO50)=4,SUM(AL50:AO50),L51*利润表!AK88)</f>
        <v>0</v>
      </c>
      <c r="M50" s="939">
        <f>IF(COUNT(AP50:AS50)=4,SUM(AP50:AS50),M51*利润表!AL88)</f>
        <v>0</v>
      </c>
      <c r="N50" s="939">
        <f>IF(COUNT(AT50:AW50)=4,SUM(AT50:AW50),N51*利润表!AM88)</f>
        <v>0</v>
      </c>
      <c r="O50" s="939">
        <f>IF(ISERROR(O51*利润表!AN88),"—",O51*利润表!AN88)</f>
        <v>0</v>
      </c>
      <c r="P50" s="939">
        <f>IF(ISERROR(P51*利润表!AO88),"—",P51*利润表!AO88)</f>
        <v>0</v>
      </c>
      <c r="Q50" s="939">
        <f>IF(ISERROR(Q51*利润表!AP88),"—",Q51*利润表!AP88)</f>
        <v>0</v>
      </c>
      <c r="R50" s="939">
        <f>IF(ISERROR(R51*利润表!AQ88),"—",R51*利润表!AQ88)</f>
        <v>0</v>
      </c>
      <c r="S50" s="939">
        <f>IF(ISERROR(S51*利润表!AR88),"—",S51*利润表!AR88)</f>
        <v>0</v>
      </c>
      <c r="T50" s="939">
        <f>IF(ISERROR(T51*利润表!AS88),"—",T51*利润表!AS88)</f>
        <v>0</v>
      </c>
      <c r="U50" s="939">
        <f>IF(ISERROR(U51*利润表!AT88),"—",U51*利润表!AT88)</f>
        <v>0</v>
      </c>
      <c r="V50" s="926"/>
      <c r="W50" s="939">
        <f>利润表!V91</f>
        <v>0</v>
      </c>
      <c r="X50" s="926">
        <f>利润表!W91-利润表!V91</f>
        <v>0</v>
      </c>
      <c r="Y50" s="926">
        <f>利润表!X91-利润表!W91</f>
        <v>0</v>
      </c>
      <c r="Z50" s="980">
        <f>利润表!Y91-利润表!X91</f>
        <v>0</v>
      </c>
      <c r="AA50" s="926">
        <f>利润表!Z91</f>
        <v>0</v>
      </c>
      <c r="AB50" s="926">
        <f>利润表!AA91-利润表!Z91</f>
        <v>0</v>
      </c>
      <c r="AC50" s="926">
        <f>利润表!AB91-利润表!AA91</f>
        <v>0</v>
      </c>
      <c r="AD50" s="980">
        <f>利润表!AC91-利润表!AB91</f>
        <v>0</v>
      </c>
      <c r="AE50" s="926">
        <f>利润表!AD91</f>
        <v>0</v>
      </c>
      <c r="AF50" s="926">
        <f>利润表!AE91-利润表!AD91</f>
        <v>0</v>
      </c>
      <c r="AG50" s="926">
        <f>利润表!AF91-利润表!AE91</f>
        <v>0</v>
      </c>
      <c r="AH50" s="980">
        <f>利润表!AG91-利润表!AF91</f>
        <v>0</v>
      </c>
      <c r="AI50" s="926">
        <f>IF(财务基础数据!AM4=0,0,利润表!AH91)</f>
        <v>0</v>
      </c>
      <c r="AJ50" s="929">
        <f>IF(财务基础数据!AM4&lt;=1,0,利润表!AI91-利润表!AH91)</f>
        <v>0</v>
      </c>
      <c r="AK50" s="929">
        <f>IF(财务基础数据!AM4&lt;=2,0,利润表!AJ91-利润表!AI91)</f>
        <v>0</v>
      </c>
      <c r="AL50" s="946" t="str">
        <f>IF(财务基础数据!AM4=0,"",AI50)</f>
        <v/>
      </c>
      <c r="AM50" s="946" t="str">
        <f>IF(财务基础数据!AM4&lt;=1,"",AJ50)</f>
        <v/>
      </c>
      <c r="AN50" s="946" t="str">
        <f>IF(财务基础数据!AM4&lt;=2,"",AK50)</f>
        <v/>
      </c>
      <c r="AO50" s="946"/>
      <c r="AP50" s="946"/>
      <c r="AQ50" s="946"/>
      <c r="AR50" s="946"/>
      <c r="AS50" s="946"/>
      <c r="AT50" s="946"/>
      <c r="AU50" s="946"/>
      <c r="AV50" s="946"/>
      <c r="AW50" s="946"/>
    </row>
    <row r="51" spans="1:58" s="865" customFormat="1" ht="18" customHeight="1">
      <c r="B51" s="912" t="s">
        <v>98</v>
      </c>
      <c r="C51" s="912"/>
      <c r="D51" s="913"/>
      <c r="E51" s="913"/>
      <c r="F51" s="913"/>
      <c r="G51" s="913"/>
      <c r="H51" s="913"/>
      <c r="I51" s="949" t="str">
        <f>利润表!Y92</f>
        <v>—</v>
      </c>
      <c r="J51" s="949" t="str">
        <f>利润表!AC92</f>
        <v>—</v>
      </c>
      <c r="K51" s="949" t="str">
        <f>利润表!AG92</f>
        <v>—</v>
      </c>
      <c r="L51" s="940"/>
      <c r="M51" s="940"/>
      <c r="N51" s="940"/>
      <c r="O51" s="940"/>
      <c r="P51" s="940"/>
      <c r="Q51" s="940"/>
      <c r="R51" s="940"/>
      <c r="S51" s="940"/>
      <c r="T51" s="940"/>
      <c r="U51" s="940"/>
      <c r="V51" s="970"/>
      <c r="W51" s="969" t="str">
        <f>利润表!V92</f>
        <v>—</v>
      </c>
      <c r="X51" s="969" t="e">
        <f>X50/(利润表!W88-利润表!V88)</f>
        <v>#DIV/0!</v>
      </c>
      <c r="Y51" s="969" t="e">
        <f>Y50/(利润表!X88-利润表!W88)</f>
        <v>#DIV/0!</v>
      </c>
      <c r="Z51" s="987" t="e">
        <f>Z50/(利润表!Y88-利润表!X88)</f>
        <v>#DIV/0!</v>
      </c>
      <c r="AA51" s="988" t="str">
        <f>利润表!Z92</f>
        <v>—</v>
      </c>
      <c r="AB51" s="969" t="e">
        <f>AB50/(利润表!AA88-利润表!Z88)</f>
        <v>#DIV/0!</v>
      </c>
      <c r="AC51" s="969" t="e">
        <f>AC50/(利润表!AB88-利润表!AA88)</f>
        <v>#DIV/0!</v>
      </c>
      <c r="AD51" s="987" t="e">
        <f>AD50/(利润表!AC88-利润表!AB88)</f>
        <v>#DIV/0!</v>
      </c>
      <c r="AE51" s="988" t="str">
        <f>利润表!AD92</f>
        <v>—</v>
      </c>
      <c r="AF51" s="988" t="e">
        <f>AF50/(利润表!AE88-利润表!AD88)</f>
        <v>#DIV/0!</v>
      </c>
      <c r="AG51" s="969" t="e">
        <f>AG50/(利润表!AF88-利润表!AE88)</f>
        <v>#DIV/0!</v>
      </c>
      <c r="AH51" s="987" t="e">
        <f>AH50/(利润表!AG88-利润表!AF88)</f>
        <v>#DIV/0!</v>
      </c>
      <c r="AI51" s="988"/>
      <c r="AJ51" s="969"/>
      <c r="AK51" s="969"/>
      <c r="AL51" s="999"/>
      <c r="AM51" s="999"/>
      <c r="AN51" s="999"/>
      <c r="AO51" s="999"/>
      <c r="AP51" s="999"/>
      <c r="AQ51" s="999"/>
      <c r="AR51" s="999"/>
      <c r="AS51" s="999"/>
      <c r="AT51" s="999"/>
      <c r="AU51" s="999"/>
      <c r="AV51" s="999"/>
      <c r="AW51" s="999"/>
      <c r="AX51" s="1013"/>
      <c r="AY51" s="1013"/>
      <c r="AZ51" s="1013"/>
      <c r="BA51" s="1013"/>
      <c r="BB51" s="1013"/>
      <c r="BC51" s="1013"/>
      <c r="BD51" s="1013"/>
      <c r="BE51" s="1013"/>
      <c r="BF51" s="1019"/>
    </row>
    <row r="52" spans="1:58" s="866" customFormat="1" ht="18" customHeight="1">
      <c r="A52" s="859"/>
      <c r="B52" s="914" t="s">
        <v>99</v>
      </c>
      <c r="C52" s="915"/>
      <c r="D52" s="916"/>
      <c r="E52" s="917"/>
      <c r="F52" s="917"/>
      <c r="G52" s="917"/>
      <c r="H52" s="917"/>
      <c r="I52" s="950"/>
      <c r="J52" s="950"/>
      <c r="K52" s="950"/>
      <c r="L52" s="951"/>
      <c r="M52" s="951"/>
      <c r="N52" s="951"/>
      <c r="O52" s="951"/>
      <c r="P52" s="951"/>
      <c r="Q52" s="951"/>
      <c r="R52" s="951"/>
      <c r="S52" s="951"/>
      <c r="T52" s="951"/>
      <c r="U52" s="951"/>
      <c r="V52" s="971"/>
      <c r="W52" s="950"/>
      <c r="X52" s="950"/>
      <c r="Y52" s="950"/>
      <c r="Z52" s="989"/>
      <c r="AA52" s="971"/>
      <c r="AB52" s="950"/>
      <c r="AC52" s="950"/>
      <c r="AD52" s="989"/>
      <c r="AE52" s="971"/>
      <c r="AF52" s="950"/>
      <c r="AG52" s="950"/>
      <c r="AH52" s="989"/>
      <c r="AI52" s="971"/>
      <c r="AJ52" s="950"/>
      <c r="AK52" s="950"/>
      <c r="AL52" s="1000"/>
      <c r="AM52" s="1000"/>
      <c r="AN52" s="1000"/>
      <c r="AO52" s="1000"/>
      <c r="AP52" s="1000"/>
      <c r="AQ52" s="1000"/>
      <c r="AR52" s="1000"/>
      <c r="AS52" s="1000"/>
      <c r="AT52" s="1000"/>
      <c r="AU52" s="1000"/>
      <c r="AV52" s="1000"/>
      <c r="AW52" s="1000"/>
      <c r="AX52" s="1014"/>
    </row>
    <row r="53" spans="1:58" ht="18" customHeight="1">
      <c r="A53" s="918"/>
      <c r="B53" s="919"/>
      <c r="C53" s="919"/>
      <c r="D53" s="918"/>
      <c r="E53" s="918"/>
      <c r="F53" s="918"/>
      <c r="G53" s="918"/>
      <c r="H53" s="918"/>
      <c r="I53" s="918"/>
      <c r="J53" s="918"/>
      <c r="K53" s="918"/>
      <c r="L53" s="952"/>
      <c r="M53" s="953"/>
      <c r="N53" s="953"/>
      <c r="O53" s="953"/>
      <c r="P53" s="953"/>
      <c r="Q53" s="953"/>
      <c r="R53" s="953"/>
      <c r="S53" s="953"/>
      <c r="T53" s="953"/>
      <c r="U53" s="953"/>
      <c r="V53" s="972"/>
      <c r="AI53" s="744"/>
    </row>
  </sheetData>
  <protectedRanges>
    <protectedRange sqref="O36:U36 O39:U39" name="区域1_1_1"/>
    <protectedRange sqref="O33:U33" name="区域1_1_2"/>
  </protectedRanges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35"/>
  <sheetViews>
    <sheetView showOutlineSymbols="0" zoomScaleNormal="100" workbookViewId="0">
      <pane xSplit="4" ySplit="4" topLeftCell="E5" activePane="bottomRight" state="frozen"/>
      <selection pane="topRight"/>
      <selection pane="bottomLeft"/>
      <selection pane="bottomRight" activeCell="L3" sqref="L3"/>
    </sheetView>
  </sheetViews>
  <sheetFormatPr defaultColWidth="9" defaultRowHeight="18" customHeight="1" outlineLevelCol="2"/>
  <cols>
    <col min="1" max="1" width="2.75" style="658" customWidth="1"/>
    <col min="2" max="2" width="5.375" style="381" customWidth="1"/>
    <col min="3" max="3" width="14.5" style="150" customWidth="1"/>
    <col min="4" max="4" width="9.125" style="30" customWidth="1"/>
    <col min="5" max="5" width="3.875" style="30" customWidth="1"/>
    <col min="6" max="6" width="12.875" style="30" customWidth="1" outlineLevel="2"/>
    <col min="7" max="7" width="12.875" style="30" customWidth="1" outlineLevel="1"/>
    <col min="8" max="8" width="12.875" style="30" customWidth="1"/>
    <col min="9" max="11" width="12.875" style="30" hidden="1" customWidth="1"/>
    <col min="12" max="14" width="14.75" style="30" customWidth="1"/>
    <col min="15" max="21" width="14.75" style="30" hidden="1" customWidth="1"/>
    <col min="22" max="22" width="41.75" style="150" customWidth="1"/>
    <col min="23" max="23" width="19.75" style="30" customWidth="1"/>
    <col min="24" max="25" width="15.625" style="30" customWidth="1"/>
    <col min="26" max="29" width="9" style="30" customWidth="1"/>
    <col min="30" max="30" width="15.625" style="30" customWidth="1"/>
    <col min="31" max="34" width="9" style="30" customWidth="1"/>
    <col min="35" max="35" width="15.625" style="30" customWidth="1"/>
    <col min="36" max="39" width="9" style="30" customWidth="1"/>
    <col min="40" max="40" width="15.625" style="30" customWidth="1"/>
    <col min="41" max="85" width="9" style="30" customWidth="1"/>
    <col min="86" max="16384" width="9" style="30"/>
  </cols>
  <sheetData>
    <row r="1" spans="1:22" ht="18" customHeight="1">
      <c r="C1" s="381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</row>
    <row r="2" spans="1:22" s="653" customFormat="1" ht="18" customHeight="1">
      <c r="A2" s="759"/>
      <c r="B2" s="759" t="s">
        <v>100</v>
      </c>
      <c r="C2" s="660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775"/>
    </row>
    <row r="3" spans="1:22" ht="18" customHeight="1">
      <c r="B3" s="662" t="str">
        <f>"单位：人民币"&amp;目录!D5</f>
        <v>单位：人民币百万元</v>
      </c>
      <c r="C3" s="663"/>
      <c r="D3" s="664"/>
      <c r="E3" s="664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</row>
    <row r="4" spans="1:22" s="654" customFormat="1" ht="18" customHeight="1">
      <c r="A4" s="665"/>
      <c r="B4" s="666" t="s">
        <v>101</v>
      </c>
      <c r="C4" s="667"/>
      <c r="D4" s="668"/>
      <c r="E4" s="668"/>
      <c r="F4" s="364">
        <f>资产负债表!Y4</f>
        <v>2021</v>
      </c>
      <c r="G4" s="364">
        <f>资产负债表!AC4</f>
        <v>2022</v>
      </c>
      <c r="H4" s="364">
        <f>资产负债表!AG4</f>
        <v>2023</v>
      </c>
      <c r="I4" s="364" t="str">
        <f>资产负债表!AH4</f>
        <v>1Q24</v>
      </c>
      <c r="J4" s="364" t="str">
        <f>资产负债表!AI4</f>
        <v>1H24</v>
      </c>
      <c r="K4" s="364" t="str">
        <f>资产负债表!AJ4</f>
        <v>3Q24</v>
      </c>
      <c r="L4" s="83" t="str">
        <f>资产负债表!AK4</f>
        <v>2024E</v>
      </c>
      <c r="M4" s="84">
        <f>资产负债表!AL4</f>
        <v>2025</v>
      </c>
      <c r="N4" s="84">
        <f>资产负债表!AM4</f>
        <v>2026</v>
      </c>
      <c r="O4" s="84">
        <f>资产负债表!AN4</f>
        <v>2027</v>
      </c>
      <c r="P4" s="84">
        <f>资产负债表!AO4</f>
        <v>2028</v>
      </c>
      <c r="Q4" s="84">
        <f>资产负债表!AP4</f>
        <v>2029</v>
      </c>
      <c r="R4" s="84">
        <f>资产负债表!AQ4</f>
        <v>2030</v>
      </c>
      <c r="S4" s="84">
        <f>资产负债表!AR4</f>
        <v>2031</v>
      </c>
      <c r="T4" s="84">
        <f>资产负债表!AS4</f>
        <v>2032</v>
      </c>
      <c r="U4" s="84">
        <f>资产负债表!AT4</f>
        <v>2033</v>
      </c>
      <c r="V4" s="776"/>
    </row>
    <row r="5" spans="1:22" s="155" customFormat="1" ht="18" customHeight="1">
      <c r="A5" s="669"/>
      <c r="B5" s="381" t="s">
        <v>62</v>
      </c>
      <c r="C5" s="143"/>
      <c r="F5" s="637">
        <f>利润表!Y8</f>
        <v>0</v>
      </c>
      <c r="G5" s="637">
        <f>利润表!AC8</f>
        <v>0</v>
      </c>
      <c r="H5" s="637">
        <f>利润表!AG8</f>
        <v>0</v>
      </c>
      <c r="I5" s="637">
        <f>利润表!AH8</f>
        <v>0</v>
      </c>
      <c r="J5" s="637">
        <f>利润表!AI8</f>
        <v>0</v>
      </c>
      <c r="K5" s="637">
        <f>利润表!AJ8</f>
        <v>0</v>
      </c>
      <c r="L5" s="637">
        <f>利润表!AK8</f>
        <v>0</v>
      </c>
      <c r="M5" s="637">
        <f>利润表!AL8</f>
        <v>0</v>
      </c>
      <c r="N5" s="637">
        <f>利润表!AM8</f>
        <v>0</v>
      </c>
      <c r="O5" s="637">
        <f>利润表!AN8</f>
        <v>0</v>
      </c>
      <c r="P5" s="637">
        <f>利润表!AO8</f>
        <v>0</v>
      </c>
      <c r="Q5" s="637">
        <f>利润表!AP8</f>
        <v>0</v>
      </c>
      <c r="R5" s="637">
        <f>利润表!AQ8</f>
        <v>0</v>
      </c>
      <c r="S5" s="637">
        <f>利润表!AR8</f>
        <v>0</v>
      </c>
      <c r="T5" s="637">
        <f>利润表!AS8</f>
        <v>0</v>
      </c>
      <c r="U5" s="637">
        <f>利润表!AT8</f>
        <v>0</v>
      </c>
      <c r="V5" s="143"/>
    </row>
    <row r="6" spans="1:22" s="155" customFormat="1" ht="18" customHeight="1">
      <c r="A6" s="669"/>
      <c r="B6" s="381" t="s">
        <v>64</v>
      </c>
      <c r="C6" s="143"/>
      <c r="F6" s="637">
        <f>利润表!Y15</f>
        <v>0</v>
      </c>
      <c r="G6" s="637">
        <f>利润表!AC15</f>
        <v>0</v>
      </c>
      <c r="H6" s="637">
        <f>利润表!AG15</f>
        <v>0</v>
      </c>
      <c r="I6" s="637">
        <f>利润表!AH15</f>
        <v>0</v>
      </c>
      <c r="J6" s="637">
        <f>利润表!AI15</f>
        <v>0</v>
      </c>
      <c r="K6" s="637">
        <f>利润表!AJ15</f>
        <v>0</v>
      </c>
      <c r="L6" s="637">
        <f>利润表!AK15</f>
        <v>0</v>
      </c>
      <c r="M6" s="637">
        <f>利润表!AL15</f>
        <v>0</v>
      </c>
      <c r="N6" s="637">
        <f>利润表!AM15</f>
        <v>0</v>
      </c>
      <c r="O6" s="637">
        <f>利润表!AN15</f>
        <v>0</v>
      </c>
      <c r="P6" s="637">
        <f>利润表!AO15</f>
        <v>0</v>
      </c>
      <c r="Q6" s="637">
        <f>利润表!AP15</f>
        <v>0</v>
      </c>
      <c r="R6" s="637">
        <f>利润表!AQ15</f>
        <v>0</v>
      </c>
      <c r="S6" s="637">
        <f>利润表!AR15</f>
        <v>0</v>
      </c>
      <c r="T6" s="637">
        <f>利润表!AS15</f>
        <v>0</v>
      </c>
      <c r="U6" s="637">
        <f>利润表!AT15</f>
        <v>0</v>
      </c>
      <c r="V6" s="143"/>
    </row>
    <row r="7" spans="1:22" s="155" customFormat="1" ht="18" customHeight="1">
      <c r="A7" s="669"/>
      <c r="B7" s="381"/>
      <c r="C7" s="143"/>
      <c r="F7" s="740"/>
      <c r="G7" s="740"/>
      <c r="H7" s="740"/>
      <c r="I7" s="740"/>
      <c r="J7" s="740"/>
      <c r="K7" s="740"/>
      <c r="L7" s="740"/>
      <c r="M7" s="740"/>
      <c r="N7" s="740"/>
      <c r="O7" s="740"/>
      <c r="P7" s="740"/>
      <c r="Q7" s="740"/>
      <c r="R7" s="740"/>
      <c r="S7" s="740"/>
      <c r="T7" s="740"/>
      <c r="U7" s="740"/>
      <c r="V7" s="143"/>
    </row>
    <row r="8" spans="1:22" s="155" customFormat="1" ht="18" customHeight="1">
      <c r="A8" s="669"/>
      <c r="B8" s="670" t="s">
        <v>102</v>
      </c>
      <c r="C8" s="143"/>
      <c r="F8" s="740"/>
      <c r="G8" s="740"/>
      <c r="H8" s="740"/>
      <c r="I8" s="740"/>
      <c r="J8" s="740"/>
      <c r="K8" s="740"/>
      <c r="L8" s="114"/>
      <c r="M8" s="740"/>
      <c r="N8" s="740"/>
      <c r="O8" s="740"/>
      <c r="P8" s="740"/>
      <c r="Q8" s="740"/>
      <c r="R8" s="740"/>
      <c r="S8" s="740"/>
      <c r="T8" s="740"/>
      <c r="U8" s="740"/>
      <c r="V8" s="143"/>
    </row>
    <row r="9" spans="1:22" s="155" customFormat="1" ht="18" customHeight="1">
      <c r="A9" s="669"/>
      <c r="B9" s="760" t="s">
        <v>103</v>
      </c>
      <c r="C9" s="143"/>
      <c r="F9" s="740"/>
      <c r="G9" s="740"/>
      <c r="H9" s="740"/>
      <c r="I9" s="740"/>
      <c r="J9" s="740"/>
      <c r="K9" s="740"/>
      <c r="L9" s="740"/>
      <c r="M9" s="740"/>
      <c r="N9" s="740"/>
      <c r="O9" s="740"/>
      <c r="P9" s="740"/>
      <c r="Q9" s="740"/>
      <c r="R9" s="740"/>
      <c r="S9" s="740"/>
      <c r="T9" s="740"/>
      <c r="U9" s="740"/>
      <c r="V9" s="143"/>
    </row>
    <row r="10" spans="1:22" ht="18" customHeight="1">
      <c r="B10" s="381" t="s">
        <v>104</v>
      </c>
      <c r="F10" s="118">
        <f>IF(ISERROR(资产负债表!Y11),0,资产负债表!Y11)</f>
        <v>0</v>
      </c>
      <c r="G10" s="118">
        <f>IF(ISERROR(资产负债表!AC11),0,资产负债表!AC11)</f>
        <v>0</v>
      </c>
      <c r="H10" s="118">
        <f>IF(ISERROR(资产负债表!AG11),0,资产负债表!AG11)</f>
        <v>0</v>
      </c>
      <c r="I10" s="118">
        <f>IF(ISERROR(资产负债表!AH11),0,资产负债表!AH11)</f>
        <v>0</v>
      </c>
      <c r="J10" s="118">
        <f>IF(ISERROR(资产负债表!AI11),0,资产负债表!AI11)</f>
        <v>0</v>
      </c>
      <c r="K10" s="118">
        <f>IF(ISERROR(资产负债表!AJ11),0,资产负债表!AJ11)</f>
        <v>0</v>
      </c>
      <c r="L10" s="118">
        <f>IF(ISERROR(L5/(360/L11)),0,L5/(360/L11))</f>
        <v>0</v>
      </c>
      <c r="M10" s="118">
        <f>IF(ISERROR(M5/(360/M11)),0,M5/(360/M11))</f>
        <v>0</v>
      </c>
      <c r="N10" s="118">
        <f t="shared" ref="N10:U10" si="0">IF(ISERROR(N5/(360/N11)),0,N5/(360/N11))</f>
        <v>0</v>
      </c>
      <c r="O10" s="118">
        <f t="shared" si="0"/>
        <v>0</v>
      </c>
      <c r="P10" s="118">
        <f t="shared" si="0"/>
        <v>0</v>
      </c>
      <c r="Q10" s="118">
        <f t="shared" si="0"/>
        <v>0</v>
      </c>
      <c r="R10" s="118">
        <f t="shared" si="0"/>
        <v>0</v>
      </c>
      <c r="S10" s="118">
        <f t="shared" si="0"/>
        <v>0</v>
      </c>
      <c r="T10" s="118">
        <f t="shared" si="0"/>
        <v>0</v>
      </c>
      <c r="U10" s="118">
        <f t="shared" si="0"/>
        <v>0</v>
      </c>
    </row>
    <row r="11" spans="1:22" ht="18" customHeight="1">
      <c r="C11" s="761" t="s">
        <v>105</v>
      </c>
      <c r="D11" s="404"/>
      <c r="E11" s="404"/>
      <c r="F11" s="762">
        <f t="shared" ref="F11:K11" si="1">IF(ISERROR(360/(F5/F10)),0,360/(F5/F10))</f>
        <v>0</v>
      </c>
      <c r="G11" s="762">
        <f t="shared" si="1"/>
        <v>0</v>
      </c>
      <c r="H11" s="762">
        <f t="shared" si="1"/>
        <v>0</v>
      </c>
      <c r="I11" s="762">
        <f t="shared" si="1"/>
        <v>0</v>
      </c>
      <c r="J11" s="762">
        <f t="shared" si="1"/>
        <v>0</v>
      </c>
      <c r="K11" s="762">
        <f t="shared" si="1"/>
        <v>0</v>
      </c>
      <c r="L11" s="765"/>
      <c r="M11" s="765"/>
      <c r="N11" s="765"/>
      <c r="O11" s="765"/>
      <c r="P11" s="765"/>
      <c r="Q11" s="765"/>
      <c r="R11" s="765"/>
      <c r="S11" s="765"/>
      <c r="T11" s="765"/>
      <c r="U11" s="765"/>
    </row>
    <row r="12" spans="1:22" s="404" customFormat="1" ht="18" customHeight="1">
      <c r="A12" s="741"/>
      <c r="B12" s="694"/>
      <c r="C12" s="694" t="s">
        <v>106</v>
      </c>
      <c r="F12" s="449">
        <f t="shared" ref="F12:K12" si="2">IF(ISERROR(F10/F5),0,F10/F5)</f>
        <v>0</v>
      </c>
      <c r="G12" s="449">
        <f t="shared" si="2"/>
        <v>0</v>
      </c>
      <c r="H12" s="449">
        <f t="shared" si="2"/>
        <v>0</v>
      </c>
      <c r="I12" s="449">
        <f t="shared" si="2"/>
        <v>0</v>
      </c>
      <c r="J12" s="449">
        <f t="shared" si="2"/>
        <v>0</v>
      </c>
      <c r="K12" s="449">
        <f t="shared" si="2"/>
        <v>0</v>
      </c>
      <c r="L12" s="449">
        <f t="shared" ref="L12:U12" si="3">IF(ISERROR(L10/L5),0,L10/L5)</f>
        <v>0</v>
      </c>
      <c r="M12" s="449">
        <f t="shared" si="3"/>
        <v>0</v>
      </c>
      <c r="N12" s="449">
        <f t="shared" si="3"/>
        <v>0</v>
      </c>
      <c r="O12" s="449">
        <f t="shared" si="3"/>
        <v>0</v>
      </c>
      <c r="P12" s="449">
        <f t="shared" si="3"/>
        <v>0</v>
      </c>
      <c r="Q12" s="449">
        <f t="shared" si="3"/>
        <v>0</v>
      </c>
      <c r="R12" s="449">
        <f t="shared" si="3"/>
        <v>0</v>
      </c>
      <c r="S12" s="449">
        <f t="shared" si="3"/>
        <v>0</v>
      </c>
      <c r="T12" s="449">
        <f t="shared" si="3"/>
        <v>0</v>
      </c>
      <c r="U12" s="449">
        <f t="shared" si="3"/>
        <v>0</v>
      </c>
      <c r="V12" s="674"/>
    </row>
    <row r="13" spans="1:22" ht="18" customHeight="1"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</row>
    <row r="14" spans="1:22" ht="18" customHeight="1">
      <c r="B14" s="381" t="s">
        <v>107</v>
      </c>
      <c r="F14" s="118">
        <f>IF(ISERROR(资产负债表!Y12),0,资产负债表!Y12)</f>
        <v>0</v>
      </c>
      <c r="G14" s="118">
        <f>IF(ISERROR(资产负债表!AC12),0,资产负债表!AC12)</f>
        <v>0</v>
      </c>
      <c r="H14" s="118">
        <f>IF(ISERROR(资产负债表!AG12),0,资产负债表!AG12)</f>
        <v>0</v>
      </c>
      <c r="I14" s="118">
        <f>IF(ISERROR(资产负债表!AH12),0,资产负债表!AH12)</f>
        <v>0</v>
      </c>
      <c r="J14" s="118">
        <f>IF(ISERROR(资产负债表!AI12),0,资产负债表!AI12)</f>
        <v>0</v>
      </c>
      <c r="K14" s="118">
        <f>IF(ISERROR(资产负债表!AJ12),0,资产负债表!AJ12)</f>
        <v>0</v>
      </c>
      <c r="L14" s="118">
        <f>IF(ISERROR(L5/(360/L15)),0,L5/(360/L15))</f>
        <v>0</v>
      </c>
      <c r="M14" s="118">
        <f t="shared" ref="M14:U14" si="4">IF(ISERROR(M5/(360/M15)),0,M5/(360/M15))</f>
        <v>0</v>
      </c>
      <c r="N14" s="118">
        <f t="shared" si="4"/>
        <v>0</v>
      </c>
      <c r="O14" s="118">
        <f t="shared" si="4"/>
        <v>0</v>
      </c>
      <c r="P14" s="118">
        <f t="shared" si="4"/>
        <v>0</v>
      </c>
      <c r="Q14" s="118">
        <f t="shared" si="4"/>
        <v>0</v>
      </c>
      <c r="R14" s="118">
        <f t="shared" si="4"/>
        <v>0</v>
      </c>
      <c r="S14" s="118">
        <f t="shared" si="4"/>
        <v>0</v>
      </c>
      <c r="T14" s="118">
        <f t="shared" si="4"/>
        <v>0</v>
      </c>
      <c r="U14" s="118">
        <f t="shared" si="4"/>
        <v>0</v>
      </c>
    </row>
    <row r="15" spans="1:22" ht="18" customHeight="1">
      <c r="C15" s="761" t="s">
        <v>105</v>
      </c>
      <c r="D15" s="404"/>
      <c r="E15" s="404"/>
      <c r="F15" s="762">
        <f t="shared" ref="F15:K15" si="5">IF(ISERROR(360/(F5/F14)),0,360/(F5/F14))</f>
        <v>0</v>
      </c>
      <c r="G15" s="762">
        <f t="shared" si="5"/>
        <v>0</v>
      </c>
      <c r="H15" s="762">
        <f t="shared" si="5"/>
        <v>0</v>
      </c>
      <c r="I15" s="762">
        <f t="shared" si="5"/>
        <v>0</v>
      </c>
      <c r="J15" s="762">
        <f t="shared" si="5"/>
        <v>0</v>
      </c>
      <c r="K15" s="762">
        <f t="shared" si="5"/>
        <v>0</v>
      </c>
      <c r="L15" s="765"/>
      <c r="M15" s="765"/>
      <c r="N15" s="765"/>
      <c r="O15" s="765"/>
      <c r="P15" s="765"/>
      <c r="Q15" s="765"/>
      <c r="R15" s="765"/>
      <c r="S15" s="765"/>
      <c r="T15" s="765"/>
      <c r="U15" s="765"/>
    </row>
    <row r="16" spans="1:22" s="404" customFormat="1" ht="18" customHeight="1">
      <c r="A16" s="741"/>
      <c r="B16" s="694"/>
      <c r="C16" s="694" t="s">
        <v>108</v>
      </c>
      <c r="F16" s="449">
        <f t="shared" ref="F16:K16" si="6">IF(ISERROR(F14/F5),0,F14/F5)</f>
        <v>0</v>
      </c>
      <c r="G16" s="449">
        <f t="shared" si="6"/>
        <v>0</v>
      </c>
      <c r="H16" s="449">
        <f t="shared" si="6"/>
        <v>0</v>
      </c>
      <c r="I16" s="449">
        <f t="shared" si="6"/>
        <v>0</v>
      </c>
      <c r="J16" s="449">
        <f t="shared" si="6"/>
        <v>0</v>
      </c>
      <c r="K16" s="449">
        <f t="shared" si="6"/>
        <v>0</v>
      </c>
      <c r="L16" s="449">
        <f t="shared" ref="L16:U16" si="7">IF(ISERROR(L14/L5),0,L14/L5)</f>
        <v>0</v>
      </c>
      <c r="M16" s="449">
        <f t="shared" si="7"/>
        <v>0</v>
      </c>
      <c r="N16" s="449">
        <f t="shared" si="7"/>
        <v>0</v>
      </c>
      <c r="O16" s="449">
        <f t="shared" si="7"/>
        <v>0</v>
      </c>
      <c r="P16" s="449">
        <f t="shared" si="7"/>
        <v>0</v>
      </c>
      <c r="Q16" s="449">
        <f t="shared" si="7"/>
        <v>0</v>
      </c>
      <c r="R16" s="449">
        <f t="shared" si="7"/>
        <v>0</v>
      </c>
      <c r="S16" s="449">
        <f t="shared" si="7"/>
        <v>0</v>
      </c>
      <c r="T16" s="449">
        <f t="shared" si="7"/>
        <v>0</v>
      </c>
      <c r="U16" s="449">
        <f t="shared" si="7"/>
        <v>0</v>
      </c>
      <c r="V16" s="674"/>
    </row>
    <row r="17" spans="1:22" s="404" customFormat="1" ht="18" customHeight="1">
      <c r="A17" s="741"/>
      <c r="B17" s="694"/>
      <c r="C17" s="694"/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674"/>
    </row>
    <row r="18" spans="1:22" s="404" customFormat="1" ht="18" customHeight="1">
      <c r="A18" s="741"/>
      <c r="B18" s="381" t="s">
        <v>109</v>
      </c>
      <c r="C18" s="150"/>
      <c r="F18" s="118">
        <f>IF(ISERROR(资产负债表!Y13),0,资产负债表!Y13)</f>
        <v>0</v>
      </c>
      <c r="G18" s="118">
        <f>IF(ISERROR(资产负债表!AC13),0,资产负债表!AC13)</f>
        <v>0</v>
      </c>
      <c r="H18" s="118">
        <f>IF(ISERROR(资产负债表!AG13),0,资产负债表!AG13)</f>
        <v>0</v>
      </c>
      <c r="I18" s="118">
        <f>IF(ISERROR(资产负债表!AH13),0,资产负债表!AH13)</f>
        <v>0</v>
      </c>
      <c r="J18" s="118">
        <f>IF(ISERROR(资产负债表!AI13),0,资产负债表!AI13)</f>
        <v>0</v>
      </c>
      <c r="K18" s="118">
        <f>IF(ISERROR(资产负债表!AJ13),0,资产负债表!AJ13)</f>
        <v>0</v>
      </c>
      <c r="L18" s="118">
        <f>IF(ISERROR(L5*L19),0,L5*L19)</f>
        <v>0</v>
      </c>
      <c r="M18" s="118">
        <f t="shared" ref="M18:U18" si="8">IF(ISERROR(M5*M19),0,M5*M19)</f>
        <v>0</v>
      </c>
      <c r="N18" s="118">
        <f t="shared" si="8"/>
        <v>0</v>
      </c>
      <c r="O18" s="118">
        <f t="shared" si="8"/>
        <v>0</v>
      </c>
      <c r="P18" s="118">
        <f t="shared" si="8"/>
        <v>0</v>
      </c>
      <c r="Q18" s="118">
        <f t="shared" si="8"/>
        <v>0</v>
      </c>
      <c r="R18" s="118">
        <f t="shared" si="8"/>
        <v>0</v>
      </c>
      <c r="S18" s="118">
        <f t="shared" si="8"/>
        <v>0</v>
      </c>
      <c r="T18" s="118">
        <f t="shared" si="8"/>
        <v>0</v>
      </c>
      <c r="U18" s="118">
        <f t="shared" si="8"/>
        <v>0</v>
      </c>
      <c r="V18" s="674"/>
    </row>
    <row r="19" spans="1:22" s="404" customFormat="1" ht="18" customHeight="1">
      <c r="A19" s="741"/>
      <c r="B19" s="381"/>
      <c r="C19" s="680" t="s">
        <v>110</v>
      </c>
      <c r="F19" s="449">
        <f t="shared" ref="F19:K19" si="9">IF(ISERROR(F18/F5),0,F18/F5)</f>
        <v>0</v>
      </c>
      <c r="G19" s="449">
        <f t="shared" si="9"/>
        <v>0</v>
      </c>
      <c r="H19" s="449">
        <f t="shared" si="9"/>
        <v>0</v>
      </c>
      <c r="I19" s="449">
        <f t="shared" si="9"/>
        <v>0</v>
      </c>
      <c r="J19" s="449">
        <f t="shared" si="9"/>
        <v>0</v>
      </c>
      <c r="K19" s="449">
        <f t="shared" si="9"/>
        <v>0</v>
      </c>
      <c r="L19" s="766"/>
      <c r="M19" s="766"/>
      <c r="N19" s="766"/>
      <c r="O19" s="766"/>
      <c r="P19" s="766"/>
      <c r="Q19" s="766"/>
      <c r="R19" s="766"/>
      <c r="S19" s="766"/>
      <c r="T19" s="766"/>
      <c r="U19" s="766"/>
      <c r="V19" s="674"/>
    </row>
    <row r="20" spans="1:22" s="404" customFormat="1" ht="18" customHeight="1">
      <c r="A20" s="741"/>
      <c r="B20" s="694"/>
      <c r="C20" s="694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674"/>
    </row>
    <row r="21" spans="1:22" ht="18" customHeight="1">
      <c r="B21" s="381" t="s">
        <v>111</v>
      </c>
      <c r="F21" s="118">
        <f>资产负债表!Y14</f>
        <v>0</v>
      </c>
      <c r="G21" s="118">
        <f>资产负债表!AC14</f>
        <v>0</v>
      </c>
      <c r="H21" s="118">
        <f>资产负债表!AG14</f>
        <v>0</v>
      </c>
      <c r="I21" s="118">
        <f>资产负债表!AH14</f>
        <v>0</v>
      </c>
      <c r="J21" s="118">
        <f>资产负债表!AI14</f>
        <v>0</v>
      </c>
      <c r="K21" s="118">
        <f>资产负债表!AJ14</f>
        <v>0</v>
      </c>
      <c r="L21" s="118">
        <f>IF(ISERROR(L6*L22),0,L6*L22)</f>
        <v>0</v>
      </c>
      <c r="M21" s="118">
        <f t="shared" ref="M21:U21" si="10">IF(ISERROR(M6*M22),0,M6*M22)</f>
        <v>0</v>
      </c>
      <c r="N21" s="118">
        <f t="shared" si="10"/>
        <v>0</v>
      </c>
      <c r="O21" s="118">
        <f t="shared" si="10"/>
        <v>0</v>
      </c>
      <c r="P21" s="118">
        <f t="shared" si="10"/>
        <v>0</v>
      </c>
      <c r="Q21" s="118">
        <f t="shared" si="10"/>
        <v>0</v>
      </c>
      <c r="R21" s="118">
        <f t="shared" si="10"/>
        <v>0</v>
      </c>
      <c r="S21" s="118">
        <f t="shared" si="10"/>
        <v>0</v>
      </c>
      <c r="T21" s="118">
        <f t="shared" si="10"/>
        <v>0</v>
      </c>
      <c r="U21" s="118">
        <f t="shared" si="10"/>
        <v>0</v>
      </c>
    </row>
    <row r="22" spans="1:22" ht="18" customHeight="1">
      <c r="B22" s="694"/>
      <c r="C22" s="680" t="s">
        <v>112</v>
      </c>
      <c r="F22" s="449">
        <f t="shared" ref="F22:K22" si="11">IF(ISERROR(F21/F6),0,F21/F6)</f>
        <v>0</v>
      </c>
      <c r="G22" s="449">
        <f t="shared" si="11"/>
        <v>0</v>
      </c>
      <c r="H22" s="449">
        <f t="shared" si="11"/>
        <v>0</v>
      </c>
      <c r="I22" s="449">
        <f t="shared" si="11"/>
        <v>0</v>
      </c>
      <c r="J22" s="449">
        <f t="shared" si="11"/>
        <v>0</v>
      </c>
      <c r="K22" s="449">
        <f t="shared" si="11"/>
        <v>0</v>
      </c>
      <c r="L22" s="767"/>
      <c r="M22" s="767"/>
      <c r="N22" s="767"/>
      <c r="O22" s="767"/>
      <c r="P22" s="767"/>
      <c r="Q22" s="767"/>
      <c r="R22" s="767"/>
      <c r="S22" s="767"/>
      <c r="T22" s="767"/>
      <c r="U22" s="767"/>
    </row>
    <row r="23" spans="1:22" ht="18" customHeight="1">
      <c r="B23" s="694"/>
      <c r="C23" s="680"/>
      <c r="F23" s="433"/>
      <c r="G23" s="433"/>
      <c r="H23" s="433"/>
      <c r="I23" s="433"/>
      <c r="J23" s="433"/>
      <c r="K23" s="433"/>
      <c r="L23" s="768"/>
      <c r="M23" s="768"/>
      <c r="N23" s="768"/>
      <c r="O23" s="768"/>
      <c r="P23" s="769"/>
      <c r="Q23" s="769"/>
      <c r="R23" s="769"/>
      <c r="S23" s="769"/>
      <c r="T23" s="769"/>
      <c r="U23" s="769"/>
    </row>
    <row r="24" spans="1:22" ht="18" customHeight="1">
      <c r="B24" s="381" t="s">
        <v>113</v>
      </c>
      <c r="F24" s="118">
        <f>资产负债表!Y15</f>
        <v>0</v>
      </c>
      <c r="G24" s="118">
        <f>资产负债表!AC15</f>
        <v>0</v>
      </c>
      <c r="H24" s="118">
        <f>资产负债表!AG15</f>
        <v>0</v>
      </c>
      <c r="I24" s="118">
        <f>资产负债表!AH15</f>
        <v>0</v>
      </c>
      <c r="J24" s="118">
        <f>资产负债表!AI15</f>
        <v>0</v>
      </c>
      <c r="K24" s="118">
        <f>资产负债表!AJ15</f>
        <v>0</v>
      </c>
      <c r="L24" s="118">
        <f>IF(ISERROR(L5/(360/L25)),0,L5/(360/L25))</f>
        <v>0</v>
      </c>
      <c r="M24" s="118">
        <f t="shared" ref="M24:U24" si="12">IF(ISERROR(M5/(360/M25)),0,M5/(360/M25))</f>
        <v>0</v>
      </c>
      <c r="N24" s="118">
        <f t="shared" si="12"/>
        <v>0</v>
      </c>
      <c r="O24" s="118">
        <f t="shared" si="12"/>
        <v>0</v>
      </c>
      <c r="P24" s="118">
        <f t="shared" si="12"/>
        <v>0</v>
      </c>
      <c r="Q24" s="118">
        <f t="shared" si="12"/>
        <v>0</v>
      </c>
      <c r="R24" s="118">
        <f t="shared" si="12"/>
        <v>0</v>
      </c>
      <c r="S24" s="118">
        <f t="shared" si="12"/>
        <v>0</v>
      </c>
      <c r="T24" s="118">
        <f t="shared" si="12"/>
        <v>0</v>
      </c>
      <c r="U24" s="118">
        <f t="shared" si="12"/>
        <v>0</v>
      </c>
    </row>
    <row r="25" spans="1:22" s="404" customFormat="1" ht="18" customHeight="1">
      <c r="A25" s="741"/>
      <c r="B25" s="694"/>
      <c r="C25" s="694" t="s">
        <v>105</v>
      </c>
      <c r="F25" s="762">
        <f t="shared" ref="F25:K25" si="13">IF(ISERROR(360/(F5/F24)),0,360/(F5/F24))</f>
        <v>0</v>
      </c>
      <c r="G25" s="762">
        <f t="shared" si="13"/>
        <v>0</v>
      </c>
      <c r="H25" s="762">
        <f t="shared" si="13"/>
        <v>0</v>
      </c>
      <c r="I25" s="762">
        <f t="shared" si="13"/>
        <v>0</v>
      </c>
      <c r="J25" s="762">
        <f t="shared" si="13"/>
        <v>0</v>
      </c>
      <c r="K25" s="762">
        <f t="shared" si="13"/>
        <v>0</v>
      </c>
      <c r="L25" s="765"/>
      <c r="M25" s="765"/>
      <c r="N25" s="765"/>
      <c r="O25" s="765"/>
      <c r="P25" s="765"/>
      <c r="Q25" s="765"/>
      <c r="R25" s="765"/>
      <c r="S25" s="765"/>
      <c r="T25" s="765"/>
      <c r="U25" s="765"/>
      <c r="V25" s="674"/>
    </row>
    <row r="26" spans="1:22" ht="18" customHeight="1">
      <c r="B26" s="694"/>
      <c r="C26" s="680" t="s">
        <v>114</v>
      </c>
      <c r="F26" s="449">
        <f t="shared" ref="F26:K26" si="14">IF(ISERROR(F24/F5),0,F24/F5)</f>
        <v>0</v>
      </c>
      <c r="G26" s="449">
        <f t="shared" si="14"/>
        <v>0</v>
      </c>
      <c r="H26" s="449">
        <f t="shared" si="14"/>
        <v>0</v>
      </c>
      <c r="I26" s="449">
        <f t="shared" si="14"/>
        <v>0</v>
      </c>
      <c r="J26" s="449">
        <f t="shared" si="14"/>
        <v>0</v>
      </c>
      <c r="K26" s="449">
        <f t="shared" si="14"/>
        <v>0</v>
      </c>
      <c r="L26" s="449">
        <f t="shared" ref="L26:U26" si="15">IF(ISERROR(L24/L5),0,L24/L5)</f>
        <v>0</v>
      </c>
      <c r="M26" s="449">
        <f t="shared" si="15"/>
        <v>0</v>
      </c>
      <c r="N26" s="449">
        <f t="shared" si="15"/>
        <v>0</v>
      </c>
      <c r="O26" s="449">
        <f t="shared" si="15"/>
        <v>0</v>
      </c>
      <c r="P26" s="449">
        <f t="shared" si="15"/>
        <v>0</v>
      </c>
      <c r="Q26" s="449">
        <f t="shared" si="15"/>
        <v>0</v>
      </c>
      <c r="R26" s="449">
        <f t="shared" si="15"/>
        <v>0</v>
      </c>
      <c r="S26" s="449">
        <f t="shared" si="15"/>
        <v>0</v>
      </c>
      <c r="T26" s="449">
        <f t="shared" si="15"/>
        <v>0</v>
      </c>
      <c r="U26" s="449">
        <f t="shared" si="15"/>
        <v>0</v>
      </c>
    </row>
    <row r="27" spans="1:22" ht="18" customHeight="1">
      <c r="B27" s="694"/>
      <c r="C27" s="680"/>
      <c r="F27" s="433"/>
      <c r="G27" s="433"/>
      <c r="H27" s="433"/>
      <c r="I27" s="433"/>
      <c r="J27" s="433"/>
      <c r="K27" s="433"/>
      <c r="L27" s="768"/>
      <c r="M27" s="768"/>
      <c r="N27" s="768"/>
      <c r="O27" s="768"/>
      <c r="P27" s="769"/>
      <c r="Q27" s="769"/>
      <c r="R27" s="769"/>
      <c r="S27" s="769"/>
      <c r="T27" s="769"/>
      <c r="U27" s="769"/>
    </row>
    <row r="28" spans="1:22" ht="18" customHeight="1">
      <c r="B28" s="381" t="s">
        <v>115</v>
      </c>
      <c r="F28" s="118">
        <f>资产负债表!Y16</f>
        <v>0</v>
      </c>
      <c r="G28" s="118">
        <f>资产负债表!AC16</f>
        <v>0</v>
      </c>
      <c r="H28" s="118">
        <f>资产负债表!AG16</f>
        <v>0</v>
      </c>
      <c r="I28" s="118">
        <f>资产负债表!AH16</f>
        <v>0</v>
      </c>
      <c r="J28" s="118">
        <f>资产负债表!AI16</f>
        <v>0</v>
      </c>
      <c r="K28" s="118">
        <f>资产负债表!AJ16</f>
        <v>0</v>
      </c>
      <c r="L28" s="118">
        <f>IF(ISERROR(L6/(360/L29)),0,L6/(360/L29))</f>
        <v>0</v>
      </c>
      <c r="M28" s="118">
        <f t="shared" ref="M28:U28" si="16">IF(ISERROR(M6/(360/M29)),0,M6/(360/M29))</f>
        <v>0</v>
      </c>
      <c r="N28" s="118">
        <f t="shared" si="16"/>
        <v>0</v>
      </c>
      <c r="O28" s="118">
        <f t="shared" si="16"/>
        <v>0</v>
      </c>
      <c r="P28" s="118">
        <f t="shared" si="16"/>
        <v>0</v>
      </c>
      <c r="Q28" s="118">
        <f t="shared" si="16"/>
        <v>0</v>
      </c>
      <c r="R28" s="118">
        <f t="shared" si="16"/>
        <v>0</v>
      </c>
      <c r="S28" s="118">
        <f t="shared" si="16"/>
        <v>0</v>
      </c>
      <c r="T28" s="118">
        <f t="shared" si="16"/>
        <v>0</v>
      </c>
      <c r="U28" s="118">
        <f t="shared" si="16"/>
        <v>0</v>
      </c>
    </row>
    <row r="29" spans="1:22" ht="18" customHeight="1">
      <c r="B29" s="694"/>
      <c r="C29" s="694" t="s">
        <v>116</v>
      </c>
      <c r="F29" s="762">
        <f t="shared" ref="F29:K29" si="17">IF(ISERROR(360/(F6/F28)),0,360/(F6/F28))</f>
        <v>0</v>
      </c>
      <c r="G29" s="762">
        <f t="shared" si="17"/>
        <v>0</v>
      </c>
      <c r="H29" s="762">
        <f t="shared" si="17"/>
        <v>0</v>
      </c>
      <c r="I29" s="762">
        <f t="shared" si="17"/>
        <v>0</v>
      </c>
      <c r="J29" s="762">
        <f t="shared" si="17"/>
        <v>0</v>
      </c>
      <c r="K29" s="762">
        <f t="shared" si="17"/>
        <v>0</v>
      </c>
      <c r="L29" s="765"/>
      <c r="M29" s="765"/>
      <c r="N29" s="765"/>
      <c r="O29" s="765"/>
      <c r="P29" s="765"/>
      <c r="Q29" s="765"/>
      <c r="R29" s="765"/>
      <c r="S29" s="765"/>
      <c r="T29" s="765"/>
      <c r="U29" s="765"/>
    </row>
    <row r="30" spans="1:22" ht="18" customHeight="1">
      <c r="B30" s="694"/>
      <c r="C30" s="761" t="s">
        <v>117</v>
      </c>
      <c r="F30" s="449">
        <f>IF(ISERROR(F28/F6),0,F28/F6)</f>
        <v>0</v>
      </c>
      <c r="G30" s="449">
        <f t="shared" ref="G30:L30" si="18">IF(ISERROR(G28/G6),0,G28/G6)</f>
        <v>0</v>
      </c>
      <c r="H30" s="449">
        <f t="shared" si="18"/>
        <v>0</v>
      </c>
      <c r="I30" s="449">
        <f t="shared" si="18"/>
        <v>0</v>
      </c>
      <c r="J30" s="449">
        <f t="shared" si="18"/>
        <v>0</v>
      </c>
      <c r="K30" s="449">
        <f t="shared" si="18"/>
        <v>0</v>
      </c>
      <c r="L30" s="449">
        <f t="shared" si="18"/>
        <v>0</v>
      </c>
      <c r="M30" s="449">
        <f t="shared" ref="M30:U30" si="19">IF(ISERROR(M28/M6),0,M28/M6)</f>
        <v>0</v>
      </c>
      <c r="N30" s="449">
        <f t="shared" si="19"/>
        <v>0</v>
      </c>
      <c r="O30" s="449">
        <f t="shared" si="19"/>
        <v>0</v>
      </c>
      <c r="P30" s="449">
        <f t="shared" si="19"/>
        <v>0</v>
      </c>
      <c r="Q30" s="449">
        <f t="shared" si="19"/>
        <v>0</v>
      </c>
      <c r="R30" s="449">
        <f t="shared" si="19"/>
        <v>0</v>
      </c>
      <c r="S30" s="449">
        <f t="shared" si="19"/>
        <v>0</v>
      </c>
      <c r="T30" s="449">
        <f t="shared" si="19"/>
        <v>0</v>
      </c>
      <c r="U30" s="449">
        <f t="shared" si="19"/>
        <v>0</v>
      </c>
    </row>
    <row r="31" spans="1:22" s="404" customFormat="1" ht="18" customHeight="1">
      <c r="A31" s="741"/>
      <c r="B31" s="694"/>
      <c r="C31" s="694"/>
      <c r="F31" s="763"/>
      <c r="G31" s="763"/>
      <c r="H31" s="763"/>
      <c r="I31" s="763"/>
      <c r="J31" s="763"/>
      <c r="K31" s="763"/>
      <c r="L31" s="433"/>
      <c r="M31" s="770"/>
      <c r="N31" s="763"/>
      <c r="O31" s="763"/>
      <c r="P31" s="763"/>
      <c r="Q31" s="763"/>
      <c r="R31" s="763"/>
      <c r="S31" s="763"/>
      <c r="T31" s="763"/>
      <c r="U31" s="763"/>
      <c r="V31" s="674"/>
    </row>
    <row r="32" spans="1:22" ht="18" customHeight="1">
      <c r="B32" s="381" t="s">
        <v>118</v>
      </c>
      <c r="F32" s="118">
        <f>资产负债表!Y17</f>
        <v>0</v>
      </c>
      <c r="G32" s="118">
        <f>资产负债表!AC17</f>
        <v>0</v>
      </c>
      <c r="H32" s="118">
        <f>资产负债表!AG17</f>
        <v>0</v>
      </c>
      <c r="I32" s="118">
        <f>资产负债表!AH17</f>
        <v>0</v>
      </c>
      <c r="J32" s="118">
        <f>资产负债表!AI17</f>
        <v>0</v>
      </c>
      <c r="K32" s="118">
        <f>资产负债表!AJ17</f>
        <v>0</v>
      </c>
      <c r="L32" s="118">
        <f t="shared" ref="L32:U32" si="20">IF(ISERROR(L5*L33),0,L5*L33)</f>
        <v>0</v>
      </c>
      <c r="M32" s="118">
        <f t="shared" si="20"/>
        <v>0</v>
      </c>
      <c r="N32" s="118">
        <f t="shared" si="20"/>
        <v>0</v>
      </c>
      <c r="O32" s="118">
        <f t="shared" si="20"/>
        <v>0</v>
      </c>
      <c r="P32" s="118">
        <f t="shared" si="20"/>
        <v>0</v>
      </c>
      <c r="Q32" s="118">
        <f t="shared" si="20"/>
        <v>0</v>
      </c>
      <c r="R32" s="118">
        <f t="shared" si="20"/>
        <v>0</v>
      </c>
      <c r="S32" s="118">
        <f t="shared" si="20"/>
        <v>0</v>
      </c>
      <c r="T32" s="118">
        <f t="shared" si="20"/>
        <v>0</v>
      </c>
      <c r="U32" s="118">
        <f t="shared" si="20"/>
        <v>0</v>
      </c>
    </row>
    <row r="33" spans="1:22" s="404" customFormat="1" ht="18" customHeight="1">
      <c r="A33" s="741"/>
      <c r="B33" s="694"/>
      <c r="C33" s="680" t="s">
        <v>110</v>
      </c>
      <c r="F33" s="449">
        <f t="shared" ref="F33:K33" si="21">IF(ISERROR(F32/F5),0,F32/F5)</f>
        <v>0</v>
      </c>
      <c r="G33" s="449">
        <f t="shared" si="21"/>
        <v>0</v>
      </c>
      <c r="H33" s="449">
        <f t="shared" si="21"/>
        <v>0</v>
      </c>
      <c r="I33" s="449">
        <f t="shared" si="21"/>
        <v>0</v>
      </c>
      <c r="J33" s="449">
        <f t="shared" si="21"/>
        <v>0</v>
      </c>
      <c r="K33" s="449">
        <f t="shared" si="21"/>
        <v>0</v>
      </c>
      <c r="L33" s="767"/>
      <c r="M33" s="767"/>
      <c r="N33" s="767"/>
      <c r="O33" s="767"/>
      <c r="P33" s="767"/>
      <c r="Q33" s="767"/>
      <c r="R33" s="767"/>
      <c r="S33" s="767"/>
      <c r="T33" s="767"/>
      <c r="U33" s="767"/>
      <c r="V33" s="674"/>
    </row>
    <row r="34" spans="1:22" s="404" customFormat="1" ht="18" customHeight="1">
      <c r="A34" s="741"/>
      <c r="B34" s="694"/>
      <c r="C34" s="680"/>
      <c r="F34" s="748"/>
      <c r="G34" s="748"/>
      <c r="H34" s="748"/>
      <c r="I34" s="771"/>
      <c r="J34" s="771"/>
      <c r="K34" s="771"/>
      <c r="L34" s="771"/>
      <c r="M34" s="771"/>
      <c r="N34" s="771"/>
      <c r="O34" s="771"/>
      <c r="P34" s="771"/>
      <c r="Q34" s="771"/>
      <c r="R34" s="771"/>
      <c r="S34" s="771"/>
      <c r="T34" s="771"/>
      <c r="U34" s="771"/>
      <c r="V34" s="674"/>
    </row>
    <row r="35" spans="1:22" s="404" customFormat="1" ht="18" hidden="1" customHeight="1">
      <c r="A35" s="741"/>
      <c r="B35" s="694"/>
      <c r="C35" s="694"/>
      <c r="F35" s="763"/>
      <c r="G35" s="764"/>
      <c r="H35" s="764"/>
      <c r="I35" s="763"/>
      <c r="J35" s="763"/>
      <c r="K35" s="763"/>
      <c r="L35" s="763"/>
      <c r="M35" s="770"/>
      <c r="N35" s="763"/>
      <c r="O35" s="763"/>
      <c r="P35" s="763"/>
      <c r="Q35" s="763"/>
      <c r="R35" s="763"/>
      <c r="S35" s="763"/>
      <c r="T35" s="763"/>
      <c r="U35" s="763"/>
      <c r="V35" s="674"/>
    </row>
    <row r="36" spans="1:22" s="404" customFormat="1" ht="18" hidden="1" customHeight="1">
      <c r="A36" s="741"/>
      <c r="B36" s="694"/>
      <c r="C36" s="680"/>
      <c r="F36" s="763"/>
      <c r="G36" s="764"/>
      <c r="H36" s="764"/>
      <c r="I36" s="763"/>
      <c r="J36" s="763"/>
      <c r="K36" s="763"/>
      <c r="L36" s="764"/>
      <c r="M36" s="772"/>
      <c r="N36" s="772"/>
      <c r="O36" s="763"/>
      <c r="P36" s="763"/>
      <c r="Q36" s="763"/>
      <c r="R36" s="763"/>
      <c r="S36" s="763"/>
      <c r="T36" s="763"/>
      <c r="U36" s="763"/>
      <c r="V36" s="674"/>
    </row>
    <row r="37" spans="1:22" ht="18" customHeight="1">
      <c r="A37" s="669"/>
      <c r="B37" s="670" t="s">
        <v>119</v>
      </c>
      <c r="C37" s="694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</row>
    <row r="38" spans="1:22" ht="18" customHeight="1">
      <c r="B38" s="381" t="s">
        <v>120</v>
      </c>
      <c r="F38" s="118">
        <f>资产负债表!Y52</f>
        <v>0</v>
      </c>
      <c r="G38" s="118">
        <f>资产负债表!AC52</f>
        <v>0</v>
      </c>
      <c r="H38" s="118">
        <f>资产负债表!AG52</f>
        <v>0</v>
      </c>
      <c r="I38" s="118">
        <f>资产负债表!AH52</f>
        <v>0</v>
      </c>
      <c r="J38" s="118">
        <f>资产负债表!AI52</f>
        <v>0</v>
      </c>
      <c r="K38" s="118">
        <f>资产负债表!AJ52</f>
        <v>0</v>
      </c>
      <c r="L38" s="118">
        <f>IF(ISERROR(L6/(360/L39)),0,L6/(360/L39))</f>
        <v>0</v>
      </c>
      <c r="M38" s="118">
        <f t="shared" ref="M38:U38" si="22">IF(ISERROR(M6/(360/M39)),0,M6/(360/M39))</f>
        <v>0</v>
      </c>
      <c r="N38" s="118">
        <f t="shared" si="22"/>
        <v>0</v>
      </c>
      <c r="O38" s="118">
        <f t="shared" si="22"/>
        <v>0</v>
      </c>
      <c r="P38" s="118">
        <f t="shared" si="22"/>
        <v>0</v>
      </c>
      <c r="Q38" s="118">
        <f t="shared" si="22"/>
        <v>0</v>
      </c>
      <c r="R38" s="118">
        <f t="shared" si="22"/>
        <v>0</v>
      </c>
      <c r="S38" s="118">
        <f t="shared" si="22"/>
        <v>0</v>
      </c>
      <c r="T38" s="118">
        <f t="shared" si="22"/>
        <v>0</v>
      </c>
      <c r="U38" s="118">
        <f t="shared" si="22"/>
        <v>0</v>
      </c>
    </row>
    <row r="39" spans="1:22" s="404" customFormat="1" ht="18" customHeight="1">
      <c r="A39" s="741"/>
      <c r="B39" s="694"/>
      <c r="C39" s="694" t="s">
        <v>116</v>
      </c>
      <c r="F39" s="762">
        <f t="shared" ref="F39:K39" si="23">IF(ISERROR(360/(F6/F38)),0,360/(F6/F38))</f>
        <v>0</v>
      </c>
      <c r="G39" s="762">
        <f t="shared" si="23"/>
        <v>0</v>
      </c>
      <c r="H39" s="762">
        <f t="shared" si="23"/>
        <v>0</v>
      </c>
      <c r="I39" s="762">
        <f t="shared" si="23"/>
        <v>0</v>
      </c>
      <c r="J39" s="762">
        <f t="shared" si="23"/>
        <v>0</v>
      </c>
      <c r="K39" s="762">
        <f t="shared" si="23"/>
        <v>0</v>
      </c>
      <c r="L39" s="765"/>
      <c r="M39" s="765"/>
      <c r="N39" s="765"/>
      <c r="O39" s="765"/>
      <c r="P39" s="765"/>
      <c r="Q39" s="765"/>
      <c r="R39" s="765"/>
      <c r="S39" s="765"/>
      <c r="T39" s="765"/>
      <c r="U39" s="765"/>
      <c r="V39" s="674"/>
    </row>
    <row r="40" spans="1:22" s="404" customFormat="1" ht="18" customHeight="1">
      <c r="A40" s="741"/>
      <c r="B40" s="694"/>
      <c r="C40" s="680" t="s">
        <v>121</v>
      </c>
      <c r="F40" s="449">
        <f t="shared" ref="F40:K40" si="24">IF(ISERROR(F38/F6),0,F38/F6)</f>
        <v>0</v>
      </c>
      <c r="G40" s="449">
        <f t="shared" si="24"/>
        <v>0</v>
      </c>
      <c r="H40" s="449">
        <f t="shared" si="24"/>
        <v>0</v>
      </c>
      <c r="I40" s="449">
        <f t="shared" si="24"/>
        <v>0</v>
      </c>
      <c r="J40" s="449">
        <f t="shared" si="24"/>
        <v>0</v>
      </c>
      <c r="K40" s="449">
        <f t="shared" si="24"/>
        <v>0</v>
      </c>
      <c r="L40" s="449">
        <f t="shared" ref="L40:U40" si="25">IF(ISERROR(L38/L6),0,L38/L6)</f>
        <v>0</v>
      </c>
      <c r="M40" s="449">
        <f t="shared" si="25"/>
        <v>0</v>
      </c>
      <c r="N40" s="449">
        <f t="shared" si="25"/>
        <v>0</v>
      </c>
      <c r="O40" s="449">
        <f t="shared" si="25"/>
        <v>0</v>
      </c>
      <c r="P40" s="449">
        <f t="shared" si="25"/>
        <v>0</v>
      </c>
      <c r="Q40" s="449">
        <f t="shared" si="25"/>
        <v>0</v>
      </c>
      <c r="R40" s="449">
        <f t="shared" si="25"/>
        <v>0</v>
      </c>
      <c r="S40" s="449">
        <f t="shared" si="25"/>
        <v>0</v>
      </c>
      <c r="T40" s="449">
        <f t="shared" si="25"/>
        <v>0</v>
      </c>
      <c r="U40" s="449">
        <f t="shared" si="25"/>
        <v>0</v>
      </c>
      <c r="V40" s="674"/>
    </row>
    <row r="41" spans="1:22" ht="18" customHeight="1">
      <c r="B41" s="694"/>
      <c r="C41" s="694"/>
      <c r="F41" s="118"/>
      <c r="G41" s="118"/>
      <c r="H41" s="118"/>
      <c r="I41" s="118"/>
      <c r="J41" s="118"/>
      <c r="K41" s="118"/>
      <c r="L41" s="118"/>
      <c r="M41" s="773"/>
      <c r="N41" s="118"/>
      <c r="O41" s="118"/>
      <c r="P41" s="118"/>
      <c r="Q41" s="118"/>
      <c r="R41" s="118"/>
      <c r="S41" s="118"/>
      <c r="T41" s="118"/>
      <c r="U41" s="118"/>
    </row>
    <row r="42" spans="1:22" ht="18" customHeight="1">
      <c r="B42" s="381" t="s">
        <v>122</v>
      </c>
      <c r="F42" s="118">
        <f>资产负债表!Y53</f>
        <v>0</v>
      </c>
      <c r="G42" s="118">
        <f>资产负债表!AC53</f>
        <v>0</v>
      </c>
      <c r="H42" s="118">
        <f>资产负债表!AG53</f>
        <v>0</v>
      </c>
      <c r="I42" s="118">
        <f>资产负债表!AH53</f>
        <v>0</v>
      </c>
      <c r="J42" s="118">
        <f>资产负债表!AI53</f>
        <v>0</v>
      </c>
      <c r="K42" s="118">
        <f>资产负债表!AJ53</f>
        <v>0</v>
      </c>
      <c r="L42" s="118">
        <f>IF(ISERROR(L6/(360/L43)),0,L6/(360/L43))</f>
        <v>0</v>
      </c>
      <c r="M42" s="118">
        <f t="shared" ref="M42:U42" si="26">IF(ISERROR(M6/(360/M43)),0,M6/(360/M43))</f>
        <v>0</v>
      </c>
      <c r="N42" s="118">
        <f t="shared" si="26"/>
        <v>0</v>
      </c>
      <c r="O42" s="118">
        <f t="shared" si="26"/>
        <v>0</v>
      </c>
      <c r="P42" s="118">
        <f t="shared" si="26"/>
        <v>0</v>
      </c>
      <c r="Q42" s="118">
        <f t="shared" si="26"/>
        <v>0</v>
      </c>
      <c r="R42" s="118">
        <f t="shared" si="26"/>
        <v>0</v>
      </c>
      <c r="S42" s="118">
        <f t="shared" si="26"/>
        <v>0</v>
      </c>
      <c r="T42" s="118">
        <f t="shared" si="26"/>
        <v>0</v>
      </c>
      <c r="U42" s="118">
        <f t="shared" si="26"/>
        <v>0</v>
      </c>
    </row>
    <row r="43" spans="1:22" s="404" customFormat="1" ht="18" customHeight="1">
      <c r="A43" s="741"/>
      <c r="B43" s="694"/>
      <c r="C43" s="694" t="s">
        <v>116</v>
      </c>
      <c r="F43" s="762">
        <f t="shared" ref="F43:K43" si="27">IF(ISERROR(360/(F6/F42)),0,360/(F6/F42))</f>
        <v>0</v>
      </c>
      <c r="G43" s="762">
        <f t="shared" si="27"/>
        <v>0</v>
      </c>
      <c r="H43" s="762">
        <f t="shared" si="27"/>
        <v>0</v>
      </c>
      <c r="I43" s="762">
        <f t="shared" si="27"/>
        <v>0</v>
      </c>
      <c r="J43" s="762">
        <f t="shared" si="27"/>
        <v>0</v>
      </c>
      <c r="K43" s="762">
        <f t="shared" si="27"/>
        <v>0</v>
      </c>
      <c r="L43" s="765"/>
      <c r="M43" s="765"/>
      <c r="N43" s="765"/>
      <c r="O43" s="765"/>
      <c r="P43" s="765"/>
      <c r="Q43" s="765"/>
      <c r="R43" s="765"/>
      <c r="S43" s="765"/>
      <c r="T43" s="765"/>
      <c r="U43" s="765"/>
      <c r="V43" s="674"/>
    </row>
    <row r="44" spans="1:22" s="404" customFormat="1" ht="18" customHeight="1">
      <c r="A44" s="741"/>
      <c r="B44" s="694"/>
      <c r="C44" s="680" t="s">
        <v>123</v>
      </c>
      <c r="F44" s="449">
        <f t="shared" ref="F44:K44" si="28">IF(ISERROR(F42/F6),0,F42/F6)</f>
        <v>0</v>
      </c>
      <c r="G44" s="449">
        <f t="shared" si="28"/>
        <v>0</v>
      </c>
      <c r="H44" s="449">
        <f t="shared" si="28"/>
        <v>0</v>
      </c>
      <c r="I44" s="449">
        <f t="shared" si="28"/>
        <v>0</v>
      </c>
      <c r="J44" s="449">
        <f t="shared" si="28"/>
        <v>0</v>
      </c>
      <c r="K44" s="449">
        <f t="shared" si="28"/>
        <v>0</v>
      </c>
      <c r="L44" s="449">
        <f t="shared" ref="L44:U44" si="29">IF(ISERROR(L42/L6),0,L42/L6)</f>
        <v>0</v>
      </c>
      <c r="M44" s="449">
        <f t="shared" si="29"/>
        <v>0</v>
      </c>
      <c r="N44" s="449">
        <f t="shared" si="29"/>
        <v>0</v>
      </c>
      <c r="O44" s="449">
        <f t="shared" si="29"/>
        <v>0</v>
      </c>
      <c r="P44" s="449">
        <f t="shared" si="29"/>
        <v>0</v>
      </c>
      <c r="Q44" s="449">
        <f t="shared" si="29"/>
        <v>0</v>
      </c>
      <c r="R44" s="449">
        <f t="shared" si="29"/>
        <v>0</v>
      </c>
      <c r="S44" s="449">
        <f t="shared" si="29"/>
        <v>0</v>
      </c>
      <c r="T44" s="449">
        <f t="shared" si="29"/>
        <v>0</v>
      </c>
      <c r="U44" s="449">
        <f t="shared" si="29"/>
        <v>0</v>
      </c>
      <c r="V44" s="674"/>
    </row>
    <row r="45" spans="1:22" s="404" customFormat="1" ht="18" customHeight="1">
      <c r="A45" s="741"/>
      <c r="B45" s="694"/>
      <c r="C45" s="680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674"/>
    </row>
    <row r="46" spans="1:22" ht="18" customHeight="1">
      <c r="B46" s="381" t="s">
        <v>124</v>
      </c>
      <c r="F46" s="118">
        <f>资产负债表!Y54</f>
        <v>0</v>
      </c>
      <c r="G46" s="118">
        <f>资产负债表!AC54</f>
        <v>0</v>
      </c>
      <c r="H46" s="118">
        <f>资产负债表!AG54</f>
        <v>0</v>
      </c>
      <c r="I46" s="118">
        <f>资产负债表!AH54</f>
        <v>0</v>
      </c>
      <c r="J46" s="118">
        <f>资产负债表!AI54</f>
        <v>0</v>
      </c>
      <c r="K46" s="118">
        <f>资产负债表!AJ54</f>
        <v>0</v>
      </c>
      <c r="L46" s="118">
        <f t="shared" ref="L46:U46" si="30">IF(ISERROR(L5*L47),0,L5*L47)</f>
        <v>0</v>
      </c>
      <c r="M46" s="118">
        <f t="shared" si="30"/>
        <v>0</v>
      </c>
      <c r="N46" s="118">
        <f t="shared" si="30"/>
        <v>0</v>
      </c>
      <c r="O46" s="118">
        <f t="shared" si="30"/>
        <v>0</v>
      </c>
      <c r="P46" s="118">
        <f t="shared" si="30"/>
        <v>0</v>
      </c>
      <c r="Q46" s="118">
        <f t="shared" si="30"/>
        <v>0</v>
      </c>
      <c r="R46" s="118">
        <f t="shared" si="30"/>
        <v>0</v>
      </c>
      <c r="S46" s="118">
        <f t="shared" si="30"/>
        <v>0</v>
      </c>
      <c r="T46" s="118">
        <f t="shared" si="30"/>
        <v>0</v>
      </c>
      <c r="U46" s="118">
        <f t="shared" si="30"/>
        <v>0</v>
      </c>
    </row>
    <row r="47" spans="1:22" s="404" customFormat="1" ht="18" customHeight="1">
      <c r="A47" s="741"/>
      <c r="B47" s="694"/>
      <c r="C47" s="680" t="s">
        <v>110</v>
      </c>
      <c r="F47" s="449">
        <f t="shared" ref="F47:K47" si="31">IF(ISERROR(F46/F5),0,F46/F5)</f>
        <v>0</v>
      </c>
      <c r="G47" s="449">
        <f t="shared" si="31"/>
        <v>0</v>
      </c>
      <c r="H47" s="449">
        <f t="shared" si="31"/>
        <v>0</v>
      </c>
      <c r="I47" s="449">
        <f t="shared" si="31"/>
        <v>0</v>
      </c>
      <c r="J47" s="449">
        <f t="shared" si="31"/>
        <v>0</v>
      </c>
      <c r="K47" s="449">
        <f t="shared" si="31"/>
        <v>0</v>
      </c>
      <c r="L47" s="767"/>
      <c r="M47" s="767"/>
      <c r="N47" s="767"/>
      <c r="O47" s="767"/>
      <c r="P47" s="767"/>
      <c r="Q47" s="767"/>
      <c r="R47" s="767"/>
      <c r="S47" s="767"/>
      <c r="T47" s="767"/>
      <c r="U47" s="767"/>
      <c r="V47" s="674"/>
    </row>
    <row r="48" spans="1:22" s="404" customFormat="1" ht="18" customHeight="1">
      <c r="A48" s="741"/>
      <c r="B48" s="694"/>
      <c r="C48" s="680"/>
      <c r="F48" s="433"/>
      <c r="G48" s="433"/>
      <c r="H48" s="433"/>
      <c r="I48" s="433"/>
      <c r="J48" s="433"/>
      <c r="K48" s="433"/>
      <c r="L48" s="768"/>
      <c r="M48" s="768"/>
      <c r="N48" s="768"/>
      <c r="O48" s="768"/>
      <c r="P48" s="769"/>
      <c r="Q48" s="769"/>
      <c r="R48" s="769"/>
      <c r="S48" s="769"/>
      <c r="T48" s="769"/>
      <c r="U48" s="769"/>
      <c r="V48" s="674"/>
    </row>
    <row r="49" spans="1:22" ht="18" customHeight="1">
      <c r="B49" s="381" t="s">
        <v>125</v>
      </c>
      <c r="F49" s="118">
        <f>资产负债表!Y55</f>
        <v>0</v>
      </c>
      <c r="G49" s="118">
        <f>资产负债表!AC55</f>
        <v>0</v>
      </c>
      <c r="H49" s="118">
        <f>资产负债表!AG55</f>
        <v>0</v>
      </c>
      <c r="I49" s="118">
        <f>资产负债表!AH55</f>
        <v>0</v>
      </c>
      <c r="J49" s="118">
        <f>资产负债表!AI55</f>
        <v>0</v>
      </c>
      <c r="K49" s="118">
        <f>资产负债表!AJ55</f>
        <v>0</v>
      </c>
      <c r="L49" s="118">
        <f>IF(ISERROR(L5*L50),0,L5*L50)</f>
        <v>0</v>
      </c>
      <c r="M49" s="118">
        <f>IF(ISERROR(M5*M50),0,M5*M50)</f>
        <v>0</v>
      </c>
      <c r="N49" s="118">
        <f t="shared" ref="N49:U49" si="32">IF(ISERROR(N5*N50),0,N5*N50)</f>
        <v>0</v>
      </c>
      <c r="O49" s="118">
        <f t="shared" si="32"/>
        <v>0</v>
      </c>
      <c r="P49" s="118">
        <f t="shared" si="32"/>
        <v>0</v>
      </c>
      <c r="Q49" s="118">
        <f t="shared" si="32"/>
        <v>0</v>
      </c>
      <c r="R49" s="118">
        <f t="shared" si="32"/>
        <v>0</v>
      </c>
      <c r="S49" s="118">
        <f t="shared" si="32"/>
        <v>0</v>
      </c>
      <c r="T49" s="118">
        <f t="shared" si="32"/>
        <v>0</v>
      </c>
      <c r="U49" s="118">
        <f t="shared" si="32"/>
        <v>0</v>
      </c>
    </row>
    <row r="50" spans="1:22" s="404" customFormat="1" ht="18" customHeight="1">
      <c r="A50" s="741"/>
      <c r="B50" s="694"/>
      <c r="C50" s="761" t="s">
        <v>110</v>
      </c>
      <c r="F50" s="449">
        <f>IF(ISERROR(F49/F5),0,F49/F5)</f>
        <v>0</v>
      </c>
      <c r="G50" s="449">
        <f t="shared" ref="G50:K50" si="33">IF(ISERROR(G49/G5),0,G49/G5)</f>
        <v>0</v>
      </c>
      <c r="H50" s="449">
        <f t="shared" si="33"/>
        <v>0</v>
      </c>
      <c r="I50" s="449">
        <f t="shared" si="33"/>
        <v>0</v>
      </c>
      <c r="J50" s="449">
        <f t="shared" si="33"/>
        <v>0</v>
      </c>
      <c r="K50" s="449">
        <f t="shared" si="33"/>
        <v>0</v>
      </c>
      <c r="L50" s="767"/>
      <c r="M50" s="767"/>
      <c r="N50" s="767"/>
      <c r="O50" s="767"/>
      <c r="P50" s="767"/>
      <c r="Q50" s="767"/>
      <c r="R50" s="767"/>
      <c r="S50" s="767"/>
      <c r="T50" s="767"/>
      <c r="U50" s="767"/>
      <c r="V50" s="674"/>
    </row>
    <row r="51" spans="1:22" s="404" customFormat="1" ht="18" customHeight="1">
      <c r="A51" s="741"/>
      <c r="B51" s="694"/>
      <c r="C51" s="694"/>
      <c r="F51" s="433"/>
      <c r="G51" s="433"/>
      <c r="H51" s="433"/>
      <c r="I51" s="433"/>
      <c r="J51" s="433"/>
      <c r="K51" s="433"/>
      <c r="L51" s="433"/>
      <c r="M51" s="774"/>
      <c r="N51" s="433"/>
      <c r="O51" s="433"/>
      <c r="P51" s="433"/>
      <c r="Q51" s="433"/>
      <c r="R51" s="433"/>
      <c r="S51" s="433"/>
      <c r="T51" s="433"/>
      <c r="U51" s="433"/>
      <c r="V51" s="674"/>
    </row>
    <row r="52" spans="1:22" ht="18" customHeight="1">
      <c r="B52" s="381" t="s">
        <v>126</v>
      </c>
      <c r="F52" s="118">
        <f>资产负债表!Y56</f>
        <v>0</v>
      </c>
      <c r="G52" s="118">
        <f>资产负债表!AC56</f>
        <v>0</v>
      </c>
      <c r="H52" s="118">
        <f>资产负债表!AG56</f>
        <v>0</v>
      </c>
      <c r="I52" s="118">
        <f>资产负债表!AH56</f>
        <v>0</v>
      </c>
      <c r="J52" s="118">
        <f>资产负债表!AI56</f>
        <v>0</v>
      </c>
      <c r="K52" s="118">
        <f>资产负债表!AJ56</f>
        <v>0</v>
      </c>
      <c r="L52" s="118">
        <f t="shared" ref="L52:U52" si="34">IF(ISERROR(L53*L6),0,L53*L6)</f>
        <v>0</v>
      </c>
      <c r="M52" s="118">
        <f t="shared" si="34"/>
        <v>0</v>
      </c>
      <c r="N52" s="118">
        <f t="shared" si="34"/>
        <v>0</v>
      </c>
      <c r="O52" s="118">
        <f t="shared" si="34"/>
        <v>0</v>
      </c>
      <c r="P52" s="118">
        <f t="shared" si="34"/>
        <v>0</v>
      </c>
      <c r="Q52" s="118">
        <f t="shared" si="34"/>
        <v>0</v>
      </c>
      <c r="R52" s="118">
        <f t="shared" si="34"/>
        <v>0</v>
      </c>
      <c r="S52" s="118">
        <f t="shared" si="34"/>
        <v>0</v>
      </c>
      <c r="T52" s="118">
        <f t="shared" si="34"/>
        <v>0</v>
      </c>
      <c r="U52" s="118">
        <f t="shared" si="34"/>
        <v>0</v>
      </c>
    </row>
    <row r="53" spans="1:22" s="404" customFormat="1" ht="18" customHeight="1">
      <c r="A53" s="741"/>
      <c r="B53" s="694"/>
      <c r="C53" s="680" t="s">
        <v>112</v>
      </c>
      <c r="F53" s="449">
        <f t="shared" ref="F53:K53" si="35">IF(ISERROR(F52/F6),0,F52/F6)</f>
        <v>0</v>
      </c>
      <c r="G53" s="449">
        <f t="shared" si="35"/>
        <v>0</v>
      </c>
      <c r="H53" s="449">
        <f t="shared" si="35"/>
        <v>0</v>
      </c>
      <c r="I53" s="449">
        <f t="shared" si="35"/>
        <v>0</v>
      </c>
      <c r="J53" s="449">
        <f t="shared" si="35"/>
        <v>0</v>
      </c>
      <c r="K53" s="449">
        <f t="shared" si="35"/>
        <v>0</v>
      </c>
      <c r="L53" s="767"/>
      <c r="M53" s="767"/>
      <c r="N53" s="767"/>
      <c r="O53" s="767"/>
      <c r="P53" s="767"/>
      <c r="Q53" s="767"/>
      <c r="R53" s="767"/>
      <c r="S53" s="767"/>
      <c r="T53" s="767"/>
      <c r="U53" s="767"/>
      <c r="V53" s="674"/>
    </row>
    <row r="54" spans="1:22" ht="18" customHeight="1">
      <c r="B54" s="694"/>
      <c r="C54" s="694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</row>
    <row r="55" spans="1:22" s="404" customFormat="1" ht="18" customHeight="1">
      <c r="A55" s="741"/>
      <c r="B55" s="381" t="s">
        <v>127</v>
      </c>
      <c r="C55" s="150"/>
      <c r="F55" s="118">
        <f>资产负债表!Y57</f>
        <v>0</v>
      </c>
      <c r="G55" s="118">
        <f>资产负债表!AC57</f>
        <v>0</v>
      </c>
      <c r="H55" s="118">
        <f>资产负债表!AG57</f>
        <v>0</v>
      </c>
      <c r="I55" s="118">
        <f>资产负债表!AH57</f>
        <v>0</v>
      </c>
      <c r="J55" s="118">
        <f>资产负债表!AI57</f>
        <v>0</v>
      </c>
      <c r="K55" s="118">
        <f>资产负债表!AJ57</f>
        <v>0</v>
      </c>
      <c r="L55" s="118">
        <f t="shared" ref="L55:U55" si="36">IF(ISERROR(L56*L5),0,L56*L5)</f>
        <v>0</v>
      </c>
      <c r="M55" s="118">
        <f t="shared" si="36"/>
        <v>0</v>
      </c>
      <c r="N55" s="118">
        <f t="shared" si="36"/>
        <v>0</v>
      </c>
      <c r="O55" s="118">
        <f t="shared" si="36"/>
        <v>0</v>
      </c>
      <c r="P55" s="118">
        <f t="shared" si="36"/>
        <v>0</v>
      </c>
      <c r="Q55" s="118">
        <f t="shared" si="36"/>
        <v>0</v>
      </c>
      <c r="R55" s="118">
        <f t="shared" si="36"/>
        <v>0</v>
      </c>
      <c r="S55" s="118">
        <f t="shared" si="36"/>
        <v>0</v>
      </c>
      <c r="T55" s="118">
        <f t="shared" si="36"/>
        <v>0</v>
      </c>
      <c r="U55" s="118">
        <f t="shared" si="36"/>
        <v>0</v>
      </c>
      <c r="V55" s="674"/>
    </row>
    <row r="56" spans="1:22" s="404" customFormat="1" ht="18" customHeight="1">
      <c r="A56" s="741"/>
      <c r="B56" s="694"/>
      <c r="C56" s="680" t="s">
        <v>110</v>
      </c>
      <c r="F56" s="449">
        <f t="shared" ref="F56:K56" si="37">IF(ISERROR(F55/F5),0,F55/F5)</f>
        <v>0</v>
      </c>
      <c r="G56" s="449">
        <f t="shared" si="37"/>
        <v>0</v>
      </c>
      <c r="H56" s="449">
        <f t="shared" si="37"/>
        <v>0</v>
      </c>
      <c r="I56" s="449">
        <f t="shared" si="37"/>
        <v>0</v>
      </c>
      <c r="J56" s="449">
        <f t="shared" si="37"/>
        <v>0</v>
      </c>
      <c r="K56" s="449">
        <f t="shared" si="37"/>
        <v>0</v>
      </c>
      <c r="L56" s="767"/>
      <c r="M56" s="767"/>
      <c r="N56" s="767"/>
      <c r="O56" s="767"/>
      <c r="P56" s="767"/>
      <c r="Q56" s="767"/>
      <c r="R56" s="767"/>
      <c r="S56" s="767"/>
      <c r="T56" s="767"/>
      <c r="U56" s="767"/>
      <c r="V56" s="674"/>
    </row>
    <row r="57" spans="1:22" s="404" customFormat="1" ht="18" customHeight="1">
      <c r="A57" s="741"/>
      <c r="B57" s="694"/>
      <c r="C57" s="680"/>
      <c r="F57" s="763"/>
      <c r="G57" s="763"/>
      <c r="H57" s="763"/>
      <c r="I57" s="769"/>
      <c r="J57" s="769"/>
      <c r="K57" s="769"/>
      <c r="L57" s="118"/>
      <c r="M57" s="118"/>
      <c r="N57" s="118"/>
      <c r="O57" s="769"/>
      <c r="P57" s="769"/>
      <c r="Q57" s="769"/>
      <c r="R57" s="769"/>
      <c r="S57" s="769"/>
      <c r="T57" s="769"/>
      <c r="U57" s="769"/>
      <c r="V57" s="674"/>
    </row>
    <row r="58" spans="1:22" s="404" customFormat="1" ht="18" customHeight="1">
      <c r="A58" s="741"/>
      <c r="B58" s="381" t="s">
        <v>128</v>
      </c>
      <c r="C58" s="150"/>
      <c r="F58" s="118">
        <f>资产负债表!Y58</f>
        <v>0</v>
      </c>
      <c r="G58" s="118">
        <f>资产负债表!AC58</f>
        <v>0</v>
      </c>
      <c r="H58" s="118">
        <f>资产负债表!AG58</f>
        <v>0</v>
      </c>
      <c r="I58" s="118">
        <f>资产负债表!AH58</f>
        <v>0</v>
      </c>
      <c r="J58" s="118">
        <f>资产负债表!AI58</f>
        <v>0</v>
      </c>
      <c r="K58" s="118">
        <f>资产负债表!AJ58</f>
        <v>0</v>
      </c>
      <c r="L58" s="118">
        <f t="shared" ref="L58:U58" si="38">IF(ISERROR(L59*L6),0,L59*L6)</f>
        <v>0</v>
      </c>
      <c r="M58" s="118">
        <f t="shared" si="38"/>
        <v>0</v>
      </c>
      <c r="N58" s="118">
        <f t="shared" si="38"/>
        <v>0</v>
      </c>
      <c r="O58" s="118">
        <f t="shared" si="38"/>
        <v>0</v>
      </c>
      <c r="P58" s="118">
        <f t="shared" si="38"/>
        <v>0</v>
      </c>
      <c r="Q58" s="118">
        <f t="shared" si="38"/>
        <v>0</v>
      </c>
      <c r="R58" s="118">
        <f t="shared" si="38"/>
        <v>0</v>
      </c>
      <c r="S58" s="118">
        <f t="shared" si="38"/>
        <v>0</v>
      </c>
      <c r="T58" s="118">
        <f t="shared" si="38"/>
        <v>0</v>
      </c>
      <c r="U58" s="118">
        <f t="shared" si="38"/>
        <v>0</v>
      </c>
      <c r="V58" s="674"/>
    </row>
    <row r="59" spans="1:22" s="404" customFormat="1" ht="18" customHeight="1">
      <c r="A59" s="741"/>
      <c r="B59" s="694"/>
      <c r="C59" s="680" t="s">
        <v>129</v>
      </c>
      <c r="F59" s="449">
        <f t="shared" ref="F59:K59" si="39">IF(ISERROR(F58/F6),0,F58/F6)</f>
        <v>0</v>
      </c>
      <c r="G59" s="449">
        <f t="shared" si="39"/>
        <v>0</v>
      </c>
      <c r="H59" s="449">
        <f t="shared" si="39"/>
        <v>0</v>
      </c>
      <c r="I59" s="449">
        <f t="shared" si="39"/>
        <v>0</v>
      </c>
      <c r="J59" s="449">
        <f t="shared" si="39"/>
        <v>0</v>
      </c>
      <c r="K59" s="449">
        <f t="shared" si="39"/>
        <v>0</v>
      </c>
      <c r="L59" s="767"/>
      <c r="M59" s="767"/>
      <c r="N59" s="767"/>
      <c r="O59" s="767"/>
      <c r="P59" s="767"/>
      <c r="Q59" s="767"/>
      <c r="R59" s="767"/>
      <c r="S59" s="767"/>
      <c r="T59" s="767"/>
      <c r="U59" s="767"/>
      <c r="V59" s="674"/>
    </row>
    <row r="60" spans="1:22" s="404" customFormat="1" ht="18" customHeight="1">
      <c r="A60" s="741"/>
      <c r="B60" s="694"/>
      <c r="C60" s="680"/>
      <c r="F60" s="449"/>
      <c r="G60" s="449"/>
      <c r="H60" s="449"/>
      <c r="I60" s="433"/>
      <c r="J60" s="433"/>
      <c r="K60" s="433"/>
      <c r="L60" s="768"/>
      <c r="M60" s="768"/>
      <c r="N60" s="768"/>
      <c r="O60" s="768"/>
      <c r="P60" s="769"/>
      <c r="Q60" s="769"/>
      <c r="R60" s="769"/>
      <c r="S60" s="769"/>
      <c r="T60" s="769"/>
      <c r="U60" s="769"/>
      <c r="V60" s="674"/>
    </row>
    <row r="61" spans="1:22" s="404" customFormat="1" ht="18" hidden="1" customHeight="1">
      <c r="A61" s="741"/>
      <c r="B61" s="694"/>
      <c r="C61" s="680"/>
      <c r="F61" s="449"/>
      <c r="G61" s="449"/>
      <c r="H61" s="449"/>
      <c r="I61" s="433"/>
      <c r="J61" s="433"/>
      <c r="K61" s="433"/>
      <c r="L61" s="768"/>
      <c r="M61" s="768"/>
      <c r="N61" s="768"/>
      <c r="O61" s="768"/>
      <c r="P61" s="769"/>
      <c r="Q61" s="769"/>
      <c r="R61" s="769"/>
      <c r="S61" s="769"/>
      <c r="T61" s="769"/>
      <c r="U61" s="769"/>
      <c r="V61" s="674"/>
    </row>
    <row r="62" spans="1:22" s="404" customFormat="1" ht="18" hidden="1" customHeight="1">
      <c r="A62" s="741"/>
      <c r="B62" s="694"/>
      <c r="C62" s="680"/>
      <c r="F62" s="449"/>
      <c r="G62" s="449"/>
      <c r="H62" s="449"/>
      <c r="I62" s="433"/>
      <c r="J62" s="433"/>
      <c r="K62" s="433"/>
      <c r="L62" s="768"/>
      <c r="M62" s="768"/>
      <c r="N62" s="768"/>
      <c r="O62" s="768"/>
      <c r="P62" s="769"/>
      <c r="Q62" s="769"/>
      <c r="R62" s="769"/>
      <c r="S62" s="769"/>
      <c r="T62" s="769"/>
      <c r="U62" s="769"/>
      <c r="V62" s="674"/>
    </row>
    <row r="63" spans="1:22" s="404" customFormat="1" ht="18" hidden="1" customHeight="1">
      <c r="A63" s="741"/>
      <c r="B63" s="694"/>
      <c r="C63" s="680"/>
      <c r="F63" s="449"/>
      <c r="G63" s="449"/>
      <c r="H63" s="449"/>
      <c r="I63" s="433"/>
      <c r="J63" s="433"/>
      <c r="K63" s="433"/>
      <c r="L63" s="768"/>
      <c r="M63" s="768"/>
      <c r="N63" s="768"/>
      <c r="O63" s="768"/>
      <c r="P63" s="769"/>
      <c r="Q63" s="769"/>
      <c r="R63" s="769"/>
      <c r="S63" s="769"/>
      <c r="T63" s="769"/>
      <c r="U63" s="769"/>
      <c r="V63" s="674"/>
    </row>
    <row r="64" spans="1:22" s="404" customFormat="1" ht="18" hidden="1" customHeight="1">
      <c r="A64" s="741"/>
      <c r="B64" s="694"/>
      <c r="C64" s="680"/>
      <c r="F64" s="449"/>
      <c r="G64" s="449"/>
      <c r="H64" s="449"/>
      <c r="I64" s="433"/>
      <c r="J64" s="433"/>
      <c r="K64" s="433"/>
      <c r="L64" s="768"/>
      <c r="M64" s="768"/>
      <c r="N64" s="768"/>
      <c r="O64" s="768"/>
      <c r="P64" s="769"/>
      <c r="Q64" s="769"/>
      <c r="R64" s="769"/>
      <c r="S64" s="769"/>
      <c r="T64" s="769"/>
      <c r="U64" s="769"/>
      <c r="V64" s="674"/>
    </row>
    <row r="65" spans="1:27" s="404" customFormat="1" ht="18" hidden="1" customHeight="1">
      <c r="A65" s="741"/>
      <c r="B65" s="694"/>
      <c r="C65" s="680"/>
      <c r="F65" s="449"/>
      <c r="G65" s="449"/>
      <c r="H65" s="449"/>
      <c r="I65" s="433"/>
      <c r="J65" s="433"/>
      <c r="K65" s="433"/>
      <c r="L65" s="768"/>
      <c r="M65" s="768"/>
      <c r="N65" s="768"/>
      <c r="O65" s="768"/>
      <c r="P65" s="769"/>
      <c r="Q65" s="769"/>
      <c r="R65" s="769"/>
      <c r="S65" s="769"/>
      <c r="T65" s="769"/>
      <c r="U65" s="769"/>
      <c r="V65" s="674"/>
    </row>
    <row r="66" spans="1:27" s="653" customFormat="1" ht="18" customHeight="1">
      <c r="A66" s="659"/>
      <c r="B66" s="759" t="s">
        <v>130</v>
      </c>
      <c r="C66" s="660"/>
      <c r="D66" s="661"/>
      <c r="E66" s="661"/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775"/>
    </row>
    <row r="67" spans="1:27" ht="18" customHeight="1">
      <c r="B67" s="662" t="str">
        <f>"单位：人民币"&amp;目录!D5</f>
        <v>单位：人民币百万元</v>
      </c>
    </row>
    <row r="68" spans="1:27" s="654" customFormat="1" ht="18" customHeight="1">
      <c r="A68" s="665"/>
      <c r="B68" s="666" t="s">
        <v>101</v>
      </c>
      <c r="C68" s="667"/>
      <c r="D68" s="668"/>
      <c r="E68" s="668"/>
      <c r="F68" s="739">
        <f t="shared" ref="F68:U68" si="40">F4</f>
        <v>2021</v>
      </c>
      <c r="G68" s="739">
        <f t="shared" si="40"/>
        <v>2022</v>
      </c>
      <c r="H68" s="739">
        <f t="shared" si="40"/>
        <v>2023</v>
      </c>
      <c r="I68" s="739" t="str">
        <f t="shared" si="40"/>
        <v>1Q24</v>
      </c>
      <c r="J68" s="739" t="str">
        <f t="shared" si="40"/>
        <v>1H24</v>
      </c>
      <c r="K68" s="739" t="str">
        <f t="shared" si="40"/>
        <v>3Q24</v>
      </c>
      <c r="L68" s="750" t="str">
        <f t="shared" si="40"/>
        <v>2024E</v>
      </c>
      <c r="M68" s="751">
        <f t="shared" si="40"/>
        <v>2025</v>
      </c>
      <c r="N68" s="751">
        <f t="shared" si="40"/>
        <v>2026</v>
      </c>
      <c r="O68" s="751">
        <f t="shared" si="40"/>
        <v>2027</v>
      </c>
      <c r="P68" s="751">
        <f t="shared" si="40"/>
        <v>2028</v>
      </c>
      <c r="Q68" s="751">
        <f t="shared" si="40"/>
        <v>2029</v>
      </c>
      <c r="R68" s="751">
        <f t="shared" si="40"/>
        <v>2030</v>
      </c>
      <c r="S68" s="751">
        <f t="shared" si="40"/>
        <v>2031</v>
      </c>
      <c r="T68" s="751">
        <f t="shared" si="40"/>
        <v>2032</v>
      </c>
      <c r="U68" s="751">
        <f t="shared" si="40"/>
        <v>2033</v>
      </c>
      <c r="V68" s="799"/>
    </row>
    <row r="69" spans="1:27" s="155" customFormat="1" ht="18" customHeight="1">
      <c r="A69" s="669"/>
      <c r="B69" s="381"/>
      <c r="C69" s="143"/>
      <c r="F69" s="740"/>
      <c r="G69" s="740"/>
      <c r="H69" s="740"/>
      <c r="I69" s="740"/>
      <c r="J69" s="740"/>
      <c r="K69" s="740"/>
      <c r="L69" s="740"/>
      <c r="M69" s="740"/>
      <c r="N69" s="740"/>
      <c r="O69" s="740"/>
      <c r="P69" s="740"/>
      <c r="Q69" s="740"/>
      <c r="R69" s="740"/>
      <c r="S69" s="740"/>
      <c r="T69" s="740"/>
      <c r="U69" s="740"/>
      <c r="V69" s="143"/>
    </row>
    <row r="70" spans="1:27" s="155" customFormat="1" ht="18" customHeight="1">
      <c r="A70" s="669"/>
      <c r="B70" s="670" t="s">
        <v>131</v>
      </c>
      <c r="C70" s="143"/>
      <c r="F70" s="740"/>
      <c r="G70" s="740"/>
      <c r="H70" s="740"/>
      <c r="I70" s="740"/>
      <c r="J70" s="740"/>
      <c r="K70" s="740"/>
      <c r="L70" s="740"/>
      <c r="M70" s="740"/>
      <c r="N70" s="740"/>
      <c r="O70" s="740"/>
      <c r="P70" s="740"/>
      <c r="Q70" s="740"/>
      <c r="R70" s="740"/>
      <c r="S70" s="740"/>
      <c r="T70" s="740"/>
      <c r="U70" s="740"/>
      <c r="V70" s="143"/>
    </row>
    <row r="71" spans="1:27" ht="18" customHeight="1">
      <c r="B71" s="381" t="s">
        <v>132</v>
      </c>
      <c r="F71" s="118">
        <f>资产负债表!Y9</f>
        <v>0</v>
      </c>
      <c r="G71" s="118">
        <f>资产负债表!AC9</f>
        <v>0</v>
      </c>
      <c r="H71" s="118">
        <f>资产负债表!AG9</f>
        <v>0</v>
      </c>
      <c r="I71" s="118">
        <f>资产负债表!AH9</f>
        <v>0</v>
      </c>
      <c r="J71" s="118">
        <f>资产负债表!AI9</f>
        <v>0</v>
      </c>
      <c r="K71" s="118">
        <f>资产负债表!AJ9</f>
        <v>0</v>
      </c>
      <c r="L71" s="118">
        <f>IF(ISERROR(H71+L73+L72),0,H71+L73+L72)</f>
        <v>0</v>
      </c>
      <c r="M71" s="118">
        <f t="shared" ref="M71:U71" si="41">IF(ISERROR(L71+M73+M72),0,L71+M73+M72)</f>
        <v>0</v>
      </c>
      <c r="N71" s="118">
        <f t="shared" si="41"/>
        <v>0</v>
      </c>
      <c r="O71" s="118">
        <f t="shared" si="41"/>
        <v>0</v>
      </c>
      <c r="P71" s="118">
        <f t="shared" si="41"/>
        <v>0</v>
      </c>
      <c r="Q71" s="118">
        <f t="shared" si="41"/>
        <v>0</v>
      </c>
      <c r="R71" s="118">
        <f t="shared" si="41"/>
        <v>0</v>
      </c>
      <c r="S71" s="118">
        <f t="shared" si="41"/>
        <v>0</v>
      </c>
      <c r="T71" s="118">
        <f t="shared" si="41"/>
        <v>0</v>
      </c>
      <c r="U71" s="118">
        <f t="shared" si="41"/>
        <v>0</v>
      </c>
    </row>
    <row r="72" spans="1:27" ht="18" customHeight="1">
      <c r="A72" s="658" t="s">
        <v>133</v>
      </c>
      <c r="C72" s="130" t="s">
        <v>134</v>
      </c>
      <c r="D72" s="777"/>
      <c r="E72" s="777"/>
      <c r="F72" s="118">
        <f>F71-资产负债表!U9</f>
        <v>0</v>
      </c>
      <c r="G72" s="118">
        <f>G71-F71</f>
        <v>0</v>
      </c>
      <c r="H72" s="118">
        <f>H71-G71</f>
        <v>0</v>
      </c>
      <c r="I72" s="118">
        <f>IF(财务基础数据!AM4=0,0,I71-H71)</f>
        <v>0</v>
      </c>
      <c r="J72" s="118">
        <f>IF(财务基础数据!AM4&lt;=1,0,J71-I71)</f>
        <v>0</v>
      </c>
      <c r="K72" s="118">
        <f>IF(财务基础数据!AM4&lt;=2,0,K71-J71)</f>
        <v>0</v>
      </c>
      <c r="L72" s="793"/>
      <c r="M72" s="794"/>
      <c r="N72" s="794"/>
      <c r="O72" s="794"/>
      <c r="P72" s="794"/>
      <c r="Q72" s="794"/>
      <c r="R72" s="794"/>
      <c r="S72" s="794"/>
      <c r="T72" s="794"/>
      <c r="U72" s="794"/>
    </row>
    <row r="73" spans="1:27" ht="18" customHeight="1">
      <c r="A73" s="658" t="s">
        <v>133</v>
      </c>
      <c r="C73" s="130" t="s">
        <v>135</v>
      </c>
      <c r="D73" s="777"/>
      <c r="E73" s="777"/>
      <c r="F73" s="118"/>
      <c r="G73" s="118"/>
      <c r="H73" s="118"/>
      <c r="I73" s="461"/>
      <c r="J73" s="461"/>
      <c r="K73" s="461"/>
      <c r="L73" s="793"/>
      <c r="M73" s="794"/>
      <c r="N73" s="794"/>
      <c r="O73" s="794"/>
      <c r="P73" s="794"/>
      <c r="Q73" s="794"/>
      <c r="R73" s="794"/>
      <c r="S73" s="794"/>
      <c r="T73" s="794"/>
      <c r="U73" s="794"/>
    </row>
    <row r="74" spans="1:27" ht="18" customHeight="1">
      <c r="F74" s="118"/>
      <c r="G74" s="11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spans="1:27" ht="18" customHeight="1">
      <c r="B75" s="381" t="s">
        <v>136</v>
      </c>
      <c r="F75" s="118">
        <f>资产负债表!Y10</f>
        <v>0</v>
      </c>
      <c r="G75" s="118">
        <f>资产负债表!AC10</f>
        <v>0</v>
      </c>
      <c r="H75" s="118">
        <f>资产负债表!AG10</f>
        <v>0</v>
      </c>
      <c r="I75" s="118">
        <f>资产负债表!AH10</f>
        <v>0</v>
      </c>
      <c r="J75" s="118">
        <f>资产负债表!AI10</f>
        <v>0</v>
      </c>
      <c r="K75" s="118">
        <f>资产负债表!AJ10</f>
        <v>0</v>
      </c>
      <c r="L75" s="118">
        <f>IF(ISERROR(H75+L77+L76),0,H75+L77+L76)</f>
        <v>0</v>
      </c>
      <c r="M75" s="118">
        <f t="shared" ref="M75:U75" si="42">IF(ISERROR(L75+M77+M76),0,L75+M77+M76)</f>
        <v>0</v>
      </c>
      <c r="N75" s="118">
        <f t="shared" si="42"/>
        <v>0</v>
      </c>
      <c r="O75" s="118">
        <f t="shared" si="42"/>
        <v>0</v>
      </c>
      <c r="P75" s="118">
        <f t="shared" si="42"/>
        <v>0</v>
      </c>
      <c r="Q75" s="118">
        <f t="shared" si="42"/>
        <v>0</v>
      </c>
      <c r="R75" s="118">
        <f t="shared" si="42"/>
        <v>0</v>
      </c>
      <c r="S75" s="118">
        <f t="shared" si="42"/>
        <v>0</v>
      </c>
      <c r="T75" s="118">
        <f t="shared" si="42"/>
        <v>0</v>
      </c>
      <c r="U75" s="118">
        <f t="shared" si="42"/>
        <v>0</v>
      </c>
    </row>
    <row r="76" spans="1:27" ht="18" customHeight="1">
      <c r="A76" s="658" t="s">
        <v>133</v>
      </c>
      <c r="C76" s="150" t="s">
        <v>134</v>
      </c>
      <c r="D76" s="777"/>
      <c r="E76" s="777"/>
      <c r="F76" s="118">
        <f>F75-资产负债表!U10</f>
        <v>0</v>
      </c>
      <c r="G76" s="118">
        <f>G75-F75</f>
        <v>0</v>
      </c>
      <c r="H76" s="118">
        <f>H75-G75</f>
        <v>0</v>
      </c>
      <c r="I76" s="118">
        <f>IF(财务基础数据!AM4=0,0,I75-H75)</f>
        <v>0</v>
      </c>
      <c r="J76" s="118">
        <f>IF(财务基础数据!AM4&lt;=1,0,J75-I75)</f>
        <v>0</v>
      </c>
      <c r="K76" s="118">
        <f>IF(财务基础数据!AM4&lt;=2,0,K75-J75)</f>
        <v>0</v>
      </c>
      <c r="L76" s="793"/>
      <c r="M76" s="794"/>
      <c r="N76" s="794"/>
      <c r="O76" s="794"/>
      <c r="P76" s="794"/>
      <c r="Q76" s="794"/>
      <c r="R76" s="794"/>
      <c r="S76" s="794"/>
      <c r="T76" s="794"/>
      <c r="U76" s="794"/>
    </row>
    <row r="77" spans="1:27" ht="18" customHeight="1">
      <c r="A77" s="658" t="s">
        <v>133</v>
      </c>
      <c r="C77" s="130" t="s">
        <v>135</v>
      </c>
      <c r="D77" s="777"/>
      <c r="E77" s="777"/>
      <c r="F77" s="118"/>
      <c r="G77" s="118"/>
      <c r="H77" s="118"/>
      <c r="I77" s="461"/>
      <c r="J77" s="461"/>
      <c r="K77" s="461"/>
      <c r="L77" s="793"/>
      <c r="M77" s="794"/>
      <c r="N77" s="794"/>
      <c r="O77" s="794"/>
      <c r="P77" s="794"/>
      <c r="Q77" s="794"/>
      <c r="R77" s="794"/>
      <c r="S77" s="794"/>
      <c r="T77" s="794"/>
      <c r="U77" s="794"/>
    </row>
    <row r="78" spans="1:27" ht="18" customHeight="1">
      <c r="F78" s="118"/>
      <c r="G78" s="11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spans="1:27" ht="18" customHeight="1">
      <c r="B79" s="381" t="s">
        <v>137</v>
      </c>
      <c r="F79" s="118">
        <f>资产负债表!Y20</f>
        <v>0</v>
      </c>
      <c r="G79" s="118">
        <f>资产负债表!AC20</f>
        <v>0</v>
      </c>
      <c r="H79" s="118">
        <f>资产负债表!AG20</f>
        <v>0</v>
      </c>
      <c r="I79" s="118">
        <f>资产负债表!AH20</f>
        <v>0</v>
      </c>
      <c r="J79" s="118">
        <f>资产负债表!AI20</f>
        <v>0</v>
      </c>
      <c r="K79" s="118">
        <f>资产负债表!AJ20</f>
        <v>0</v>
      </c>
      <c r="L79" s="118">
        <f>IF(ISERROR(H79+L80),0,H79+L80)</f>
        <v>0</v>
      </c>
      <c r="M79" s="118">
        <f t="shared" ref="M79:U79" si="43">IF(ISERROR(L79+M80),0,L79+M80)</f>
        <v>0</v>
      </c>
      <c r="N79" s="118">
        <f t="shared" si="43"/>
        <v>0</v>
      </c>
      <c r="O79" s="118">
        <f t="shared" si="43"/>
        <v>0</v>
      </c>
      <c r="P79" s="118">
        <f t="shared" si="43"/>
        <v>0</v>
      </c>
      <c r="Q79" s="118">
        <f t="shared" si="43"/>
        <v>0</v>
      </c>
      <c r="R79" s="118">
        <f t="shared" si="43"/>
        <v>0</v>
      </c>
      <c r="S79" s="118">
        <f t="shared" si="43"/>
        <v>0</v>
      </c>
      <c r="T79" s="118">
        <f t="shared" si="43"/>
        <v>0</v>
      </c>
      <c r="U79" s="118">
        <f t="shared" si="43"/>
        <v>0</v>
      </c>
      <c r="AA79" s="368"/>
    </row>
    <row r="80" spans="1:27" ht="18" customHeight="1">
      <c r="A80" s="658" t="s">
        <v>133</v>
      </c>
      <c r="C80" s="130" t="s">
        <v>138</v>
      </c>
      <c r="D80" s="777"/>
      <c r="E80" s="777"/>
      <c r="F80" s="118">
        <f>F79-资产负债表!U20</f>
        <v>0</v>
      </c>
      <c r="G80" s="118">
        <f>G79-F79</f>
        <v>0</v>
      </c>
      <c r="H80" s="118">
        <f>H79-G79</f>
        <v>0</v>
      </c>
      <c r="I80" s="118">
        <f>IF(财务基础数据!AM4=0,0,I79-H79)</f>
        <v>0</v>
      </c>
      <c r="J80" s="118">
        <f>IF(财务基础数据!AM4&lt;=1,0,J79-I79)</f>
        <v>0</v>
      </c>
      <c r="K80" s="118">
        <f>IF(财务基础数据!AM4&lt;=2,0,K79-J79)</f>
        <v>0</v>
      </c>
      <c r="L80" s="793"/>
      <c r="M80" s="794"/>
      <c r="N80" s="794"/>
      <c r="O80" s="794"/>
      <c r="P80" s="794"/>
      <c r="Q80" s="794"/>
      <c r="R80" s="794"/>
      <c r="S80" s="794"/>
      <c r="T80" s="794"/>
      <c r="U80" s="794"/>
      <c r="AA80" s="368"/>
    </row>
    <row r="81" spans="1:27" s="404" customFormat="1" ht="18" customHeight="1">
      <c r="A81" s="741" t="s">
        <v>133</v>
      </c>
      <c r="C81" s="451" t="s">
        <v>139</v>
      </c>
      <c r="D81" s="777"/>
      <c r="E81" s="777"/>
      <c r="F81" s="745"/>
      <c r="G81" s="745"/>
      <c r="H81" s="745"/>
      <c r="I81" s="118"/>
      <c r="J81" s="118"/>
      <c r="K81" s="118"/>
      <c r="L81" s="793"/>
      <c r="M81" s="794"/>
      <c r="N81" s="794"/>
      <c r="O81" s="794"/>
      <c r="P81" s="794"/>
      <c r="Q81" s="794"/>
      <c r="R81" s="794"/>
      <c r="S81" s="794"/>
      <c r="T81" s="794"/>
      <c r="U81" s="794"/>
      <c r="V81" s="674"/>
      <c r="AA81" s="368"/>
    </row>
    <row r="82" spans="1:27" s="404" customFormat="1" ht="18" customHeight="1">
      <c r="A82" s="741"/>
      <c r="B82" s="694"/>
      <c r="C82" s="150"/>
      <c r="F82" s="118"/>
      <c r="G82" s="118"/>
      <c r="H82" s="745"/>
      <c r="I82" s="118"/>
      <c r="J82" s="118"/>
      <c r="K82" s="118"/>
      <c r="L82" s="745"/>
      <c r="M82" s="745"/>
      <c r="N82" s="745"/>
      <c r="O82" s="745"/>
      <c r="P82" s="745"/>
      <c r="Q82" s="745"/>
      <c r="R82" s="745"/>
      <c r="S82" s="745"/>
      <c r="T82" s="745"/>
      <c r="U82" s="745"/>
      <c r="V82" s="674"/>
      <c r="AA82" s="368"/>
    </row>
    <row r="83" spans="1:27" ht="18" customHeight="1">
      <c r="B83" s="381" t="s">
        <v>140</v>
      </c>
      <c r="F83" s="118">
        <f>资产负债表!Y50</f>
        <v>0</v>
      </c>
      <c r="G83" s="118">
        <f>资产负债表!AC50</f>
        <v>0</v>
      </c>
      <c r="H83" s="118">
        <f>资产负债表!AG50</f>
        <v>0</v>
      </c>
      <c r="I83" s="118">
        <f>资产负债表!AH50</f>
        <v>0</v>
      </c>
      <c r="J83" s="118">
        <f>资产负债表!AI50</f>
        <v>0</v>
      </c>
      <c r="K83" s="118">
        <f>资产负债表!AJ50</f>
        <v>0</v>
      </c>
      <c r="L83" s="118">
        <f>IF(ISERROR(H83+L84+L85),0,H83+L84+L85)</f>
        <v>0</v>
      </c>
      <c r="M83" s="118">
        <f t="shared" ref="M83:U83" si="44">IF(ISERROR(L83+M84+M85),0,L83+M84+M85)</f>
        <v>0</v>
      </c>
      <c r="N83" s="118">
        <f t="shared" si="44"/>
        <v>0</v>
      </c>
      <c r="O83" s="118">
        <f t="shared" si="44"/>
        <v>0</v>
      </c>
      <c r="P83" s="118">
        <f t="shared" si="44"/>
        <v>0</v>
      </c>
      <c r="Q83" s="118">
        <f t="shared" si="44"/>
        <v>0</v>
      </c>
      <c r="R83" s="118">
        <f t="shared" si="44"/>
        <v>0</v>
      </c>
      <c r="S83" s="118">
        <f t="shared" si="44"/>
        <v>0</v>
      </c>
      <c r="T83" s="118">
        <f t="shared" si="44"/>
        <v>0</v>
      </c>
      <c r="U83" s="118">
        <f t="shared" si="44"/>
        <v>0</v>
      </c>
      <c r="AA83" s="368"/>
    </row>
    <row r="84" spans="1:27" s="404" customFormat="1" ht="18" customHeight="1">
      <c r="A84" s="741" t="s">
        <v>133</v>
      </c>
      <c r="B84" s="694"/>
      <c r="C84" s="150" t="s">
        <v>134</v>
      </c>
      <c r="D84" s="777"/>
      <c r="E84" s="777"/>
      <c r="F84" s="118">
        <f>F83-资产负债表!U50</f>
        <v>0</v>
      </c>
      <c r="G84" s="118">
        <f>G83-F83</f>
        <v>0</v>
      </c>
      <c r="H84" s="118">
        <f>H83-G83</f>
        <v>0</v>
      </c>
      <c r="I84" s="118">
        <f>IF(财务基础数据!AM4=0,0,I83-H83)</f>
        <v>0</v>
      </c>
      <c r="J84" s="118">
        <f>IF(财务基础数据!AM4&lt;=1,0,J83-I83)</f>
        <v>0</v>
      </c>
      <c r="K84" s="118">
        <f>IF(财务基础数据!AM4&lt;=2,0,K83-J83)</f>
        <v>0</v>
      </c>
      <c r="L84" s="793"/>
      <c r="M84" s="794"/>
      <c r="N84" s="794"/>
      <c r="O84" s="794"/>
      <c r="P84" s="794"/>
      <c r="Q84" s="794"/>
      <c r="R84" s="794"/>
      <c r="S84" s="794"/>
      <c r="T84" s="794"/>
      <c r="U84" s="794"/>
      <c r="V84" s="674"/>
      <c r="AA84" s="368"/>
    </row>
    <row r="85" spans="1:27" s="404" customFormat="1" ht="18" customHeight="1">
      <c r="A85" s="741" t="s">
        <v>133</v>
      </c>
      <c r="B85" s="694"/>
      <c r="C85" s="150" t="s">
        <v>135</v>
      </c>
      <c r="D85" s="777"/>
      <c r="E85" s="777"/>
      <c r="F85" s="774"/>
      <c r="G85" s="433"/>
      <c r="H85" s="433"/>
      <c r="I85" s="461"/>
      <c r="J85" s="461"/>
      <c r="K85" s="461"/>
      <c r="L85" s="793"/>
      <c r="M85" s="794"/>
      <c r="N85" s="794"/>
      <c r="O85" s="794"/>
      <c r="P85" s="794"/>
      <c r="Q85" s="794"/>
      <c r="R85" s="794"/>
      <c r="S85" s="794"/>
      <c r="T85" s="794"/>
      <c r="U85" s="794"/>
      <c r="V85" s="674"/>
    </row>
    <row r="86" spans="1:27" s="404" customFormat="1" ht="18" customHeight="1">
      <c r="A86" s="741"/>
      <c r="B86" s="694"/>
      <c r="C86" s="150"/>
      <c r="F86" s="774"/>
      <c r="G86" s="433"/>
      <c r="H86" s="433"/>
      <c r="I86" s="461"/>
      <c r="J86" s="461"/>
      <c r="K86" s="461"/>
      <c r="L86" s="745"/>
      <c r="M86" s="745"/>
      <c r="N86" s="745"/>
      <c r="O86" s="745"/>
      <c r="P86" s="745"/>
      <c r="Q86" s="745"/>
      <c r="R86" s="745"/>
      <c r="S86" s="745"/>
      <c r="T86" s="745"/>
      <c r="U86" s="745"/>
      <c r="V86" s="674"/>
    </row>
    <row r="87" spans="1:27" ht="18" customHeight="1">
      <c r="B87" s="381" t="s">
        <v>141</v>
      </c>
      <c r="F87" s="118">
        <f>资产负债表!Y51</f>
        <v>0</v>
      </c>
      <c r="G87" s="118">
        <f>资产负债表!AC51</f>
        <v>0</v>
      </c>
      <c r="H87" s="118">
        <f>资产负债表!AG51</f>
        <v>0</v>
      </c>
      <c r="I87" s="118">
        <f>资产负债表!AH51</f>
        <v>0</v>
      </c>
      <c r="J87" s="118">
        <f>资产负债表!AI51</f>
        <v>0</v>
      </c>
      <c r="K87" s="118">
        <f>资产负债表!AJ51</f>
        <v>0</v>
      </c>
      <c r="L87" s="118">
        <f>IF(ISERROR(H87+L88+L89),0,H87+L88+L89)</f>
        <v>0</v>
      </c>
      <c r="M87" s="118">
        <f t="shared" ref="M87:U87" si="45">IF(ISERROR(L87+M88+M89),0,L87+M88+M89)</f>
        <v>0</v>
      </c>
      <c r="N87" s="118">
        <f t="shared" si="45"/>
        <v>0</v>
      </c>
      <c r="O87" s="118">
        <f t="shared" si="45"/>
        <v>0</v>
      </c>
      <c r="P87" s="118">
        <f t="shared" si="45"/>
        <v>0</v>
      </c>
      <c r="Q87" s="118">
        <f t="shared" si="45"/>
        <v>0</v>
      </c>
      <c r="R87" s="118">
        <f t="shared" si="45"/>
        <v>0</v>
      </c>
      <c r="S87" s="118">
        <f t="shared" si="45"/>
        <v>0</v>
      </c>
      <c r="T87" s="118">
        <f t="shared" si="45"/>
        <v>0</v>
      </c>
      <c r="U87" s="118">
        <f t="shared" si="45"/>
        <v>0</v>
      </c>
    </row>
    <row r="88" spans="1:27" ht="18" customHeight="1">
      <c r="A88" s="658" t="s">
        <v>133</v>
      </c>
      <c r="C88" s="150" t="s">
        <v>134</v>
      </c>
      <c r="D88" s="777"/>
      <c r="E88" s="777"/>
      <c r="F88" s="118">
        <f>F87-资产负债表!U51</f>
        <v>0</v>
      </c>
      <c r="G88" s="118">
        <f>G87-F87</f>
        <v>0</v>
      </c>
      <c r="H88" s="118">
        <f>H87-G87</f>
        <v>0</v>
      </c>
      <c r="I88" s="118">
        <f>IF(财务基础数据!AM4=0,0,I87-H87)</f>
        <v>0</v>
      </c>
      <c r="J88" s="118">
        <f>IF(财务基础数据!AM4&lt;=1,0,J87-I87)</f>
        <v>0</v>
      </c>
      <c r="K88" s="118">
        <f>IF(财务基础数据!AM4&lt;=2,0,K87-J87)</f>
        <v>0</v>
      </c>
      <c r="L88" s="793"/>
      <c r="M88" s="794"/>
      <c r="N88" s="794"/>
      <c r="O88" s="794"/>
      <c r="P88" s="794"/>
      <c r="Q88" s="794"/>
      <c r="R88" s="794"/>
      <c r="S88" s="794"/>
      <c r="T88" s="794"/>
      <c r="U88" s="794"/>
    </row>
    <row r="89" spans="1:27" ht="18" customHeight="1">
      <c r="A89" s="658" t="s">
        <v>133</v>
      </c>
      <c r="C89" s="150" t="s">
        <v>135</v>
      </c>
      <c r="D89" s="777"/>
      <c r="E89" s="777"/>
      <c r="F89" s="118"/>
      <c r="G89" s="118"/>
      <c r="H89" s="118"/>
      <c r="I89" s="118"/>
      <c r="J89" s="118"/>
      <c r="K89" s="118"/>
      <c r="L89" s="793"/>
      <c r="M89" s="794"/>
      <c r="N89" s="794"/>
      <c r="O89" s="794"/>
      <c r="P89" s="794"/>
      <c r="Q89" s="794"/>
      <c r="R89" s="794"/>
      <c r="S89" s="794"/>
      <c r="T89" s="794"/>
      <c r="U89" s="794"/>
    </row>
    <row r="90" spans="1:27" ht="18" customHeight="1">
      <c r="F90" s="118"/>
      <c r="G90" s="118"/>
      <c r="H90" s="118"/>
      <c r="I90" s="118"/>
      <c r="J90" s="118"/>
      <c r="K90" s="118"/>
      <c r="L90" s="510"/>
      <c r="M90" s="510"/>
      <c r="N90" s="510"/>
      <c r="O90" s="510"/>
      <c r="P90" s="510"/>
      <c r="Q90" s="510"/>
      <c r="R90" s="510"/>
      <c r="S90" s="510"/>
      <c r="T90" s="510"/>
      <c r="U90" s="510"/>
    </row>
    <row r="91" spans="1:27" ht="18" customHeight="1">
      <c r="B91" s="381" t="s">
        <v>142</v>
      </c>
      <c r="F91" s="118">
        <f>资产负债表!Y61</f>
        <v>0</v>
      </c>
      <c r="G91" s="118">
        <f>资产负债表!AC61</f>
        <v>0</v>
      </c>
      <c r="H91" s="118">
        <f>资产负债表!AG61</f>
        <v>0</v>
      </c>
      <c r="I91" s="118">
        <f>资产负债表!AH61</f>
        <v>0</v>
      </c>
      <c r="J91" s="118">
        <f>资产负债表!AI61</f>
        <v>0</v>
      </c>
      <c r="K91" s="118">
        <f>资产负债表!AJ61</f>
        <v>0</v>
      </c>
      <c r="L91" s="118">
        <f>IF(ISERROR(H91+L92),0,H91+L92)</f>
        <v>0</v>
      </c>
      <c r="M91" s="118">
        <f t="shared" ref="M91:U91" si="46">IF(ISERROR(L91+M92),0,L91+M92)</f>
        <v>0</v>
      </c>
      <c r="N91" s="118">
        <f t="shared" si="46"/>
        <v>0</v>
      </c>
      <c r="O91" s="118">
        <f t="shared" si="46"/>
        <v>0</v>
      </c>
      <c r="P91" s="118">
        <f t="shared" si="46"/>
        <v>0</v>
      </c>
      <c r="Q91" s="118">
        <f t="shared" si="46"/>
        <v>0</v>
      </c>
      <c r="R91" s="118">
        <f t="shared" si="46"/>
        <v>0</v>
      </c>
      <c r="S91" s="118">
        <f t="shared" si="46"/>
        <v>0</v>
      </c>
      <c r="T91" s="118">
        <f t="shared" si="46"/>
        <v>0</v>
      </c>
      <c r="U91" s="118">
        <f t="shared" si="46"/>
        <v>0</v>
      </c>
    </row>
    <row r="92" spans="1:27" ht="18" customHeight="1">
      <c r="A92" s="658" t="s">
        <v>133</v>
      </c>
      <c r="C92" s="150" t="s">
        <v>138</v>
      </c>
      <c r="D92" s="777"/>
      <c r="E92" s="777"/>
      <c r="F92" s="118">
        <f>F91-资产负债表!U61</f>
        <v>0</v>
      </c>
      <c r="G92" s="118">
        <f>G91-F91</f>
        <v>0</v>
      </c>
      <c r="H92" s="118">
        <f>H91-G91</f>
        <v>0</v>
      </c>
      <c r="I92" s="118">
        <f>IF(财务基础数据!AM4=0,0,I91-H91)</f>
        <v>0</v>
      </c>
      <c r="J92" s="118">
        <f>IF(财务基础数据!AM4&lt;=1,0,J91-I91)</f>
        <v>0</v>
      </c>
      <c r="K92" s="118">
        <f>IF(财务基础数据!AM4&lt;=2,0,K91-J91)</f>
        <v>0</v>
      </c>
      <c r="L92" s="794"/>
      <c r="M92" s="794"/>
      <c r="N92" s="794"/>
      <c r="O92" s="794"/>
      <c r="P92" s="794"/>
      <c r="Q92" s="794"/>
      <c r="R92" s="794"/>
      <c r="S92" s="794"/>
      <c r="T92" s="794"/>
      <c r="U92" s="794"/>
    </row>
    <row r="93" spans="1:27" s="404" customFormat="1" ht="18" customHeight="1">
      <c r="A93" s="778" t="s">
        <v>133</v>
      </c>
      <c r="B93" s="779"/>
      <c r="C93" s="780" t="s">
        <v>143</v>
      </c>
      <c r="D93" s="781"/>
      <c r="E93" s="781"/>
      <c r="F93" s="782"/>
      <c r="G93" s="782"/>
      <c r="H93" s="782"/>
      <c r="I93" s="135"/>
      <c r="J93" s="135"/>
      <c r="K93" s="135"/>
      <c r="L93" s="795"/>
      <c r="M93" s="795"/>
      <c r="N93" s="795"/>
      <c r="O93" s="795"/>
      <c r="P93" s="795"/>
      <c r="Q93" s="795"/>
      <c r="R93" s="795"/>
      <c r="S93" s="795"/>
      <c r="T93" s="795"/>
      <c r="U93" s="795"/>
      <c r="V93" s="674"/>
    </row>
    <row r="94" spans="1:27" s="404" customFormat="1" ht="18" customHeight="1">
      <c r="A94" s="741"/>
      <c r="B94" s="694"/>
      <c r="C94" s="150"/>
      <c r="F94" s="745"/>
      <c r="G94" s="745"/>
      <c r="H94" s="745"/>
      <c r="I94" s="118"/>
      <c r="J94" s="118"/>
      <c r="K94" s="118"/>
      <c r="L94" s="510"/>
      <c r="M94" s="510"/>
      <c r="N94" s="510"/>
      <c r="O94" s="510"/>
      <c r="P94" s="510"/>
      <c r="Q94" s="510"/>
      <c r="R94" s="510"/>
      <c r="S94" s="510"/>
      <c r="T94" s="510"/>
      <c r="U94" s="510"/>
      <c r="V94" s="674"/>
    </row>
    <row r="95" spans="1:27" ht="18" hidden="1" customHeight="1">
      <c r="B95" s="670"/>
      <c r="D95" s="155"/>
      <c r="E95" s="155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</row>
    <row r="96" spans="1:27" ht="18" hidden="1" customHeight="1"/>
    <row r="97" spans="1:22" s="404" customFormat="1" ht="18" hidden="1" customHeight="1">
      <c r="A97" s="741"/>
      <c r="B97" s="694"/>
      <c r="C97" s="680"/>
      <c r="F97" s="770"/>
      <c r="G97" s="763"/>
      <c r="H97" s="763"/>
      <c r="I97" s="770"/>
      <c r="J97" s="770"/>
      <c r="K97" s="770"/>
      <c r="L97" s="770"/>
      <c r="M97" s="763"/>
      <c r="N97" s="763"/>
      <c r="O97" s="763"/>
      <c r="P97" s="763"/>
      <c r="Q97" s="763"/>
      <c r="R97" s="763"/>
      <c r="S97" s="763"/>
      <c r="T97" s="763"/>
      <c r="U97" s="763"/>
      <c r="V97" s="674"/>
    </row>
    <row r="98" spans="1:22" ht="18" customHeight="1">
      <c r="B98" s="670" t="s">
        <v>144</v>
      </c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</row>
    <row r="99" spans="1:22" s="404" customFormat="1" ht="18" customHeight="1">
      <c r="A99" s="741"/>
      <c r="B99" s="381" t="s">
        <v>145</v>
      </c>
      <c r="C99" s="680"/>
      <c r="F99" s="118">
        <f>资产负债表!Y24</f>
        <v>0</v>
      </c>
      <c r="G99" s="118">
        <f>资产负债表!AC24</f>
        <v>0</v>
      </c>
      <c r="H99" s="118">
        <f>资产负债表!AG24</f>
        <v>0</v>
      </c>
      <c r="I99" s="118">
        <f>资产负债表!AH24</f>
        <v>0</v>
      </c>
      <c r="J99" s="118">
        <f>资产负债表!AI24</f>
        <v>0</v>
      </c>
      <c r="K99" s="118">
        <f>资产负债表!AJ24</f>
        <v>0</v>
      </c>
      <c r="L99" s="118">
        <f>IF(ISERROR(H99+L100),0,H99+L100)</f>
        <v>0</v>
      </c>
      <c r="M99" s="118">
        <f>IF(ISERROR(L99+M100),0,L99+M100)</f>
        <v>0</v>
      </c>
      <c r="N99" s="118">
        <f t="shared" ref="N99:U99" si="47">IF(ISERROR(M99+N100),0,M99+N100)</f>
        <v>0</v>
      </c>
      <c r="O99" s="118">
        <f t="shared" si="47"/>
        <v>0</v>
      </c>
      <c r="P99" s="118">
        <f t="shared" si="47"/>
        <v>0</v>
      </c>
      <c r="Q99" s="118">
        <f t="shared" si="47"/>
        <v>0</v>
      </c>
      <c r="R99" s="118">
        <f t="shared" si="47"/>
        <v>0</v>
      </c>
      <c r="S99" s="118">
        <f t="shared" si="47"/>
        <v>0</v>
      </c>
      <c r="T99" s="118">
        <f t="shared" si="47"/>
        <v>0</v>
      </c>
      <c r="U99" s="118">
        <f t="shared" si="47"/>
        <v>0</v>
      </c>
      <c r="V99" s="118"/>
    </row>
    <row r="100" spans="1:22" s="404" customFormat="1" ht="18" customHeight="1">
      <c r="A100" s="743" t="s">
        <v>133</v>
      </c>
      <c r="B100" s="694"/>
      <c r="C100" s="694" t="s">
        <v>146</v>
      </c>
      <c r="D100" s="777"/>
      <c r="E100" s="777"/>
      <c r="F100" s="118">
        <f>F99-资产负债表!U24</f>
        <v>0</v>
      </c>
      <c r="G100" s="118">
        <f>G99-F99</f>
        <v>0</v>
      </c>
      <c r="H100" s="118">
        <f>H99-G99</f>
        <v>0</v>
      </c>
      <c r="I100" s="118">
        <f>IF(财务基础数据!AM4=0,0,I99-H99)</f>
        <v>0</v>
      </c>
      <c r="J100" s="118">
        <f>IF(财务基础数据!AM4&lt;=1,0,J99-I99)</f>
        <v>0</v>
      </c>
      <c r="K100" s="118">
        <f>IF(财务基础数据!AM4&lt;=2,0,K99-J99)</f>
        <v>0</v>
      </c>
      <c r="L100" s="794"/>
      <c r="M100" s="794"/>
      <c r="N100" s="794"/>
      <c r="O100" s="794"/>
      <c r="P100" s="794"/>
      <c r="Q100" s="794"/>
      <c r="R100" s="794"/>
      <c r="S100" s="794"/>
      <c r="T100" s="794"/>
      <c r="U100" s="794"/>
      <c r="V100" s="674"/>
    </row>
    <row r="101" spans="1:22" ht="18" customHeight="1">
      <c r="D101" s="777"/>
      <c r="E101" s="777"/>
      <c r="F101" s="118"/>
      <c r="G101" s="118"/>
      <c r="H101" s="118"/>
      <c r="I101" s="461"/>
      <c r="J101" s="461"/>
      <c r="K101" s="461"/>
      <c r="L101" s="796"/>
      <c r="M101" s="510"/>
      <c r="N101" s="510"/>
      <c r="O101" s="510"/>
      <c r="P101" s="510"/>
      <c r="Q101" s="510"/>
      <c r="R101" s="510"/>
      <c r="S101" s="510"/>
      <c r="T101" s="510"/>
      <c r="U101" s="510"/>
    </row>
    <row r="102" spans="1:22" s="404" customFormat="1" ht="18" customHeight="1">
      <c r="A102" s="741"/>
      <c r="B102" s="381" t="s">
        <v>147</v>
      </c>
      <c r="C102" s="694"/>
      <c r="F102" s="118">
        <f>资产负债表!Y25</f>
        <v>0</v>
      </c>
      <c r="G102" s="118">
        <f>资产负债表!AC25</f>
        <v>0</v>
      </c>
      <c r="H102" s="118">
        <f>资产负债表!AG25</f>
        <v>0</v>
      </c>
      <c r="I102" s="118">
        <f>资产负债表!AH25</f>
        <v>0</v>
      </c>
      <c r="J102" s="118">
        <f>资产负债表!AI25</f>
        <v>0</v>
      </c>
      <c r="K102" s="118">
        <f>资产负债表!AJ25</f>
        <v>0</v>
      </c>
      <c r="L102" s="118">
        <f>IF(ISERROR(H102+L103),0,H102+L103)</f>
        <v>0</v>
      </c>
      <c r="M102" s="118">
        <f>IF(ISERROR(L102+M103),0,L102+M103)</f>
        <v>0</v>
      </c>
      <c r="N102" s="118">
        <f>IF(ISERROR(M102+N103),0,M102+N103)</f>
        <v>0</v>
      </c>
      <c r="O102" s="118">
        <f t="shared" ref="O102:U102" si="48">IF(ISERROR(N102+O103),0,N102+O103)</f>
        <v>0</v>
      </c>
      <c r="P102" s="118">
        <f t="shared" si="48"/>
        <v>0</v>
      </c>
      <c r="Q102" s="118">
        <f t="shared" si="48"/>
        <v>0</v>
      </c>
      <c r="R102" s="118">
        <f t="shared" si="48"/>
        <v>0</v>
      </c>
      <c r="S102" s="118">
        <f t="shared" si="48"/>
        <v>0</v>
      </c>
      <c r="T102" s="118">
        <f t="shared" si="48"/>
        <v>0</v>
      </c>
      <c r="U102" s="118">
        <f t="shared" si="48"/>
        <v>0</v>
      </c>
      <c r="V102" s="118"/>
    </row>
    <row r="103" spans="1:22" s="404" customFormat="1" ht="18" customHeight="1">
      <c r="A103" s="743" t="s">
        <v>133</v>
      </c>
      <c r="B103" s="694"/>
      <c r="C103" s="694" t="s">
        <v>146</v>
      </c>
      <c r="D103" s="777"/>
      <c r="E103" s="777"/>
      <c r="F103" s="118">
        <f>F102-资产负债表!U25</f>
        <v>0</v>
      </c>
      <c r="G103" s="118">
        <f>G102-F102</f>
        <v>0</v>
      </c>
      <c r="H103" s="118">
        <f>H102-G102</f>
        <v>0</v>
      </c>
      <c r="I103" s="118">
        <f>IF(财务基础数据!AM4=0,0,I102-H102)</f>
        <v>0</v>
      </c>
      <c r="J103" s="118">
        <f>IF(财务基础数据!AM4&lt;=1,0,J102-I102)</f>
        <v>0</v>
      </c>
      <c r="K103" s="118">
        <f>IF(财务基础数据!AM4&lt;=2,0,K102-J102)</f>
        <v>0</v>
      </c>
      <c r="L103" s="794"/>
      <c r="M103" s="794"/>
      <c r="N103" s="794"/>
      <c r="O103" s="794"/>
      <c r="P103" s="794"/>
      <c r="Q103" s="794"/>
      <c r="R103" s="794"/>
      <c r="S103" s="794"/>
      <c r="T103" s="794"/>
      <c r="U103" s="794"/>
      <c r="V103" s="674"/>
    </row>
    <row r="104" spans="1:22" ht="18" customHeight="1">
      <c r="D104" s="777"/>
      <c r="E104" s="777"/>
      <c r="F104" s="118"/>
      <c r="G104" s="118"/>
      <c r="H104" s="118"/>
      <c r="I104" s="461"/>
      <c r="J104" s="461"/>
      <c r="K104" s="461"/>
      <c r="L104" s="796"/>
      <c r="M104" s="510"/>
      <c r="N104" s="510"/>
      <c r="O104" s="510"/>
      <c r="P104" s="510"/>
      <c r="Q104" s="510"/>
      <c r="R104" s="510"/>
      <c r="S104" s="510"/>
      <c r="T104" s="510"/>
      <c r="U104" s="510"/>
    </row>
    <row r="105" spans="1:22" s="404" customFormat="1" ht="18" customHeight="1">
      <c r="A105" s="741"/>
      <c r="B105" s="381" t="s">
        <v>148</v>
      </c>
      <c r="C105" s="694"/>
      <c r="F105" s="118">
        <f>资产负债表!Y26</f>
        <v>0</v>
      </c>
      <c r="G105" s="118">
        <f>资产负债表!AC26</f>
        <v>0</v>
      </c>
      <c r="H105" s="118">
        <f>资产负债表!AG26</f>
        <v>0</v>
      </c>
      <c r="I105" s="118">
        <f>资产负债表!AH26</f>
        <v>0</v>
      </c>
      <c r="J105" s="118">
        <f>资产负债表!AI26</f>
        <v>0</v>
      </c>
      <c r="K105" s="118">
        <f>资产负债表!AJ26</f>
        <v>0</v>
      </c>
      <c r="L105" s="118">
        <f>IF(ISERROR(H105+L106),0,H105+L106)</f>
        <v>0</v>
      </c>
      <c r="M105" s="118">
        <f t="shared" ref="M105:U105" si="49">IF(ISERROR(L105+M106),0,L105+M106)</f>
        <v>0</v>
      </c>
      <c r="N105" s="118">
        <f t="shared" si="49"/>
        <v>0</v>
      </c>
      <c r="O105" s="118">
        <f t="shared" si="49"/>
        <v>0</v>
      </c>
      <c r="P105" s="118">
        <f t="shared" si="49"/>
        <v>0</v>
      </c>
      <c r="Q105" s="118">
        <f t="shared" si="49"/>
        <v>0</v>
      </c>
      <c r="R105" s="118">
        <f t="shared" si="49"/>
        <v>0</v>
      </c>
      <c r="S105" s="118">
        <f t="shared" si="49"/>
        <v>0</v>
      </c>
      <c r="T105" s="118">
        <f t="shared" si="49"/>
        <v>0</v>
      </c>
      <c r="U105" s="118">
        <f t="shared" si="49"/>
        <v>0</v>
      </c>
      <c r="V105" s="674"/>
    </row>
    <row r="106" spans="1:22" ht="18" customHeight="1">
      <c r="A106" s="743" t="s">
        <v>133</v>
      </c>
      <c r="C106" s="694" t="s">
        <v>146</v>
      </c>
      <c r="D106" s="777"/>
      <c r="E106" s="777"/>
      <c r="F106" s="118">
        <f>F105-资产负债表!U26</f>
        <v>0</v>
      </c>
      <c r="G106" s="118">
        <f>G105-F105</f>
        <v>0</v>
      </c>
      <c r="H106" s="118">
        <f>H105-G105</f>
        <v>0</v>
      </c>
      <c r="I106" s="118">
        <f>IF(财务基础数据!AM4=0,0,I105-H105)</f>
        <v>0</v>
      </c>
      <c r="J106" s="118">
        <f>IF(财务基础数据!AM4&lt;=1,0,J105-I105)</f>
        <v>0</v>
      </c>
      <c r="K106" s="118">
        <f>IF(财务基础数据!AM4&lt;=2,0,K105-J105)</f>
        <v>0</v>
      </c>
      <c r="L106" s="794"/>
      <c r="M106" s="794"/>
      <c r="N106" s="794"/>
      <c r="O106" s="794"/>
      <c r="P106" s="794"/>
      <c r="Q106" s="794"/>
      <c r="R106" s="794"/>
      <c r="S106" s="794"/>
      <c r="T106" s="794"/>
      <c r="U106" s="794"/>
    </row>
    <row r="107" spans="1:22" ht="18" customHeight="1">
      <c r="C107" s="694"/>
      <c r="F107" s="118"/>
      <c r="G107" s="118"/>
      <c r="H107" s="118"/>
      <c r="I107" s="461"/>
      <c r="J107" s="461"/>
      <c r="K107" s="461"/>
      <c r="L107" s="510"/>
      <c r="M107" s="510"/>
      <c r="N107" s="510"/>
      <c r="O107" s="510"/>
      <c r="P107" s="510"/>
      <c r="Q107" s="510"/>
      <c r="R107" s="510"/>
      <c r="S107" s="510"/>
      <c r="T107" s="510"/>
      <c r="U107" s="510"/>
    </row>
    <row r="108" spans="1:22" s="404" customFormat="1" ht="18" customHeight="1">
      <c r="A108" s="741"/>
      <c r="B108" s="381" t="s">
        <v>149</v>
      </c>
      <c r="C108" s="694"/>
      <c r="F108" s="118">
        <f>资产负债表!Y28</f>
        <v>0</v>
      </c>
      <c r="G108" s="118">
        <f>资产负债表!AC28</f>
        <v>0</v>
      </c>
      <c r="H108" s="118">
        <f>资产负债表!AG28</f>
        <v>0</v>
      </c>
      <c r="I108" s="118">
        <f>资产负债表!AH28</f>
        <v>0</v>
      </c>
      <c r="J108" s="118">
        <f>资产负债表!AI28</f>
        <v>0</v>
      </c>
      <c r="K108" s="118">
        <f>资产负债表!AJ28</f>
        <v>0</v>
      </c>
      <c r="L108" s="118">
        <f>IF(ISERROR(H108+L109),0,H108+L109)</f>
        <v>0</v>
      </c>
      <c r="M108" s="118">
        <f>IF(ISERROR(L108+M109),0,L108+M109)</f>
        <v>0</v>
      </c>
      <c r="N108" s="118">
        <f t="shared" ref="N108:U108" si="50">IF(ISERROR(M108+N109),0,M108+N109)</f>
        <v>0</v>
      </c>
      <c r="O108" s="118">
        <f t="shared" si="50"/>
        <v>0</v>
      </c>
      <c r="P108" s="118">
        <f t="shared" si="50"/>
        <v>0</v>
      </c>
      <c r="Q108" s="118">
        <f t="shared" si="50"/>
        <v>0</v>
      </c>
      <c r="R108" s="118">
        <f t="shared" si="50"/>
        <v>0</v>
      </c>
      <c r="S108" s="118">
        <f t="shared" si="50"/>
        <v>0</v>
      </c>
      <c r="T108" s="118">
        <f t="shared" si="50"/>
        <v>0</v>
      </c>
      <c r="U108" s="118">
        <f t="shared" si="50"/>
        <v>0</v>
      </c>
      <c r="V108" s="118"/>
    </row>
    <row r="109" spans="1:22" s="404" customFormat="1" ht="18" customHeight="1">
      <c r="A109" s="743" t="s">
        <v>133</v>
      </c>
      <c r="B109" s="694"/>
      <c r="C109" s="694" t="s">
        <v>146</v>
      </c>
      <c r="D109" s="777"/>
      <c r="E109" s="777"/>
      <c r="F109" s="118">
        <f>F108-资产负债表!U28</f>
        <v>0</v>
      </c>
      <c r="G109" s="118">
        <f>G108-F108</f>
        <v>0</v>
      </c>
      <c r="H109" s="118">
        <f>H108-G108</f>
        <v>0</v>
      </c>
      <c r="I109" s="118">
        <f>IF(财务基础数据!AM4=0,0,I108-H108)</f>
        <v>0</v>
      </c>
      <c r="J109" s="118">
        <f>IF(财务基础数据!AM4&lt;=1,0,J108-I108)</f>
        <v>0</v>
      </c>
      <c r="K109" s="118">
        <f>IF(财务基础数据!AM4&lt;=2,0,K108-J108)</f>
        <v>0</v>
      </c>
      <c r="L109" s="794"/>
      <c r="M109" s="794"/>
      <c r="N109" s="794"/>
      <c r="O109" s="794"/>
      <c r="P109" s="794"/>
      <c r="Q109" s="794"/>
      <c r="R109" s="794"/>
      <c r="S109" s="794"/>
      <c r="T109" s="794"/>
      <c r="U109" s="794"/>
      <c r="V109" s="674"/>
    </row>
    <row r="110" spans="1:22" s="404" customFormat="1" ht="18" customHeight="1">
      <c r="A110" s="741"/>
      <c r="B110" s="694"/>
      <c r="C110" s="694"/>
      <c r="F110" s="118"/>
      <c r="G110" s="118"/>
      <c r="H110" s="433"/>
      <c r="I110" s="774"/>
      <c r="J110" s="774"/>
      <c r="K110" s="774"/>
      <c r="L110" s="774"/>
      <c r="M110" s="433"/>
      <c r="N110" s="433"/>
      <c r="O110" s="433"/>
      <c r="P110" s="433"/>
      <c r="Q110" s="433"/>
      <c r="R110" s="433"/>
      <c r="S110" s="433"/>
      <c r="T110" s="433"/>
      <c r="U110" s="433"/>
      <c r="V110" s="674"/>
    </row>
    <row r="111" spans="1:22" s="404" customFormat="1" ht="18" customHeight="1">
      <c r="A111" s="741"/>
      <c r="B111" s="381" t="s">
        <v>150</v>
      </c>
      <c r="C111" s="694"/>
      <c r="F111" s="118">
        <f>资产负债表!Y29</f>
        <v>0</v>
      </c>
      <c r="G111" s="118">
        <f>资产负债表!AC29</f>
        <v>0</v>
      </c>
      <c r="H111" s="118">
        <f>资产负债表!AG29</f>
        <v>0</v>
      </c>
      <c r="I111" s="118">
        <f>资产负债表!AH29</f>
        <v>0</v>
      </c>
      <c r="J111" s="118">
        <f>资产负债表!AI29</f>
        <v>0</v>
      </c>
      <c r="K111" s="118">
        <f>资产负债表!AJ29</f>
        <v>0</v>
      </c>
      <c r="L111" s="118">
        <f>IF(ISERROR(H111+L112+L113),0,H111+L112+L113)</f>
        <v>0</v>
      </c>
      <c r="M111" s="118">
        <f>IF(ISERROR(L111+M112+M113),0,L111+M112+M113)</f>
        <v>0</v>
      </c>
      <c r="N111" s="118">
        <f>IF(ISERROR(M111+N112+N113),0,M111+N112+N113)</f>
        <v>0</v>
      </c>
      <c r="O111" s="118">
        <f t="shared" ref="O111:U111" si="51">IF(ISERROR(N111+O112+O113),0,N111+O112+O113)</f>
        <v>0</v>
      </c>
      <c r="P111" s="118">
        <f t="shared" si="51"/>
        <v>0</v>
      </c>
      <c r="Q111" s="118">
        <f t="shared" si="51"/>
        <v>0</v>
      </c>
      <c r="R111" s="118">
        <f t="shared" si="51"/>
        <v>0</v>
      </c>
      <c r="S111" s="118">
        <f t="shared" si="51"/>
        <v>0</v>
      </c>
      <c r="T111" s="118">
        <f t="shared" si="51"/>
        <v>0</v>
      </c>
      <c r="U111" s="118">
        <f t="shared" si="51"/>
        <v>0</v>
      </c>
      <c r="V111" s="118"/>
    </row>
    <row r="112" spans="1:22" s="404" customFormat="1" ht="18" customHeight="1">
      <c r="A112" s="743" t="s">
        <v>133</v>
      </c>
      <c r="B112" s="694"/>
      <c r="C112" s="694" t="s">
        <v>146</v>
      </c>
      <c r="D112" s="777"/>
      <c r="E112" s="777"/>
      <c r="F112" s="118">
        <f>F111-资产负债表!U29</f>
        <v>0</v>
      </c>
      <c r="G112" s="118">
        <f>G111-F111</f>
        <v>0</v>
      </c>
      <c r="H112" s="118">
        <f>H111-G111</f>
        <v>0</v>
      </c>
      <c r="I112" s="118">
        <f>IF(财务基础数据!AM4=0,0,I111-H111)</f>
        <v>0</v>
      </c>
      <c r="J112" s="118">
        <f>IF(财务基础数据!AM4&lt;=1,0,J111-I111)</f>
        <v>0</v>
      </c>
      <c r="K112" s="118">
        <f>IF(财务基础数据!AM4&lt;=2,0,K111-J111)</f>
        <v>0</v>
      </c>
      <c r="L112" s="794"/>
      <c r="M112" s="794"/>
      <c r="N112" s="794"/>
      <c r="O112" s="794"/>
      <c r="P112" s="794"/>
      <c r="Q112" s="794"/>
      <c r="R112" s="794"/>
      <c r="S112" s="794"/>
      <c r="T112" s="794"/>
      <c r="U112" s="794"/>
      <c r="V112" s="674"/>
    </row>
    <row r="113" spans="1:29" ht="18" customHeight="1">
      <c r="A113" s="658" t="s">
        <v>133</v>
      </c>
      <c r="C113" s="150" t="s">
        <v>135</v>
      </c>
      <c r="D113" s="777"/>
      <c r="E113" s="777"/>
      <c r="F113" s="118"/>
      <c r="G113" s="118"/>
      <c r="H113" s="118"/>
      <c r="I113" s="461"/>
      <c r="J113" s="461"/>
      <c r="K113" s="461"/>
      <c r="L113" s="793"/>
      <c r="M113" s="794"/>
      <c r="N113" s="794"/>
      <c r="O113" s="794"/>
      <c r="P113" s="794"/>
      <c r="Q113" s="794"/>
      <c r="R113" s="794"/>
      <c r="S113" s="794"/>
      <c r="T113" s="794"/>
      <c r="U113" s="794"/>
    </row>
    <row r="114" spans="1:29" ht="18" customHeight="1">
      <c r="C114" s="694"/>
      <c r="F114" s="118"/>
      <c r="G114" s="118"/>
      <c r="H114" s="118"/>
      <c r="I114" s="762"/>
      <c r="J114" s="762"/>
      <c r="K114" s="762"/>
      <c r="L114" s="762"/>
      <c r="M114" s="118"/>
      <c r="N114" s="118"/>
      <c r="O114" s="118"/>
      <c r="P114" s="118"/>
      <c r="Q114" s="118"/>
      <c r="R114" s="118"/>
      <c r="S114" s="118"/>
      <c r="T114" s="118"/>
      <c r="U114" s="118"/>
    </row>
    <row r="115" spans="1:29" ht="18" customHeight="1">
      <c r="B115" s="381" t="s">
        <v>151</v>
      </c>
      <c r="C115" s="694"/>
      <c r="F115" s="118">
        <f>资产负债表!Y39</f>
        <v>0</v>
      </c>
      <c r="G115" s="118">
        <f>资产负债表!AC39</f>
        <v>0</v>
      </c>
      <c r="H115" s="118">
        <f>资产负债表!AG39</f>
        <v>0</v>
      </c>
      <c r="I115" s="118">
        <f>资产负债表!AH39</f>
        <v>0</v>
      </c>
      <c r="J115" s="118">
        <f>资产负债表!AI39</f>
        <v>0</v>
      </c>
      <c r="K115" s="118">
        <f>资产负债表!AJ39</f>
        <v>0</v>
      </c>
      <c r="L115" s="118">
        <f>IF(ISERROR(H115+L116-L117),0,H115+L116-L117)</f>
        <v>0</v>
      </c>
      <c r="M115" s="118">
        <f>IF(ISERROR(L115+M116-M117),0,L115+M116-M117)</f>
        <v>0</v>
      </c>
      <c r="N115" s="118">
        <f>IF(ISERROR(M115+N116-N117),0,M115+N116-N117)</f>
        <v>0</v>
      </c>
      <c r="O115" s="118">
        <f t="shared" ref="O115:U115" si="52">IF(ISERROR(N115+O116-O117),0,N115+O116-O117)</f>
        <v>0</v>
      </c>
      <c r="P115" s="118">
        <f t="shared" si="52"/>
        <v>0</v>
      </c>
      <c r="Q115" s="118">
        <f t="shared" si="52"/>
        <v>0</v>
      </c>
      <c r="R115" s="118">
        <f t="shared" si="52"/>
        <v>0</v>
      </c>
      <c r="S115" s="118">
        <f t="shared" si="52"/>
        <v>0</v>
      </c>
      <c r="T115" s="118">
        <f t="shared" si="52"/>
        <v>0</v>
      </c>
      <c r="U115" s="118">
        <f t="shared" si="52"/>
        <v>0</v>
      </c>
    </row>
    <row r="116" spans="1:29" ht="18" customHeight="1">
      <c r="A116" s="743" t="s">
        <v>133</v>
      </c>
      <c r="C116" s="694" t="s">
        <v>146</v>
      </c>
      <c r="D116" s="777"/>
      <c r="E116" s="777"/>
      <c r="F116" s="118">
        <f>F115-资产负债表!U39+F117</f>
        <v>0</v>
      </c>
      <c r="G116" s="118">
        <f>G115-F115+G117</f>
        <v>0</v>
      </c>
      <c r="H116" s="118">
        <f>H115-G115+H117</f>
        <v>0</v>
      </c>
      <c r="I116" s="118"/>
      <c r="J116" s="118">
        <f>IF(财务基础数据!AM4&lt;=1,0,J115-H115+J117)</f>
        <v>0</v>
      </c>
      <c r="K116" s="118"/>
      <c r="L116" s="794"/>
      <c r="M116" s="794"/>
      <c r="N116" s="794"/>
      <c r="O116" s="794"/>
      <c r="P116" s="794"/>
      <c r="Q116" s="794"/>
      <c r="R116" s="794"/>
      <c r="S116" s="794"/>
      <c r="T116" s="794"/>
      <c r="U116" s="794"/>
    </row>
    <row r="117" spans="1:29" ht="18" customHeight="1">
      <c r="A117" s="743" t="s">
        <v>133</v>
      </c>
      <c r="C117" s="694" t="s">
        <v>152</v>
      </c>
      <c r="D117" s="777"/>
      <c r="E117" s="777"/>
      <c r="F117" s="118">
        <f>现金流量表!Y14</f>
        <v>0</v>
      </c>
      <c r="G117" s="118">
        <f>现金流量表!AC14</f>
        <v>0</v>
      </c>
      <c r="H117" s="118">
        <f>现金流量表!AG14</f>
        <v>0</v>
      </c>
      <c r="I117" s="118"/>
      <c r="J117" s="118">
        <f>IF(财务基础数据!AM4&lt;=1,0,现金流量表!AI14)</f>
        <v>0</v>
      </c>
      <c r="K117" s="118"/>
      <c r="L117" s="794"/>
      <c r="M117" s="794"/>
      <c r="N117" s="794"/>
      <c r="O117" s="794"/>
      <c r="P117" s="794"/>
      <c r="Q117" s="794"/>
      <c r="R117" s="794"/>
      <c r="S117" s="794"/>
      <c r="T117" s="794"/>
      <c r="U117" s="794"/>
    </row>
    <row r="118" spans="1:29" ht="18" customHeight="1">
      <c r="A118" s="783"/>
      <c r="B118" s="784"/>
      <c r="C118" s="779"/>
      <c r="D118" s="781"/>
      <c r="E118" s="781"/>
      <c r="F118" s="135"/>
      <c r="G118" s="135"/>
      <c r="H118" s="135"/>
      <c r="I118" s="797"/>
      <c r="J118" s="797"/>
      <c r="K118" s="797"/>
      <c r="L118" s="798"/>
      <c r="M118" s="798"/>
      <c r="N118" s="798"/>
      <c r="O118" s="798"/>
      <c r="P118" s="798"/>
      <c r="Q118" s="798"/>
      <c r="R118" s="798"/>
      <c r="S118" s="798"/>
      <c r="T118" s="798"/>
      <c r="U118" s="798"/>
    </row>
    <row r="119" spans="1:29" s="755" customFormat="1" ht="18" customHeight="1">
      <c r="A119" s="785"/>
      <c r="B119" s="670" t="s">
        <v>153</v>
      </c>
      <c r="F119" s="786"/>
      <c r="G119" s="786"/>
      <c r="H119" s="786"/>
      <c r="I119" s="114"/>
      <c r="J119" s="114"/>
      <c r="K119" s="114"/>
      <c r="L119" s="114">
        <f>IF(ISERROR(L73+L77-L85-L89+L113+投资与减值!L96+投资与减值!L139),0,(L73+L77-L85-L89+L113+投资与减值!L96+投资与减值!L139))</f>
        <v>0</v>
      </c>
      <c r="M119" s="114">
        <f>IF(ISERROR(M73+M77-M85-M89+M113+投资与减值!M96+投资与减值!M139),0,(M73+M77-M85-M89+M113+投资与减值!M96+投资与减值!M139))</f>
        <v>0</v>
      </c>
      <c r="N119" s="114">
        <f>IF(ISERROR(N73+N77-N85-N89+N113+投资与减值!N96+投资与减值!N139),0,(N73+N77-N85-N89+N113+投资与减值!N96+投资与减值!N139))</f>
        <v>0</v>
      </c>
      <c r="O119" s="114">
        <f>IF(ISERROR(O73+O77-O85-O89+O113+投资与减值!O96+投资与减值!O139),0,(O73+O77-O85-O89+O113+投资与减值!O96+投资与减值!O139))</f>
        <v>0</v>
      </c>
      <c r="P119" s="114">
        <f>IF(ISERROR(P73+P77-P85-P89+P113+投资与减值!P96+投资与减值!P139),0,(P73+P77-P85-P89+P113+投资与减值!P96+投资与减值!P139))</f>
        <v>0</v>
      </c>
      <c r="Q119" s="114">
        <f>IF(ISERROR(Q73+Q77-Q85-Q89+Q113+投资与减值!Q96+投资与减值!Q139),0,(Q73+Q77-Q85-Q89+Q113+投资与减值!Q96+投资与减值!Q139))</f>
        <v>0</v>
      </c>
      <c r="R119" s="114">
        <f>IF(ISERROR(R73+R77-R85-R89+R113+投资与减值!R96+投资与减值!R139),0,(R73+R77-R85-R89+R113+投资与减值!R96+投资与减值!R139))</f>
        <v>0</v>
      </c>
      <c r="S119" s="114">
        <f>IF(ISERROR(S73+S77-S85-S89+S113+投资与减值!S96+投资与减值!S139),0,(S73+S77-S85-S89+S113+投资与减值!S96+投资与减值!S139))</f>
        <v>0</v>
      </c>
      <c r="T119" s="114">
        <f>IF(ISERROR(T73+T77-T85-T89+T113+投资与减值!T96+投资与减值!T139),0,(T73+T77-T85-T89+T113+投资与减值!T96+投资与减值!T139))</f>
        <v>0</v>
      </c>
      <c r="U119" s="114">
        <f>IF(ISERROR(U73+U77-U85-U89+U113+投资与减值!U96+投资与减值!U139),0,(U73+U77-U85-U89+U113+投资与减值!U96+投资与减值!U139))</f>
        <v>0</v>
      </c>
      <c r="V119" s="714" t="s">
        <v>154</v>
      </c>
    </row>
    <row r="120" spans="1:29" s="404" customFormat="1" ht="18" customHeight="1">
      <c r="A120" s="741"/>
      <c r="B120" s="694"/>
      <c r="C120" s="694"/>
      <c r="F120" s="787"/>
      <c r="G120" s="787"/>
      <c r="H120" s="787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674"/>
    </row>
    <row r="121" spans="1:29" s="653" customFormat="1" ht="18" customHeight="1">
      <c r="A121" s="759"/>
      <c r="B121" s="759" t="s">
        <v>155</v>
      </c>
      <c r="C121" s="660"/>
      <c r="D121" s="661"/>
      <c r="E121" s="661"/>
      <c r="F121" s="661"/>
      <c r="G121" s="661"/>
      <c r="H121" s="661"/>
      <c r="I121" s="661"/>
      <c r="J121" s="661"/>
      <c r="K121" s="661"/>
      <c r="L121" s="661"/>
      <c r="M121" s="661"/>
      <c r="N121" s="661"/>
      <c r="O121" s="661"/>
      <c r="P121" s="661"/>
      <c r="Q121" s="661"/>
      <c r="R121" s="661"/>
      <c r="S121" s="661"/>
      <c r="T121" s="661"/>
      <c r="U121" s="661"/>
      <c r="V121" s="775"/>
    </row>
    <row r="122" spans="1:29" ht="18" customHeight="1">
      <c r="B122" s="662" t="str">
        <f>"单位：人民币"&amp;目录!D5</f>
        <v>单位：人民币百万元</v>
      </c>
    </row>
    <row r="123" spans="1:29" s="654" customFormat="1" ht="18" customHeight="1">
      <c r="A123" s="665"/>
      <c r="B123" s="666" t="s">
        <v>101</v>
      </c>
      <c r="C123" s="667"/>
      <c r="D123" s="668"/>
      <c r="E123" s="668"/>
      <c r="F123" s="739">
        <f t="shared" ref="F123:U123" si="53">F4</f>
        <v>2021</v>
      </c>
      <c r="G123" s="739">
        <f t="shared" si="53"/>
        <v>2022</v>
      </c>
      <c r="H123" s="739">
        <f t="shared" si="53"/>
        <v>2023</v>
      </c>
      <c r="I123" s="739" t="str">
        <f t="shared" si="53"/>
        <v>1Q24</v>
      </c>
      <c r="J123" s="739" t="str">
        <f t="shared" si="53"/>
        <v>1H24</v>
      </c>
      <c r="K123" s="739" t="str">
        <f t="shared" si="53"/>
        <v>3Q24</v>
      </c>
      <c r="L123" s="750" t="str">
        <f t="shared" si="53"/>
        <v>2024E</v>
      </c>
      <c r="M123" s="751">
        <f t="shared" si="53"/>
        <v>2025</v>
      </c>
      <c r="N123" s="751">
        <f t="shared" si="53"/>
        <v>2026</v>
      </c>
      <c r="O123" s="751">
        <f t="shared" si="53"/>
        <v>2027</v>
      </c>
      <c r="P123" s="751">
        <f t="shared" si="53"/>
        <v>2028</v>
      </c>
      <c r="Q123" s="751">
        <f t="shared" si="53"/>
        <v>2029</v>
      </c>
      <c r="R123" s="751">
        <f t="shared" si="53"/>
        <v>2030</v>
      </c>
      <c r="S123" s="751">
        <f t="shared" si="53"/>
        <v>2031</v>
      </c>
      <c r="T123" s="751">
        <f t="shared" si="53"/>
        <v>2032</v>
      </c>
      <c r="U123" s="751">
        <f t="shared" si="53"/>
        <v>2033</v>
      </c>
      <c r="V123" s="799"/>
    </row>
    <row r="124" spans="1:29" s="756" customFormat="1" ht="18" customHeight="1">
      <c r="A124" s="788"/>
      <c r="B124" s="789"/>
      <c r="C124" s="790"/>
      <c r="D124" s="791"/>
      <c r="E124" s="791"/>
      <c r="F124" s="792"/>
      <c r="G124" s="792"/>
      <c r="H124" s="792"/>
      <c r="I124" s="792"/>
      <c r="J124" s="792"/>
      <c r="K124" s="792"/>
      <c r="L124" s="792"/>
      <c r="M124" s="792"/>
      <c r="N124" s="792"/>
      <c r="O124" s="792"/>
      <c r="P124" s="792"/>
      <c r="Q124" s="792"/>
      <c r="R124" s="792"/>
      <c r="S124" s="792"/>
      <c r="T124" s="792"/>
      <c r="U124" s="792"/>
      <c r="V124" s="800"/>
    </row>
    <row r="125" spans="1:29" s="756" customFormat="1" ht="18" customHeight="1">
      <c r="A125" s="788"/>
      <c r="B125" s="670" t="s">
        <v>156</v>
      </c>
      <c r="C125" s="790"/>
      <c r="D125" s="791"/>
      <c r="E125" s="791"/>
      <c r="F125" s="792"/>
      <c r="G125" s="792"/>
      <c r="H125" s="792"/>
      <c r="I125" s="792"/>
      <c r="J125" s="792"/>
      <c r="K125" s="792"/>
      <c r="L125" s="792"/>
      <c r="M125" s="792"/>
      <c r="N125" s="792"/>
      <c r="O125" s="792"/>
      <c r="P125" s="792"/>
      <c r="Q125" s="792"/>
      <c r="R125" s="792"/>
      <c r="S125" s="792"/>
      <c r="T125" s="792"/>
      <c r="U125" s="792"/>
      <c r="V125" s="800"/>
    </row>
    <row r="126" spans="1:29" s="155" customFormat="1" ht="18" customHeight="1">
      <c r="A126" s="669"/>
      <c r="B126" s="381" t="s">
        <v>157</v>
      </c>
      <c r="C126" s="150"/>
      <c r="D126" s="30"/>
      <c r="E126" s="30"/>
      <c r="F126" s="740"/>
      <c r="G126" s="740"/>
      <c r="H126" s="740"/>
      <c r="I126" s="740"/>
      <c r="J126" s="740"/>
      <c r="K126" s="740"/>
      <c r="L126" s="740"/>
      <c r="M126" s="740"/>
      <c r="N126" s="740"/>
      <c r="O126" s="740"/>
      <c r="P126" s="740"/>
      <c r="Q126" s="740"/>
      <c r="R126" s="740"/>
      <c r="S126" s="740"/>
      <c r="T126" s="740"/>
      <c r="U126" s="740"/>
      <c r="V126" s="143"/>
    </row>
    <row r="127" spans="1:29" ht="18" customHeight="1">
      <c r="A127" s="743" t="s">
        <v>133</v>
      </c>
      <c r="C127" s="150" t="s">
        <v>158</v>
      </c>
      <c r="D127" s="777"/>
      <c r="E127" s="777"/>
      <c r="F127" s="745"/>
      <c r="G127" s="118"/>
      <c r="H127" s="118"/>
      <c r="I127" s="118">
        <f>财务基础数据!AM304*目录!$D$6</f>
        <v>0</v>
      </c>
      <c r="J127" s="118">
        <f>财务基础数据!AN304*目录!$D$6</f>
        <v>0</v>
      </c>
      <c r="K127" s="118">
        <f>财务基础数据!AO304*目录!$D$6</f>
        <v>0</v>
      </c>
      <c r="L127" s="710">
        <f>SUM(I127:K127)+财务基础数据!AP304*目录!$D$6</f>
        <v>0</v>
      </c>
      <c r="M127" s="697">
        <v>0</v>
      </c>
      <c r="N127" s="745"/>
      <c r="O127" s="745"/>
      <c r="P127" s="745"/>
      <c r="Q127" s="745"/>
      <c r="R127" s="745"/>
      <c r="S127" s="745"/>
      <c r="T127" s="745"/>
      <c r="U127" s="745"/>
      <c r="V127" s="801"/>
      <c r="W127" s="802"/>
      <c r="X127" s="802"/>
      <c r="Y127" s="802"/>
      <c r="Z127" s="802"/>
      <c r="AA127" s="802"/>
      <c r="AB127" s="802"/>
      <c r="AC127" s="802"/>
    </row>
    <row r="128" spans="1:29" ht="18" customHeight="1">
      <c r="C128" s="150" t="s">
        <v>159</v>
      </c>
      <c r="F128" s="745"/>
      <c r="G128" s="118"/>
      <c r="H128" s="118"/>
      <c r="I128" s="118">
        <f>财务基础数据!AM302</f>
        <v>0</v>
      </c>
      <c r="J128" s="118">
        <f>财务基础数据!AN302</f>
        <v>0</v>
      </c>
      <c r="K128" s="118">
        <f>财务基础数据!AO302</f>
        <v>0</v>
      </c>
      <c r="L128" s="710">
        <f>SUM(I128:K128)+财务基础数据!AP302</f>
        <v>0</v>
      </c>
      <c r="M128" s="697">
        <v>0</v>
      </c>
      <c r="N128" s="745"/>
      <c r="O128" s="745"/>
      <c r="P128" s="745"/>
      <c r="Q128" s="745"/>
      <c r="R128" s="745"/>
      <c r="S128" s="745"/>
      <c r="T128" s="745"/>
      <c r="U128" s="745"/>
      <c r="V128" s="801"/>
      <c r="W128" s="802"/>
      <c r="X128" s="802"/>
      <c r="Y128" s="802"/>
      <c r="Z128" s="802"/>
      <c r="AA128" s="802"/>
      <c r="AB128" s="802"/>
      <c r="AC128" s="802"/>
    </row>
    <row r="129" spans="1:29" ht="18" customHeight="1">
      <c r="C129" s="150" t="s">
        <v>160</v>
      </c>
      <c r="F129" s="745"/>
      <c r="G129" s="118"/>
      <c r="H129" s="118"/>
      <c r="I129" s="118">
        <v>1</v>
      </c>
      <c r="J129" s="118">
        <v>1</v>
      </c>
      <c r="K129" s="118">
        <v>1</v>
      </c>
      <c r="L129" s="710">
        <v>1</v>
      </c>
      <c r="M129" s="710">
        <v>1</v>
      </c>
      <c r="N129" s="745"/>
      <c r="O129" s="745"/>
      <c r="P129" s="745"/>
      <c r="Q129" s="745"/>
      <c r="R129" s="745"/>
      <c r="S129" s="745"/>
      <c r="T129" s="745"/>
      <c r="U129" s="745"/>
      <c r="V129" s="1162" t="s">
        <v>161</v>
      </c>
      <c r="W129" s="802"/>
      <c r="X129" s="802"/>
      <c r="Y129" s="802"/>
      <c r="Z129" s="802"/>
      <c r="AA129" s="802"/>
      <c r="AB129" s="802"/>
      <c r="AC129" s="802"/>
    </row>
    <row r="130" spans="1:29" ht="18" customHeight="1">
      <c r="C130" s="150" t="s">
        <v>162</v>
      </c>
      <c r="F130" s="745"/>
      <c r="G130" s="118"/>
      <c r="H130" s="118"/>
      <c r="I130" s="118">
        <f>财务基础数据!AM305*10000*目录!$D$6</f>
        <v>0</v>
      </c>
      <c r="J130" s="118">
        <f>财务基础数据!AN305*10000*目录!$D$6</f>
        <v>0</v>
      </c>
      <c r="K130" s="118">
        <f>财务基础数据!AO305*10000*目录!$D$6</f>
        <v>0</v>
      </c>
      <c r="L130" s="710">
        <f>SUM(I130:K130)+财务基础数据!AP305*10000*目录!$D$6</f>
        <v>0</v>
      </c>
      <c r="M130" s="697">
        <v>0</v>
      </c>
      <c r="N130" s="745"/>
      <c r="O130" s="745"/>
      <c r="P130" s="745"/>
      <c r="Q130" s="745"/>
      <c r="R130" s="745"/>
      <c r="S130" s="745"/>
      <c r="T130" s="745"/>
      <c r="U130" s="745"/>
      <c r="V130" s="1162"/>
      <c r="W130" s="802"/>
      <c r="X130" s="802"/>
      <c r="Y130" s="802"/>
      <c r="Z130" s="802"/>
      <c r="AA130" s="802"/>
      <c r="AB130" s="802"/>
      <c r="AC130" s="802"/>
    </row>
    <row r="131" spans="1:29" ht="18" customHeight="1">
      <c r="C131" s="381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825"/>
    </row>
    <row r="132" spans="1:29" ht="18" customHeight="1">
      <c r="C132" s="150" t="s">
        <v>163</v>
      </c>
      <c r="F132" s="118"/>
      <c r="G132" s="118"/>
      <c r="H132" s="118"/>
      <c r="I132" s="118">
        <f t="shared" ref="I132:M132" si="54">I127*I129</f>
        <v>0</v>
      </c>
      <c r="J132" s="118">
        <f t="shared" si="54"/>
        <v>0</v>
      </c>
      <c r="K132" s="118">
        <f t="shared" si="54"/>
        <v>0</v>
      </c>
      <c r="L132" s="118">
        <f t="shared" si="54"/>
        <v>0</v>
      </c>
      <c r="M132" s="118">
        <f t="shared" si="54"/>
        <v>0</v>
      </c>
      <c r="N132" s="118"/>
      <c r="O132" s="118"/>
      <c r="P132" s="118"/>
      <c r="Q132" s="118"/>
      <c r="R132" s="118"/>
      <c r="S132" s="118"/>
      <c r="T132" s="118"/>
      <c r="U132" s="118"/>
      <c r="V132" s="825"/>
    </row>
    <row r="133" spans="1:29" ht="18" customHeight="1">
      <c r="C133" s="150" t="s">
        <v>164</v>
      </c>
      <c r="F133" s="118"/>
      <c r="G133" s="118"/>
      <c r="H133" s="118"/>
      <c r="I133" s="118">
        <f>I127*I128-I130-I132</f>
        <v>0</v>
      </c>
      <c r="J133" s="118">
        <f t="shared" ref="J133:M133" si="55">J127*J128-J130-J132</f>
        <v>0</v>
      </c>
      <c r="K133" s="118">
        <f t="shared" si="55"/>
        <v>0</v>
      </c>
      <c r="L133" s="118">
        <f t="shared" si="55"/>
        <v>0</v>
      </c>
      <c r="M133" s="118">
        <f t="shared" si="55"/>
        <v>0</v>
      </c>
      <c r="N133" s="118"/>
      <c r="O133" s="118"/>
      <c r="P133" s="118"/>
      <c r="Q133" s="118"/>
      <c r="R133" s="118"/>
      <c r="S133" s="118"/>
      <c r="T133" s="118"/>
      <c r="U133" s="118"/>
    </row>
    <row r="134" spans="1:29" ht="18" customHeight="1"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</row>
    <row r="135" spans="1:29" ht="18" customHeight="1">
      <c r="B135" s="381" t="s">
        <v>165</v>
      </c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</row>
    <row r="136" spans="1:29" ht="18" customHeight="1">
      <c r="C136" s="150" t="s">
        <v>158</v>
      </c>
      <c r="F136" s="118">
        <f>SUM(财务基础数据!AA307:AD307)*10000*目录!$D$6</f>
        <v>0</v>
      </c>
      <c r="G136" s="118">
        <f>SUM(财务基础数据!AE307:AH307)*10000*目录!$D$6</f>
        <v>0</v>
      </c>
      <c r="H136" s="118">
        <f>SUM(财务基础数据!AI307:AL307)*10000*目录!$D$6</f>
        <v>0</v>
      </c>
      <c r="I136" s="118">
        <f>财务基础数据!AM307*10000*目录!$D$6</f>
        <v>0</v>
      </c>
      <c r="J136" s="118">
        <f>财务基础数据!AN307*10000*目录!$D$6</f>
        <v>0</v>
      </c>
      <c r="K136" s="118">
        <f>财务基础数据!AO307*10000*目录!$D$6</f>
        <v>0</v>
      </c>
      <c r="L136" s="710">
        <f>SUM(I136:K136)+财务基础数据!AP307*10000*目录!$D$6</f>
        <v>0</v>
      </c>
      <c r="M136" s="710">
        <f>SUM(财务基础数据!AQ307:AR307)*10000*目录!$D$6</f>
        <v>0</v>
      </c>
      <c r="N136" s="697"/>
      <c r="O136" s="697"/>
      <c r="P136" s="697"/>
      <c r="Q136" s="697"/>
      <c r="R136" s="697"/>
      <c r="S136" s="697"/>
      <c r="T136" s="697"/>
      <c r="U136" s="697"/>
      <c r="V136" s="825"/>
    </row>
    <row r="137" spans="1:29" ht="18" customHeight="1">
      <c r="C137" s="150" t="s">
        <v>159</v>
      </c>
      <c r="F137" s="118"/>
      <c r="G137" s="118"/>
      <c r="H137" s="118"/>
      <c r="I137" s="118">
        <f>财务基础数据!AM306</f>
        <v>0</v>
      </c>
      <c r="J137" s="118">
        <f>财务基础数据!AN306</f>
        <v>0</v>
      </c>
      <c r="K137" s="118">
        <f>财务基础数据!AO306</f>
        <v>0</v>
      </c>
      <c r="L137" s="710">
        <f>IF(ISERROR(SUM(财务基础数据!AM308:AP308)*目录!$D$6/L136),0,SUM(财务基础数据!AM308:AP308)*目录!$D$6/L136)</f>
        <v>0</v>
      </c>
      <c r="M137" s="710">
        <f>IF(ISERROR(SUM(财务基础数据!AQ308:AR308)*目录!$D$6/M136),0,SUM(财务基础数据!AQ308:AR308)*目录!$D$6/M136)</f>
        <v>0</v>
      </c>
      <c r="N137" s="697"/>
      <c r="O137" s="697"/>
      <c r="P137" s="697"/>
      <c r="Q137" s="697"/>
      <c r="R137" s="697"/>
      <c r="S137" s="697"/>
      <c r="T137" s="697"/>
      <c r="U137" s="697"/>
      <c r="V137" s="825"/>
    </row>
    <row r="138" spans="1:29" ht="18" customHeight="1">
      <c r="C138" s="150" t="s">
        <v>162</v>
      </c>
      <c r="F138" s="118">
        <f>SUM(财务基础数据!AA309:AD309)*目录!$D$6</f>
        <v>0</v>
      </c>
      <c r="G138" s="118">
        <f>SUM(财务基础数据!AE309:AH309)*目录!$D$6</f>
        <v>0</v>
      </c>
      <c r="H138" s="118">
        <f>SUM(财务基础数据!AI309:AL309)*目录!$D$6</f>
        <v>0</v>
      </c>
      <c r="I138" s="118">
        <f>财务基础数据!AM309*目录!$D$6</f>
        <v>0</v>
      </c>
      <c r="J138" s="118">
        <f>财务基础数据!AN309*目录!$D$6</f>
        <v>0</v>
      </c>
      <c r="K138" s="118">
        <f>财务基础数据!AO309*目录!$D$6</f>
        <v>0</v>
      </c>
      <c r="L138" s="710">
        <f>SUM(I138:K138)+财务基础数据!AP309*目录!$D$6</f>
        <v>0</v>
      </c>
      <c r="M138" s="710">
        <f>SUM(财务基础数据!AQ309:AR309)*目录!$D$6</f>
        <v>0</v>
      </c>
      <c r="N138" s="697"/>
      <c r="O138" s="697"/>
      <c r="P138" s="697"/>
      <c r="Q138" s="697"/>
      <c r="R138" s="697"/>
      <c r="S138" s="697"/>
      <c r="T138" s="697"/>
      <c r="U138" s="697"/>
      <c r="V138" s="825"/>
    </row>
    <row r="139" spans="1:29" ht="18" customHeight="1"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</row>
    <row r="140" spans="1:29" ht="18" customHeight="1">
      <c r="C140" s="150" t="s">
        <v>163</v>
      </c>
      <c r="F140" s="118"/>
      <c r="G140" s="118"/>
      <c r="H140" s="118"/>
      <c r="I140" s="118">
        <f t="shared" ref="I140:L140" si="56">I136*$L$129</f>
        <v>0</v>
      </c>
      <c r="J140" s="118">
        <f t="shared" si="56"/>
        <v>0</v>
      </c>
      <c r="K140" s="118">
        <f t="shared" si="56"/>
        <v>0</v>
      </c>
      <c r="L140" s="118">
        <f t="shared" si="56"/>
        <v>0</v>
      </c>
      <c r="M140" s="118">
        <f t="shared" ref="M140:U140" si="57">M136*$L$129</f>
        <v>0</v>
      </c>
      <c r="N140" s="118">
        <f t="shared" si="57"/>
        <v>0</v>
      </c>
      <c r="O140" s="118">
        <f t="shared" si="57"/>
        <v>0</v>
      </c>
      <c r="P140" s="118">
        <f t="shared" si="57"/>
        <v>0</v>
      </c>
      <c r="Q140" s="118">
        <f t="shared" si="57"/>
        <v>0</v>
      </c>
      <c r="R140" s="118">
        <f t="shared" si="57"/>
        <v>0</v>
      </c>
      <c r="S140" s="118">
        <f t="shared" si="57"/>
        <v>0</v>
      </c>
      <c r="T140" s="118">
        <f t="shared" si="57"/>
        <v>0</v>
      </c>
      <c r="U140" s="118">
        <f t="shared" si="57"/>
        <v>0</v>
      </c>
    </row>
    <row r="141" spans="1:29" ht="18" customHeight="1">
      <c r="C141" s="150" t="s">
        <v>164</v>
      </c>
      <c r="F141" s="118"/>
      <c r="G141" s="118"/>
      <c r="H141" s="118"/>
      <c r="I141" s="118">
        <f>I136*I137-I138-I140</f>
        <v>0</v>
      </c>
      <c r="J141" s="118">
        <f t="shared" ref="J141:L141" si="58">J136*J137-J138-J140</f>
        <v>0</v>
      </c>
      <c r="K141" s="118">
        <f t="shared" si="58"/>
        <v>0</v>
      </c>
      <c r="L141" s="118">
        <f t="shared" si="58"/>
        <v>0</v>
      </c>
      <c r="M141" s="118">
        <f t="shared" ref="M141:U141" si="59">M136*M137-M138-M140</f>
        <v>0</v>
      </c>
      <c r="N141" s="118">
        <f t="shared" si="59"/>
        <v>0</v>
      </c>
      <c r="O141" s="118">
        <f t="shared" si="59"/>
        <v>0</v>
      </c>
      <c r="P141" s="118">
        <f t="shared" si="59"/>
        <v>0</v>
      </c>
      <c r="Q141" s="118">
        <f t="shared" si="59"/>
        <v>0</v>
      </c>
      <c r="R141" s="118">
        <f t="shared" si="59"/>
        <v>0</v>
      </c>
      <c r="S141" s="118">
        <f t="shared" si="59"/>
        <v>0</v>
      </c>
      <c r="T141" s="118">
        <f t="shared" si="59"/>
        <v>0</v>
      </c>
      <c r="U141" s="118">
        <f t="shared" si="59"/>
        <v>0</v>
      </c>
    </row>
    <row r="142" spans="1:29" ht="18" customHeight="1"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</row>
    <row r="143" spans="1:29" s="404" customFormat="1" ht="18" customHeight="1">
      <c r="A143" s="741"/>
      <c r="B143" s="381" t="s">
        <v>166</v>
      </c>
      <c r="C143" s="673"/>
      <c r="F143" s="745"/>
      <c r="G143" s="742"/>
      <c r="H143" s="742"/>
      <c r="I143" s="808"/>
      <c r="J143" s="808"/>
      <c r="K143" s="808"/>
      <c r="L143" s="808"/>
      <c r="M143" s="808"/>
      <c r="N143" s="808"/>
      <c r="O143" s="808"/>
      <c r="P143" s="808"/>
      <c r="Q143" s="808"/>
      <c r="R143" s="808"/>
      <c r="S143" s="808"/>
      <c r="T143" s="808"/>
      <c r="U143" s="808"/>
      <c r="V143" s="674"/>
    </row>
    <row r="144" spans="1:29" s="404" customFormat="1" ht="18" customHeight="1">
      <c r="A144" s="743"/>
      <c r="B144" s="381"/>
      <c r="C144" s="150" t="s">
        <v>167</v>
      </c>
      <c r="D144" s="777"/>
      <c r="E144" s="777"/>
      <c r="F144" s="118">
        <f>SUM(财务基础数据!AA310:AD310)*目录!$D$6</f>
        <v>0</v>
      </c>
      <c r="G144" s="118">
        <f>SUM(财务基础数据!AE310:AH310)*目录!$D$6</f>
        <v>0</v>
      </c>
      <c r="H144" s="118">
        <f>SUM(财务基础数据!AI310:AL310)*目录!$D$6</f>
        <v>0</v>
      </c>
      <c r="I144" s="808">
        <f>财务基础数据!AM310*目录!$D$6</f>
        <v>0</v>
      </c>
      <c r="J144" s="808">
        <f>财务基础数据!AN310*目录!$D$6</f>
        <v>0</v>
      </c>
      <c r="K144" s="808">
        <f>财务基础数据!AO310*目录!$D$6</f>
        <v>0</v>
      </c>
      <c r="L144" s="710">
        <f>SUM(I144:K144)+财务基础数据!AP310*目录!$D$6</f>
        <v>0</v>
      </c>
      <c r="M144" s="710">
        <f>SUM(财务基础数据!AQ310:AR310)*目录!$D$6</f>
        <v>0</v>
      </c>
      <c r="N144" s="697"/>
      <c r="O144" s="697"/>
      <c r="P144" s="697"/>
      <c r="Q144" s="697"/>
      <c r="R144" s="697"/>
      <c r="S144" s="697"/>
      <c r="T144" s="697"/>
      <c r="U144" s="697"/>
      <c r="V144" s="1163" t="s">
        <v>168</v>
      </c>
    </row>
    <row r="145" spans="1:22" s="404" customFormat="1" ht="18" customHeight="1">
      <c r="A145" s="741"/>
      <c r="B145" s="381"/>
      <c r="C145" s="150" t="s">
        <v>169</v>
      </c>
      <c r="F145" s="118">
        <f>SUM(财务基础数据!AA311:AD311)*目录!$D$6</f>
        <v>0</v>
      </c>
      <c r="G145" s="118">
        <f>SUM(财务基础数据!AE311:AH311)*目录!$D$6</f>
        <v>0</v>
      </c>
      <c r="H145" s="118">
        <f>SUM(财务基础数据!AI311:AL311)*目录!$D$6</f>
        <v>0</v>
      </c>
      <c r="I145" s="808">
        <f>财务基础数据!AM311*目录!$D$6</f>
        <v>0</v>
      </c>
      <c r="J145" s="808">
        <f>财务基础数据!AN311*目录!$D$6</f>
        <v>0</v>
      </c>
      <c r="K145" s="808">
        <f>财务基础数据!AO311*目录!$D$6</f>
        <v>0</v>
      </c>
      <c r="L145" s="710">
        <f>SUM(I145:K145)+财务基础数据!AP311*目录!$D$6</f>
        <v>0</v>
      </c>
      <c r="M145" s="710">
        <f>SUM(财务基础数据!AQ311:AR311)*目录!$D$6</f>
        <v>0</v>
      </c>
      <c r="N145" s="697"/>
      <c r="O145" s="697"/>
      <c r="P145" s="697"/>
      <c r="Q145" s="697"/>
      <c r="R145" s="697"/>
      <c r="S145" s="697"/>
      <c r="T145" s="697"/>
      <c r="U145" s="697"/>
      <c r="V145" s="1163"/>
    </row>
    <row r="146" spans="1:22" s="404" customFormat="1" ht="18" customHeight="1">
      <c r="A146" s="741"/>
      <c r="B146" s="381"/>
      <c r="C146" s="673"/>
      <c r="F146" s="118"/>
      <c r="G146" s="742"/>
      <c r="H146" s="118"/>
      <c r="I146" s="808"/>
      <c r="J146" s="808"/>
      <c r="K146" s="808"/>
      <c r="L146" s="745"/>
      <c r="M146" s="745"/>
      <c r="N146" s="745"/>
      <c r="O146" s="745"/>
      <c r="P146" s="745"/>
      <c r="Q146" s="745"/>
      <c r="R146" s="745"/>
      <c r="S146" s="745"/>
      <c r="T146" s="745"/>
      <c r="U146" s="745"/>
      <c r="V146" s="1163"/>
    </row>
    <row r="147" spans="1:22" s="404" customFormat="1" ht="18" customHeight="1">
      <c r="A147" s="741"/>
      <c r="B147" s="381"/>
      <c r="C147" s="673" t="s">
        <v>170</v>
      </c>
      <c r="F147" s="118"/>
      <c r="G147" s="742"/>
      <c r="H147" s="742"/>
      <c r="I147" s="808"/>
      <c r="J147" s="808"/>
      <c r="K147" s="808"/>
      <c r="L147" s="701"/>
      <c r="M147" s="701"/>
      <c r="N147" s="701"/>
      <c r="O147" s="701"/>
      <c r="P147" s="701"/>
      <c r="Q147" s="701"/>
      <c r="R147" s="701"/>
      <c r="S147" s="701"/>
      <c r="T147" s="701"/>
      <c r="U147" s="701"/>
      <c r="V147" s="1163"/>
    </row>
    <row r="148" spans="1:22" s="404" customFormat="1" ht="18" customHeight="1">
      <c r="A148" s="741"/>
      <c r="B148" s="381"/>
      <c r="C148" s="673" t="s">
        <v>171</v>
      </c>
      <c r="F148" s="745"/>
      <c r="G148" s="742"/>
      <c r="H148" s="742"/>
      <c r="I148" s="808"/>
      <c r="J148" s="808"/>
      <c r="K148" s="808"/>
      <c r="L148" s="701"/>
      <c r="M148" s="701"/>
      <c r="N148" s="701"/>
      <c r="O148" s="701"/>
      <c r="P148" s="701"/>
      <c r="Q148" s="701"/>
      <c r="R148" s="701"/>
      <c r="S148" s="701"/>
      <c r="T148" s="701"/>
      <c r="U148" s="701"/>
      <c r="V148" s="1163"/>
    </row>
    <row r="149" spans="1:22" s="404" customFormat="1" ht="18" customHeight="1">
      <c r="A149" s="741"/>
      <c r="B149" s="381"/>
      <c r="C149" s="803" t="s">
        <v>172</v>
      </c>
      <c r="F149" s="745"/>
      <c r="G149" s="742"/>
      <c r="H149" s="742"/>
      <c r="I149" s="808"/>
      <c r="J149" s="808"/>
      <c r="K149" s="808"/>
      <c r="L149" s="710">
        <f>L145</f>
        <v>0</v>
      </c>
      <c r="M149" s="710">
        <f t="shared" ref="M149:U149" si="60">M145</f>
        <v>0</v>
      </c>
      <c r="N149" s="710">
        <f t="shared" si="60"/>
        <v>0</v>
      </c>
      <c r="O149" s="710">
        <f t="shared" si="60"/>
        <v>0</v>
      </c>
      <c r="P149" s="710">
        <f t="shared" si="60"/>
        <v>0</v>
      </c>
      <c r="Q149" s="710">
        <f t="shared" si="60"/>
        <v>0</v>
      </c>
      <c r="R149" s="710">
        <f t="shared" si="60"/>
        <v>0</v>
      </c>
      <c r="S149" s="710">
        <f t="shared" si="60"/>
        <v>0</v>
      </c>
      <c r="T149" s="710">
        <f t="shared" si="60"/>
        <v>0</v>
      </c>
      <c r="U149" s="710">
        <f t="shared" si="60"/>
        <v>0</v>
      </c>
      <c r="V149" s="1163"/>
    </row>
    <row r="150" spans="1:22" ht="18" customHeight="1"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</row>
    <row r="151" spans="1:22" ht="18" customHeight="1">
      <c r="B151" s="381" t="s">
        <v>173</v>
      </c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</row>
    <row r="152" spans="1:22" ht="18" customHeight="1">
      <c r="C152" s="150" t="s">
        <v>174</v>
      </c>
      <c r="F152" s="118"/>
      <c r="G152" s="118"/>
      <c r="H152" s="118"/>
      <c r="I152" s="118"/>
      <c r="J152" s="118"/>
      <c r="K152" s="118"/>
      <c r="L152" s="118">
        <f>SUM(L153:L155)</f>
        <v>0</v>
      </c>
      <c r="M152" s="118">
        <f t="shared" ref="M152:U152" si="61">SUM(M153:M155)</f>
        <v>0</v>
      </c>
      <c r="N152" s="118">
        <f t="shared" si="61"/>
        <v>0</v>
      </c>
      <c r="O152" s="118">
        <f t="shared" si="61"/>
        <v>0</v>
      </c>
      <c r="P152" s="118">
        <f t="shared" si="61"/>
        <v>0</v>
      </c>
      <c r="Q152" s="118">
        <f t="shared" si="61"/>
        <v>0</v>
      </c>
      <c r="R152" s="118">
        <f t="shared" si="61"/>
        <v>0</v>
      </c>
      <c r="S152" s="118">
        <f t="shared" si="61"/>
        <v>0</v>
      </c>
      <c r="T152" s="118">
        <f t="shared" si="61"/>
        <v>0</v>
      </c>
      <c r="U152" s="118">
        <f t="shared" si="61"/>
        <v>0</v>
      </c>
    </row>
    <row r="153" spans="1:22" ht="18" customHeight="1">
      <c r="C153" s="150" t="s">
        <v>175</v>
      </c>
      <c r="F153" s="118">
        <f>L129*SUM(财务基础数据!AA292:AD292)*10000*目录!D6</f>
        <v>0</v>
      </c>
      <c r="G153" s="118">
        <f>L129*SUM(财务基础数据!AE292:AH292)*10000*目录!D6</f>
        <v>0</v>
      </c>
      <c r="H153" s="118">
        <f>L129*SUM(财务基础数据!AI292:AL292)*10000*目录!D6</f>
        <v>0</v>
      </c>
      <c r="I153" s="118">
        <f>$L$129*财务基础数据!AM292*10000*目录!$D$6</f>
        <v>0</v>
      </c>
      <c r="J153" s="118">
        <f>$L$129*财务基础数据!AN292*10000*目录!$D$6</f>
        <v>0</v>
      </c>
      <c r="K153" s="118">
        <f>$L$129*财务基础数据!AO292*10000*目录!$D$6</f>
        <v>0</v>
      </c>
      <c r="L153" s="710">
        <f>SUM(I153:K153)+$L$129*财务基础数据!AP292*10000*目录!$D$6</f>
        <v>0</v>
      </c>
      <c r="M153" s="710">
        <f>$L$129*SUM(财务基础数据!AQ292:AR292)*10000*目录!$D$6</f>
        <v>0</v>
      </c>
      <c r="N153" s="697"/>
      <c r="O153" s="697"/>
      <c r="P153" s="697"/>
      <c r="Q153" s="697"/>
      <c r="R153" s="697"/>
      <c r="S153" s="697"/>
      <c r="T153" s="697"/>
      <c r="U153" s="697"/>
      <c r="V153" s="826"/>
    </row>
    <row r="154" spans="1:22" ht="18" customHeight="1">
      <c r="C154" s="150" t="s">
        <v>176</v>
      </c>
      <c r="F154" s="118">
        <f>L129*(财务基础数据!AA298*财务基础数据!AA299+财务基础数据!AB298*财务基础数据!AB299+财务基础数据!AC298*财务基础数据!AC299+财务基础数据!AD298*财务基础数据!AD299)*10000*目录!D6</f>
        <v>0</v>
      </c>
      <c r="G154" s="118">
        <f>L129*(财务基础数据!AE298*财务基础数据!AE299+财务基础数据!AF298*财务基础数据!AF299+财务基础数据!AG298*财务基础数据!AG299+财务基础数据!AH298*财务基础数据!AH299)*10000*目录!D6</f>
        <v>0</v>
      </c>
      <c r="H154" s="118">
        <f>L129*(财务基础数据!AI298*财务基础数据!AI299+财务基础数据!AJ298*财务基础数据!AJ299+财务基础数据!AK298*财务基础数据!AK299+财务基础数据!AL298*财务基础数据!AL299)*10000*目录!D6</f>
        <v>0</v>
      </c>
      <c r="I154" s="118">
        <f>$L$129*财务基础数据!AM298*财务基础数据!AM299*10000*目录!$D$6</f>
        <v>0</v>
      </c>
      <c r="J154" s="118">
        <f>$L$129*财务基础数据!AN298*财务基础数据!AN299*10000*目录!$D$6</f>
        <v>0</v>
      </c>
      <c r="K154" s="118">
        <f>$L$129*财务基础数据!AO298*财务基础数据!AO299*10000*目录!$D$6</f>
        <v>0</v>
      </c>
      <c r="L154" s="710">
        <f>SUM(I154:K154)+$L$129*财务基础数据!AP298*财务基础数据!AP299*10000*目录!$D$6</f>
        <v>0</v>
      </c>
      <c r="M154" s="710">
        <f>$L$129*(财务基础数据!AQ298*财务基础数据!AQ299+财务基础数据!AR298*财务基础数据!AR299)*10000*目录!$D$6</f>
        <v>0</v>
      </c>
      <c r="N154" s="697"/>
      <c r="O154" s="697"/>
      <c r="P154" s="697"/>
      <c r="Q154" s="697"/>
      <c r="R154" s="697"/>
      <c r="S154" s="697"/>
      <c r="T154" s="697"/>
      <c r="U154" s="697"/>
      <c r="V154" s="826"/>
    </row>
    <row r="155" spans="1:22" ht="18" customHeight="1">
      <c r="C155" s="150" t="s">
        <v>177</v>
      </c>
      <c r="F155" s="118">
        <f>L129*(财务基础数据!AA298*财务基础数据!AA300+财务基础数据!AB298*财务基础数据!AB300+财务基础数据!AC298*财务基础数据!AC300+财务基础数据!AD298*财务基础数据!AD300)*10000*目录!D6</f>
        <v>0</v>
      </c>
      <c r="G155" s="118">
        <f>L129*(财务基础数据!AE298*财务基础数据!AE300+财务基础数据!AF298*财务基础数据!AF300+财务基础数据!AG298*财务基础数据!AG300+财务基础数据!AH298*财务基础数据!AH300)*10000*目录!D6</f>
        <v>0</v>
      </c>
      <c r="H155" s="118">
        <f>L129*(财务基础数据!AI298*财务基础数据!AI300+财务基础数据!AJ298*财务基础数据!AJ300+财务基础数据!AK298*财务基础数据!AK300+财务基础数据!AL298*财务基础数据!AL300)*10000*目录!D6</f>
        <v>0</v>
      </c>
      <c r="I155" s="118">
        <f>$L$129*财务基础数据!AM298*财务基础数据!AM300*10000*目录!$D$6</f>
        <v>0</v>
      </c>
      <c r="J155" s="118">
        <f>$L$129*财务基础数据!AN298*财务基础数据!AN300*10000*目录!$D$6</f>
        <v>0</v>
      </c>
      <c r="K155" s="118">
        <f>$L$129*财务基础数据!AO298*财务基础数据!AO300*10000*目录!$D$6</f>
        <v>0</v>
      </c>
      <c r="L155" s="710">
        <f>SUM(I155:K155)+$L$129*财务基础数据!AP298*财务基础数据!AP300*10000*目录!$D$6</f>
        <v>0</v>
      </c>
      <c r="M155" s="710">
        <f>$L$129*(财务基础数据!AQ298*财务基础数据!AQ300+财务基础数据!AR298*财务基础数据!AR300)*10000*目录!$D$6</f>
        <v>0</v>
      </c>
      <c r="N155" s="697"/>
      <c r="O155" s="697"/>
      <c r="P155" s="697"/>
      <c r="Q155" s="697"/>
      <c r="R155" s="697"/>
      <c r="S155" s="697"/>
      <c r="T155" s="697"/>
      <c r="U155" s="697"/>
      <c r="V155" s="826"/>
    </row>
    <row r="156" spans="1:22" ht="18" customHeight="1"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</row>
    <row r="157" spans="1:22" ht="18" customHeight="1">
      <c r="C157" s="150" t="s">
        <v>178</v>
      </c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</row>
    <row r="158" spans="1:22" ht="18" customHeight="1">
      <c r="C158" s="150" t="s">
        <v>179</v>
      </c>
      <c r="F158" s="118">
        <f>SUM(财务基础数据!AA294:AD294)*目录!D6-SUM(财务基础数据!AA293:AD293)*目录!D6-F153</f>
        <v>0</v>
      </c>
      <c r="G158" s="118">
        <f>SUM(财务基础数据!AE294:AH294)*目录!D6-SUM(财务基础数据!AE293:AH293)*目录!D6-G153</f>
        <v>0</v>
      </c>
      <c r="H158" s="118">
        <f>SUM(财务基础数据!AI294:AL294)*目录!D6-SUM(财务基础数据!AI293:AL293)*目录!D6-H153</f>
        <v>0</v>
      </c>
      <c r="I158" s="118">
        <f>财务基础数据!AM294*目录!$D$6-财务基础数据!AM293*目录!$D$6-I153</f>
        <v>0</v>
      </c>
      <c r="J158" s="118">
        <f>财务基础数据!AN294*目录!$D$6-财务基础数据!AN293*目录!$D$6-J153</f>
        <v>0</v>
      </c>
      <c r="K158" s="118">
        <f>财务基础数据!AO294*目录!$D$6-财务基础数据!AO293*目录!$D$6-K153</f>
        <v>0</v>
      </c>
      <c r="L158" s="808">
        <f>SUM(财务基础数据!AM294:AP294)*目录!D6-SUM(财务基础数据!AM293:AP293)*目录!D6-L153</f>
        <v>0</v>
      </c>
      <c r="M158" s="808">
        <f>SUM(财务基础数据!AQ294:AR294)*目录!D6-SUM(财务基础数据!AQ293:AR293)*目录!D6-M153</f>
        <v>0</v>
      </c>
      <c r="N158" s="697"/>
      <c r="O158" s="697"/>
      <c r="P158" s="697"/>
      <c r="Q158" s="697"/>
      <c r="R158" s="697"/>
      <c r="S158" s="697"/>
      <c r="T158" s="697"/>
      <c r="U158" s="697"/>
    </row>
    <row r="159" spans="1:22" ht="18" customHeight="1">
      <c r="C159" s="150" t="s">
        <v>180</v>
      </c>
      <c r="F159" s="118">
        <f>-F154</f>
        <v>0</v>
      </c>
      <c r="G159" s="118">
        <f t="shared" ref="G159:L159" si="62">-G154</f>
        <v>0</v>
      </c>
      <c r="H159" s="118">
        <f t="shared" si="62"/>
        <v>0</v>
      </c>
      <c r="I159" s="118">
        <f t="shared" si="62"/>
        <v>0</v>
      </c>
      <c r="J159" s="118">
        <f t="shared" si="62"/>
        <v>0</v>
      </c>
      <c r="K159" s="118">
        <f t="shared" si="62"/>
        <v>0</v>
      </c>
      <c r="L159" s="808">
        <f t="shared" si="62"/>
        <v>0</v>
      </c>
      <c r="M159" s="808">
        <f t="shared" ref="M159:U159" si="63">-M154</f>
        <v>0</v>
      </c>
      <c r="N159" s="808">
        <f t="shared" si="63"/>
        <v>0</v>
      </c>
      <c r="O159" s="808">
        <f t="shared" si="63"/>
        <v>0</v>
      </c>
      <c r="P159" s="808">
        <f t="shared" si="63"/>
        <v>0</v>
      </c>
      <c r="Q159" s="808">
        <f t="shared" si="63"/>
        <v>0</v>
      </c>
      <c r="R159" s="808">
        <f t="shared" si="63"/>
        <v>0</v>
      </c>
      <c r="S159" s="808">
        <f t="shared" si="63"/>
        <v>0</v>
      </c>
      <c r="T159" s="808">
        <f t="shared" si="63"/>
        <v>0</v>
      </c>
      <c r="U159" s="808">
        <f t="shared" si="63"/>
        <v>0</v>
      </c>
    </row>
    <row r="160" spans="1:22" ht="18" customHeight="1">
      <c r="C160" s="150" t="s">
        <v>181</v>
      </c>
      <c r="F160" s="118">
        <f>-F155</f>
        <v>0</v>
      </c>
      <c r="G160" s="118">
        <f t="shared" ref="G160:O160" si="64">-G155</f>
        <v>0</v>
      </c>
      <c r="H160" s="118">
        <f t="shared" si="64"/>
        <v>0</v>
      </c>
      <c r="I160" s="118">
        <f t="shared" si="64"/>
        <v>0</v>
      </c>
      <c r="J160" s="118">
        <f t="shared" si="64"/>
        <v>0</v>
      </c>
      <c r="K160" s="118">
        <f t="shared" si="64"/>
        <v>0</v>
      </c>
      <c r="L160" s="808">
        <f t="shared" si="64"/>
        <v>0</v>
      </c>
      <c r="M160" s="808">
        <f t="shared" si="64"/>
        <v>0</v>
      </c>
      <c r="N160" s="808">
        <f t="shared" si="64"/>
        <v>0</v>
      </c>
      <c r="O160" s="808">
        <f t="shared" si="64"/>
        <v>0</v>
      </c>
      <c r="P160" s="808">
        <f t="shared" ref="P160:U160" si="65">-P155</f>
        <v>0</v>
      </c>
      <c r="Q160" s="808">
        <f t="shared" si="65"/>
        <v>0</v>
      </c>
      <c r="R160" s="808">
        <f t="shared" si="65"/>
        <v>0</v>
      </c>
      <c r="S160" s="808">
        <f t="shared" si="65"/>
        <v>0</v>
      </c>
      <c r="T160" s="808">
        <f t="shared" si="65"/>
        <v>0</v>
      </c>
      <c r="U160" s="808">
        <f t="shared" si="65"/>
        <v>0</v>
      </c>
    </row>
    <row r="161" spans="1:23" ht="18" customHeight="1"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</row>
    <row r="162" spans="1:23" ht="18" customHeight="1">
      <c r="B162" s="381" t="s">
        <v>182</v>
      </c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</row>
    <row r="163" spans="1:23" ht="18" customHeight="1">
      <c r="C163" s="150" t="s">
        <v>183</v>
      </c>
      <c r="F163" s="118">
        <f>SUM(财务基础数据!AA301:'财务基础数据'!AD301)*目录!D6</f>
        <v>0</v>
      </c>
      <c r="G163" s="118">
        <f>SUM(财务基础数据!AE301:'财务基础数据'!AH301)*目录!D6</f>
        <v>0</v>
      </c>
      <c r="H163" s="118">
        <f>SUM(财务基础数据!AI301:'财务基础数据'!AL301)*目录!D6</f>
        <v>0</v>
      </c>
      <c r="I163" s="118">
        <f>财务基础数据!AM301*目录!D6</f>
        <v>0</v>
      </c>
      <c r="J163" s="118">
        <f>财务基础数据!AN301*目录!D6</f>
        <v>0</v>
      </c>
      <c r="K163" s="118">
        <f>财务基础数据!AO301*目录!D6</f>
        <v>0</v>
      </c>
      <c r="L163" s="118">
        <f>L164*利润表!AK94</f>
        <v>0</v>
      </c>
      <c r="M163" s="118">
        <f>M164*利润表!AL94</f>
        <v>0</v>
      </c>
      <c r="N163" s="118">
        <f>N164*利润表!AM94</f>
        <v>0</v>
      </c>
      <c r="O163" s="118">
        <f>O164*利润表!AN94</f>
        <v>0</v>
      </c>
      <c r="P163" s="118">
        <f>P164*利润表!AO94</f>
        <v>0</v>
      </c>
      <c r="Q163" s="118">
        <f>Q164*利润表!AP94</f>
        <v>0</v>
      </c>
      <c r="R163" s="118">
        <f>R164*利润表!AQ94</f>
        <v>0</v>
      </c>
      <c r="S163" s="118">
        <f>S164*利润表!AR94</f>
        <v>0</v>
      </c>
      <c r="T163" s="118">
        <f>T164*利润表!AS94</f>
        <v>0</v>
      </c>
      <c r="U163" s="118">
        <f>U164*利润表!AT94</f>
        <v>0</v>
      </c>
      <c r="V163" s="118"/>
    </row>
    <row r="164" spans="1:23" ht="18" customHeight="1">
      <c r="C164" s="150" t="s">
        <v>184</v>
      </c>
      <c r="F164" s="120">
        <f>IF(ISERROR(F163/利润表!Y94),0,F163/利润表!Y94)</f>
        <v>0</v>
      </c>
      <c r="G164" s="120">
        <f>IF(ISERROR(G163/利润表!AC94),0,G163/利润表!AC94)</f>
        <v>0</v>
      </c>
      <c r="H164" s="120">
        <f>IF(ISERROR(H163/利润表!AG94),0,H163/利润表!AG94)</f>
        <v>0</v>
      </c>
      <c r="I164" s="118"/>
      <c r="J164" s="118"/>
      <c r="K164" s="118"/>
      <c r="L164" s="819">
        <f>IF(利润表!AK94&lt;=0,0,IF(SUM(I163:K163)+财务基础数据!AP301*目录!D6=0,H164,(SUM(I163:K163)+财务基础数据!AP301*目录!D6)/利润表!AK94))</f>
        <v>0</v>
      </c>
      <c r="M164" s="820">
        <f>IF(利润表!AL94&lt;=0,0,L164)</f>
        <v>0</v>
      </c>
      <c r="N164" s="820">
        <f>IF(利润表!AM94&lt;=0,0,M164)</f>
        <v>0</v>
      </c>
      <c r="O164" s="820">
        <f>IF(利润表!AN94&lt;=0,0,N164)</f>
        <v>0</v>
      </c>
      <c r="P164" s="820">
        <f>IF(利润表!AO94&lt;=0,0,O164)</f>
        <v>0</v>
      </c>
      <c r="Q164" s="820">
        <f>IF(利润表!AP94&lt;=0,0,P164)</f>
        <v>0</v>
      </c>
      <c r="R164" s="820">
        <f>IF(利润表!AQ94&lt;=0,0,Q164)</f>
        <v>0</v>
      </c>
      <c r="S164" s="820">
        <f>IF(利润表!AR94&lt;=0,0,R164)</f>
        <v>0</v>
      </c>
      <c r="T164" s="820">
        <f>IF(利润表!AS94&lt;=0,0,S164)</f>
        <v>0</v>
      </c>
      <c r="U164" s="820">
        <f>IF(利润表!AT94&lt;=0,0,T164)</f>
        <v>0</v>
      </c>
    </row>
    <row r="165" spans="1:23" ht="18" customHeight="1">
      <c r="C165" s="150" t="s">
        <v>185</v>
      </c>
      <c r="F165" s="118">
        <f>SUM(财务基础数据!AA296:AD296)</f>
        <v>0</v>
      </c>
      <c r="G165" s="118">
        <f>SUM(财务基础数据!AE296:AH296)</f>
        <v>0</v>
      </c>
      <c r="H165" s="118">
        <f>SUM(财务基础数据!AI296:AL296)</f>
        <v>0</v>
      </c>
      <c r="I165" s="118">
        <f>财务基础数据!AM296</f>
        <v>0</v>
      </c>
      <c r="J165" s="118">
        <f>财务基础数据!AN296</f>
        <v>0</v>
      </c>
      <c r="K165" s="118">
        <f>财务基础数据!AO296</f>
        <v>0</v>
      </c>
      <c r="L165" s="118">
        <f>IF(ISERROR(L163/主要财务摘要!$F$4),0,L163/主要财务摘要!$F$4)</f>
        <v>0</v>
      </c>
      <c r="M165" s="118">
        <f>IF(ISERROR(M163/主要财务摘要!$F$4),0,M163/主要财务摘要!$F$4)</f>
        <v>0</v>
      </c>
      <c r="N165" s="118">
        <f>IF(ISERROR(N163/主要财务摘要!$F$4),0,N163/主要财务摘要!$F$4)</f>
        <v>0</v>
      </c>
      <c r="O165" s="118">
        <f>IF(ISERROR(O163/主要财务摘要!$F$4),0,O163/主要财务摘要!$F$4)</f>
        <v>0</v>
      </c>
      <c r="P165" s="118">
        <f>IF(ISERROR(P163/主要财务摘要!$F$4),0,P163/主要财务摘要!$F$4)</f>
        <v>0</v>
      </c>
      <c r="Q165" s="118">
        <f>IF(ISERROR(Q163/主要财务摘要!$F$4),0,Q163/主要财务摘要!$F$4)</f>
        <v>0</v>
      </c>
      <c r="R165" s="118">
        <f>IF(ISERROR(R163/主要财务摘要!$F$4),0,R163/主要财务摘要!$F$4)</f>
        <v>0</v>
      </c>
      <c r="S165" s="118">
        <f>IF(ISERROR(S163/主要财务摘要!$F$4),0,S163/主要财务摘要!$F$4)</f>
        <v>0</v>
      </c>
      <c r="T165" s="118">
        <f>IF(ISERROR(T163/主要财务摘要!$F$4),0,T163/主要财务摘要!$F$4)</f>
        <v>0</v>
      </c>
      <c r="U165" s="118">
        <f>IF(ISERROR(U163/主要财务摘要!$F$4),0,U163/主要财务摘要!$F$4)</f>
        <v>0</v>
      </c>
    </row>
    <row r="166" spans="1:23" ht="18" customHeight="1"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W166" s="827"/>
    </row>
    <row r="167" spans="1:23" s="404" customFormat="1" ht="18" customHeight="1">
      <c r="A167" s="804"/>
      <c r="B167" s="381" t="s">
        <v>186</v>
      </c>
      <c r="C167" s="150"/>
      <c r="D167" s="655"/>
      <c r="E167" s="655"/>
      <c r="F167" s="774"/>
      <c r="G167" s="742"/>
      <c r="H167" s="742"/>
      <c r="I167" s="774"/>
      <c r="J167" s="774"/>
      <c r="K167" s="774"/>
      <c r="L167" s="774"/>
      <c r="M167" s="742"/>
      <c r="N167" s="742"/>
      <c r="O167" s="742"/>
      <c r="P167" s="742"/>
      <c r="Q167" s="742"/>
      <c r="R167" s="742"/>
      <c r="S167" s="742"/>
      <c r="T167" s="742"/>
      <c r="U167" s="742"/>
      <c r="V167" s="674"/>
      <c r="W167" s="828"/>
    </row>
    <row r="168" spans="1:23" s="757" customFormat="1" ht="18" customHeight="1">
      <c r="A168" s="805"/>
      <c r="B168" s="806"/>
      <c r="C168" s="807" t="s">
        <v>187</v>
      </c>
      <c r="D168" s="805"/>
      <c r="E168" s="805"/>
      <c r="F168" s="808"/>
      <c r="G168" s="809"/>
      <c r="H168" s="809"/>
      <c r="I168" s="808"/>
      <c r="J168" s="808"/>
      <c r="K168" s="808"/>
      <c r="L168" s="808">
        <f>L169+L170</f>
        <v>0</v>
      </c>
      <c r="M168" s="808">
        <f t="shared" ref="M168:U168" si="66">M169+M170</f>
        <v>0</v>
      </c>
      <c r="N168" s="808">
        <f t="shared" si="66"/>
        <v>0</v>
      </c>
      <c r="O168" s="808">
        <f t="shared" si="66"/>
        <v>0</v>
      </c>
      <c r="P168" s="808">
        <f t="shared" si="66"/>
        <v>0</v>
      </c>
      <c r="Q168" s="808">
        <f t="shared" si="66"/>
        <v>0</v>
      </c>
      <c r="R168" s="808">
        <f t="shared" si="66"/>
        <v>0</v>
      </c>
      <c r="S168" s="808">
        <f t="shared" si="66"/>
        <v>0</v>
      </c>
      <c r="T168" s="808">
        <f t="shared" si="66"/>
        <v>0</v>
      </c>
      <c r="U168" s="808">
        <f t="shared" si="66"/>
        <v>0</v>
      </c>
    </row>
    <row r="169" spans="1:23" s="404" customFormat="1" ht="18" customHeight="1">
      <c r="A169" s="743"/>
      <c r="B169" s="381"/>
      <c r="C169" s="810" t="s">
        <v>188</v>
      </c>
      <c r="D169" s="777"/>
      <c r="E169" s="777"/>
      <c r="F169" s="745"/>
      <c r="G169" s="742"/>
      <c r="H169" s="742"/>
      <c r="I169" s="118"/>
      <c r="J169" s="118"/>
      <c r="K169" s="118"/>
      <c r="L169" s="808">
        <f>IF(ISERROR(L184*$L$129),0,L184*$L$129)</f>
        <v>0</v>
      </c>
      <c r="M169" s="808">
        <f t="shared" ref="M169:U169" si="67">IF(ISERROR(M184*$L$129),0,M184*$L$129)</f>
        <v>0</v>
      </c>
      <c r="N169" s="808">
        <f t="shared" si="67"/>
        <v>0</v>
      </c>
      <c r="O169" s="808">
        <f t="shared" si="67"/>
        <v>0</v>
      </c>
      <c r="P169" s="808">
        <f t="shared" si="67"/>
        <v>0</v>
      </c>
      <c r="Q169" s="808">
        <f t="shared" si="67"/>
        <v>0</v>
      </c>
      <c r="R169" s="808">
        <f t="shared" si="67"/>
        <v>0</v>
      </c>
      <c r="S169" s="808">
        <f t="shared" si="67"/>
        <v>0</v>
      </c>
      <c r="T169" s="808">
        <f t="shared" si="67"/>
        <v>0</v>
      </c>
      <c r="U169" s="808">
        <f t="shared" si="67"/>
        <v>0</v>
      </c>
      <c r="V169" s="808"/>
    </row>
    <row r="170" spans="1:23" s="758" customFormat="1" ht="18" customHeight="1">
      <c r="A170" s="811"/>
      <c r="B170" s="812"/>
      <c r="C170" s="810" t="s">
        <v>189</v>
      </c>
      <c r="D170" s="813"/>
      <c r="E170" s="813"/>
      <c r="F170" s="745"/>
      <c r="G170" s="814"/>
      <c r="H170" s="814"/>
      <c r="I170" s="118"/>
      <c r="J170" s="118"/>
      <c r="K170" s="118"/>
      <c r="L170" s="821"/>
      <c r="M170" s="821"/>
      <c r="N170" s="821"/>
      <c r="O170" s="821"/>
      <c r="P170" s="821"/>
      <c r="Q170" s="821"/>
      <c r="R170" s="821"/>
      <c r="S170" s="821"/>
      <c r="T170" s="821"/>
      <c r="U170" s="821"/>
      <c r="V170" s="1162" t="s">
        <v>190</v>
      </c>
    </row>
    <row r="171" spans="1:23" s="757" customFormat="1" ht="18" customHeight="1">
      <c r="A171" s="805"/>
      <c r="B171" s="806"/>
      <c r="C171" s="807" t="s">
        <v>191</v>
      </c>
      <c r="D171" s="805"/>
      <c r="E171" s="805"/>
      <c r="F171" s="808"/>
      <c r="G171" s="809"/>
      <c r="H171" s="809"/>
      <c r="I171" s="808"/>
      <c r="J171" s="808"/>
      <c r="K171" s="808"/>
      <c r="L171" s="808">
        <f>L172+L173</f>
        <v>0</v>
      </c>
      <c r="M171" s="808">
        <f t="shared" ref="M171:U171" si="68">M172+M173</f>
        <v>0</v>
      </c>
      <c r="N171" s="808">
        <f t="shared" si="68"/>
        <v>0</v>
      </c>
      <c r="O171" s="808">
        <f t="shared" si="68"/>
        <v>0</v>
      </c>
      <c r="P171" s="808">
        <f t="shared" si="68"/>
        <v>0</v>
      </c>
      <c r="Q171" s="808">
        <f t="shared" si="68"/>
        <v>0</v>
      </c>
      <c r="R171" s="808">
        <f t="shared" si="68"/>
        <v>0</v>
      </c>
      <c r="S171" s="808">
        <f t="shared" si="68"/>
        <v>0</v>
      </c>
      <c r="T171" s="808">
        <f t="shared" si="68"/>
        <v>0</v>
      </c>
      <c r="U171" s="808">
        <f t="shared" si="68"/>
        <v>0</v>
      </c>
      <c r="V171" s="1162"/>
    </row>
    <row r="172" spans="1:23" s="404" customFormat="1" ht="18" customHeight="1">
      <c r="A172" s="743"/>
      <c r="B172" s="694"/>
      <c r="C172" s="810" t="s">
        <v>188</v>
      </c>
      <c r="D172" s="777"/>
      <c r="E172" s="777"/>
      <c r="F172" s="774"/>
      <c r="G172" s="742"/>
      <c r="H172" s="742"/>
      <c r="I172" s="118"/>
      <c r="J172" s="118"/>
      <c r="K172" s="118"/>
      <c r="L172" s="808">
        <f>IF(ISERROR(L183-L169),0,L183-L169)</f>
        <v>0</v>
      </c>
      <c r="M172" s="808">
        <f t="shared" ref="M172:U172" si="69">IF(ISERROR(M183-M169),0,M183-M169)</f>
        <v>0</v>
      </c>
      <c r="N172" s="808">
        <f t="shared" si="69"/>
        <v>0</v>
      </c>
      <c r="O172" s="808">
        <f t="shared" si="69"/>
        <v>0</v>
      </c>
      <c r="P172" s="808">
        <f t="shared" si="69"/>
        <v>0</v>
      </c>
      <c r="Q172" s="808">
        <f t="shared" si="69"/>
        <v>0</v>
      </c>
      <c r="R172" s="808">
        <f t="shared" si="69"/>
        <v>0</v>
      </c>
      <c r="S172" s="808">
        <f t="shared" si="69"/>
        <v>0</v>
      </c>
      <c r="T172" s="808">
        <f t="shared" si="69"/>
        <v>0</v>
      </c>
      <c r="U172" s="808">
        <f t="shared" si="69"/>
        <v>0</v>
      </c>
      <c r="V172" s="1162"/>
    </row>
    <row r="173" spans="1:23" s="758" customFormat="1" ht="18" customHeight="1">
      <c r="A173" s="815"/>
      <c r="B173" s="816"/>
      <c r="C173" s="810" t="s">
        <v>189</v>
      </c>
      <c r="D173" s="817"/>
      <c r="E173" s="817"/>
      <c r="F173" s="762"/>
      <c r="G173" s="814"/>
      <c r="H173" s="814"/>
      <c r="I173" s="762"/>
      <c r="J173" s="762"/>
      <c r="K173" s="762"/>
      <c r="L173" s="821"/>
      <c r="M173" s="821"/>
      <c r="N173" s="821"/>
      <c r="O173" s="821"/>
      <c r="P173" s="821"/>
      <c r="Q173" s="821"/>
      <c r="R173" s="821"/>
      <c r="S173" s="821"/>
      <c r="T173" s="821"/>
      <c r="U173" s="821"/>
      <c r="V173" s="1162"/>
    </row>
    <row r="174" spans="1:23" s="404" customFormat="1" ht="18" customHeight="1">
      <c r="A174" s="783"/>
      <c r="B174" s="784"/>
      <c r="C174" s="779"/>
      <c r="D174" s="781"/>
      <c r="E174" s="781"/>
      <c r="F174" s="135"/>
      <c r="G174" s="135"/>
      <c r="H174" s="135"/>
      <c r="I174" s="797"/>
      <c r="J174" s="797"/>
      <c r="K174" s="797"/>
      <c r="L174" s="798"/>
      <c r="M174" s="798"/>
      <c r="N174" s="798"/>
      <c r="O174" s="798"/>
      <c r="P174" s="798"/>
      <c r="Q174" s="798"/>
      <c r="R174" s="798"/>
      <c r="S174" s="798"/>
      <c r="T174" s="798"/>
      <c r="U174" s="798"/>
      <c r="V174" s="150"/>
    </row>
    <row r="175" spans="1:23" s="404" customFormat="1" ht="18" hidden="1" customHeight="1">
      <c r="A175" s="804"/>
      <c r="B175" s="670"/>
      <c r="C175" s="810"/>
      <c r="D175" s="655"/>
      <c r="E175" s="655"/>
      <c r="F175" s="774"/>
      <c r="G175" s="742"/>
      <c r="H175" s="742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824"/>
    </row>
    <row r="176" spans="1:23" s="404" customFormat="1" ht="18" hidden="1" customHeight="1">
      <c r="A176" s="804"/>
      <c r="B176" s="670"/>
      <c r="C176" s="810"/>
      <c r="D176" s="655"/>
      <c r="E176" s="655"/>
      <c r="F176" s="774"/>
      <c r="G176" s="742"/>
      <c r="H176" s="742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674"/>
    </row>
    <row r="177" spans="1:22" s="404" customFormat="1" ht="18" customHeight="1">
      <c r="A177" s="804"/>
      <c r="B177" s="670"/>
      <c r="C177" s="810"/>
      <c r="D177" s="655"/>
      <c r="E177" s="655"/>
      <c r="F177" s="774"/>
      <c r="G177" s="742"/>
      <c r="H177" s="742"/>
      <c r="I177" s="774"/>
      <c r="J177" s="774"/>
      <c r="K177" s="774"/>
      <c r="L177" s="822"/>
      <c r="M177" s="822"/>
      <c r="N177" s="822"/>
      <c r="O177" s="822"/>
      <c r="P177" s="822"/>
      <c r="Q177" s="822"/>
      <c r="R177" s="822"/>
      <c r="S177" s="822"/>
      <c r="T177" s="822"/>
      <c r="U177" s="822"/>
      <c r="V177" s="674"/>
    </row>
    <row r="178" spans="1:22" ht="18" customHeight="1">
      <c r="B178" s="670" t="s">
        <v>192</v>
      </c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</row>
    <row r="179" spans="1:22" ht="15" customHeight="1">
      <c r="A179" s="669"/>
      <c r="B179" s="381" t="s">
        <v>193</v>
      </c>
      <c r="C179" s="143"/>
      <c r="D179" s="155"/>
      <c r="E179" s="155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</row>
    <row r="180" spans="1:22" s="404" customFormat="1" ht="15" customHeight="1">
      <c r="A180" s="804"/>
      <c r="B180" s="694"/>
      <c r="C180" s="150" t="s">
        <v>194</v>
      </c>
      <c r="D180" s="655"/>
      <c r="E180" s="655"/>
      <c r="F180" s="118">
        <f>资产负债表!U66</f>
        <v>0</v>
      </c>
      <c r="G180" s="118">
        <f>IF(ISERROR(资产负债表!Y66),0,资产负债表!Y66)</f>
        <v>0</v>
      </c>
      <c r="H180" s="118">
        <f>IF(ISERROR(资产负债表!AC66),0,资产负债表!AC66)</f>
        <v>0</v>
      </c>
      <c r="I180" s="118">
        <f>IF(ISERROR(资产负债表!AG66),0,资产负债表!AG66)</f>
        <v>0</v>
      </c>
      <c r="J180" s="118">
        <f>IF(ISERROR(资产负债表!AH66),0,资产负债表!AH66)</f>
        <v>0</v>
      </c>
      <c r="K180" s="118">
        <f>IF(ISERROR(资产负债表!AI66),0,资产负债表!AI66)</f>
        <v>0</v>
      </c>
      <c r="L180" s="118">
        <f>H185</f>
        <v>0</v>
      </c>
      <c r="M180" s="118">
        <f t="shared" ref="M180:U180" si="70">L185</f>
        <v>0</v>
      </c>
      <c r="N180" s="118">
        <f t="shared" si="70"/>
        <v>0</v>
      </c>
      <c r="O180" s="118">
        <f t="shared" si="70"/>
        <v>0</v>
      </c>
      <c r="P180" s="118">
        <f t="shared" si="70"/>
        <v>0</v>
      </c>
      <c r="Q180" s="118">
        <f t="shared" si="70"/>
        <v>0</v>
      </c>
      <c r="R180" s="118">
        <f t="shared" si="70"/>
        <v>0</v>
      </c>
      <c r="S180" s="118">
        <f t="shared" si="70"/>
        <v>0</v>
      </c>
      <c r="T180" s="118">
        <f t="shared" si="70"/>
        <v>0</v>
      </c>
      <c r="U180" s="118">
        <f t="shared" si="70"/>
        <v>0</v>
      </c>
      <c r="V180" s="674"/>
    </row>
    <row r="181" spans="1:22" ht="15" customHeight="1">
      <c r="A181" s="743" t="s">
        <v>133</v>
      </c>
      <c r="C181" s="150" t="s">
        <v>195</v>
      </c>
      <c r="D181" s="777"/>
      <c r="E181" s="777"/>
      <c r="F181" s="118">
        <f>F185-F180</f>
        <v>0</v>
      </c>
      <c r="G181" s="118">
        <f t="shared" ref="G181:H181" si="71">G185-G180</f>
        <v>0</v>
      </c>
      <c r="H181" s="118">
        <f t="shared" si="71"/>
        <v>0</v>
      </c>
      <c r="I181" s="118">
        <f>IF(财务基础数据!AM4=0,0,I185-I180)</f>
        <v>0</v>
      </c>
      <c r="J181" s="118">
        <f>IF(财务基础数据!AM4&lt;=1,0,J185-J180)</f>
        <v>0</v>
      </c>
      <c r="K181" s="118">
        <f>IF(财务基础数据!AM4&lt;=2,0,K185-K180)</f>
        <v>0</v>
      </c>
      <c r="L181" s="697"/>
      <c r="M181" s="697"/>
      <c r="N181" s="697"/>
      <c r="O181" s="697"/>
      <c r="P181" s="697"/>
      <c r="Q181" s="697"/>
      <c r="R181" s="697"/>
      <c r="S181" s="697"/>
      <c r="T181" s="697"/>
      <c r="U181" s="697"/>
    </row>
    <row r="182" spans="1:22" ht="15" customHeight="1">
      <c r="A182" s="743" t="s">
        <v>133</v>
      </c>
      <c r="C182" s="150" t="s">
        <v>196</v>
      </c>
      <c r="D182" s="777"/>
      <c r="E182" s="777"/>
      <c r="F182" s="745"/>
      <c r="G182" s="118"/>
      <c r="H182" s="118"/>
      <c r="I182" s="118"/>
      <c r="J182" s="118"/>
      <c r="K182" s="118"/>
      <c r="L182" s="697"/>
      <c r="M182" s="697"/>
      <c r="N182" s="697"/>
      <c r="O182" s="697"/>
      <c r="P182" s="697"/>
      <c r="Q182" s="697"/>
      <c r="R182" s="697"/>
      <c r="S182" s="697"/>
      <c r="T182" s="697"/>
      <c r="U182" s="697"/>
    </row>
    <row r="183" spans="1:22" ht="15" customHeight="1">
      <c r="A183" s="743"/>
      <c r="C183" s="130" t="s">
        <v>197</v>
      </c>
      <c r="D183" s="777"/>
      <c r="E183" s="777"/>
      <c r="F183" s="745"/>
      <c r="G183" s="118"/>
      <c r="H183" s="118"/>
      <c r="I183" s="118"/>
      <c r="J183" s="118"/>
      <c r="K183" s="118"/>
      <c r="L183" s="821"/>
      <c r="M183" s="821"/>
      <c r="N183" s="821"/>
      <c r="O183" s="821"/>
      <c r="P183" s="821"/>
      <c r="Q183" s="821"/>
      <c r="R183" s="821"/>
      <c r="S183" s="821"/>
      <c r="T183" s="821"/>
      <c r="U183" s="821"/>
    </row>
    <row r="184" spans="1:22" ht="15" customHeight="1">
      <c r="A184" s="743"/>
      <c r="C184" s="696" t="s">
        <v>198</v>
      </c>
      <c r="D184" s="777"/>
      <c r="E184" s="777"/>
      <c r="F184" s="745"/>
      <c r="G184" s="118"/>
      <c r="H184" s="118"/>
      <c r="I184" s="118"/>
      <c r="J184" s="118"/>
      <c r="K184" s="118"/>
      <c r="L184" s="821"/>
      <c r="M184" s="821"/>
      <c r="N184" s="821"/>
      <c r="O184" s="821"/>
      <c r="P184" s="821"/>
      <c r="Q184" s="821"/>
      <c r="R184" s="821"/>
      <c r="S184" s="821"/>
      <c r="T184" s="821"/>
      <c r="U184" s="821"/>
    </row>
    <row r="185" spans="1:22" ht="15" customHeight="1">
      <c r="C185" s="150" t="s">
        <v>199</v>
      </c>
      <c r="F185" s="118">
        <f>资产负债表!Y66</f>
        <v>0</v>
      </c>
      <c r="G185" s="118">
        <f>资产负债表!AC66</f>
        <v>0</v>
      </c>
      <c r="H185" s="118">
        <f>资产负债表!AG66</f>
        <v>0</v>
      </c>
      <c r="I185" s="118">
        <f>资产负债表!AH66</f>
        <v>0</v>
      </c>
      <c r="J185" s="118">
        <f>资产负债表!AI66</f>
        <v>0</v>
      </c>
      <c r="K185" s="118">
        <f>资产负债表!AJ66</f>
        <v>0</v>
      </c>
      <c r="L185" s="118">
        <f>IF(ISERROR(L180+L181-L182-L183),0,L180+L181-L182-L183)</f>
        <v>0</v>
      </c>
      <c r="M185" s="118">
        <f t="shared" ref="M185:U185" si="72">IF(ISERROR(M180+M181-M182-M183),0,M180+M181-M182-M183)</f>
        <v>0</v>
      </c>
      <c r="N185" s="118">
        <f t="shared" si="72"/>
        <v>0</v>
      </c>
      <c r="O185" s="118">
        <f t="shared" si="72"/>
        <v>0</v>
      </c>
      <c r="P185" s="118">
        <f t="shared" si="72"/>
        <v>0</v>
      </c>
      <c r="Q185" s="118">
        <f t="shared" si="72"/>
        <v>0</v>
      </c>
      <c r="R185" s="118">
        <f t="shared" si="72"/>
        <v>0</v>
      </c>
      <c r="S185" s="118">
        <f t="shared" si="72"/>
        <v>0</v>
      </c>
      <c r="T185" s="118">
        <f t="shared" si="72"/>
        <v>0</v>
      </c>
      <c r="U185" s="118">
        <f t="shared" si="72"/>
        <v>0</v>
      </c>
    </row>
    <row r="186" spans="1:22" s="404" customFormat="1" ht="15" customHeight="1">
      <c r="A186" s="741"/>
      <c r="B186" s="694"/>
      <c r="C186" s="674" t="s">
        <v>200</v>
      </c>
      <c r="D186" s="672">
        <v>0</v>
      </c>
      <c r="E186" s="818"/>
      <c r="F186" s="762"/>
      <c r="G186" s="762"/>
      <c r="H186" s="762"/>
      <c r="I186" s="762"/>
      <c r="J186" s="762"/>
      <c r="K186" s="762"/>
      <c r="L186" s="823">
        <f>$D$186</f>
        <v>0</v>
      </c>
      <c r="M186" s="823">
        <f t="shared" ref="M186:U186" si="73">$D$186</f>
        <v>0</v>
      </c>
      <c r="N186" s="823">
        <f t="shared" si="73"/>
        <v>0</v>
      </c>
      <c r="O186" s="823">
        <f t="shared" si="73"/>
        <v>0</v>
      </c>
      <c r="P186" s="823">
        <f t="shared" si="73"/>
        <v>0</v>
      </c>
      <c r="Q186" s="823">
        <f t="shared" si="73"/>
        <v>0</v>
      </c>
      <c r="R186" s="823">
        <f t="shared" si="73"/>
        <v>0</v>
      </c>
      <c r="S186" s="823">
        <f t="shared" si="73"/>
        <v>0</v>
      </c>
      <c r="T186" s="823">
        <f t="shared" si="73"/>
        <v>0</v>
      </c>
      <c r="U186" s="823">
        <f t="shared" si="73"/>
        <v>0</v>
      </c>
      <c r="V186" s="674"/>
    </row>
    <row r="187" spans="1:22" ht="15" customHeight="1"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</row>
    <row r="188" spans="1:22" s="404" customFormat="1" ht="15" customHeight="1">
      <c r="A188" s="669"/>
      <c r="B188" s="381" t="s">
        <v>201</v>
      </c>
      <c r="C188" s="143"/>
      <c r="D188" s="155"/>
      <c r="E188" s="155"/>
      <c r="F188" s="774"/>
      <c r="G188" s="742"/>
      <c r="H188" s="742"/>
      <c r="I188" s="774"/>
      <c r="J188" s="774"/>
      <c r="K188" s="774"/>
      <c r="L188" s="774"/>
      <c r="M188" s="742"/>
      <c r="N188" s="742"/>
      <c r="O188" s="742"/>
      <c r="P188" s="742"/>
      <c r="Q188" s="742"/>
      <c r="R188" s="742"/>
      <c r="S188" s="742"/>
      <c r="T188" s="742"/>
      <c r="U188" s="742"/>
      <c r="V188" s="674"/>
    </row>
    <row r="189" spans="1:22" s="404" customFormat="1" ht="15" customHeight="1">
      <c r="A189" s="804"/>
      <c r="B189" s="694"/>
      <c r="C189" s="150" t="s">
        <v>194</v>
      </c>
      <c r="D189" s="655"/>
      <c r="E189" s="655"/>
      <c r="F189" s="118">
        <f>资产负债表!U67</f>
        <v>0</v>
      </c>
      <c r="G189" s="118">
        <f>IF(ISERROR(资产负债表!Y67),0,资产负债表!Y67)</f>
        <v>0</v>
      </c>
      <c r="H189" s="118">
        <f>IF(ISERROR(资产负债表!AC67),0,资产负债表!AC67)</f>
        <v>0</v>
      </c>
      <c r="I189" s="118">
        <f>IF(ISERROR(资产负债表!AG67),0,资产负债表!AG67)</f>
        <v>0</v>
      </c>
      <c r="J189" s="118">
        <f>IF(ISERROR(资产负债表!AH67),0,资产负债表!AH67)</f>
        <v>0</v>
      </c>
      <c r="K189" s="118">
        <f>IF(ISERROR(资产负债表!AI67),0,资产负债表!AI67)</f>
        <v>0</v>
      </c>
      <c r="L189" s="118">
        <f>H191</f>
        <v>0</v>
      </c>
      <c r="M189" s="118">
        <f t="shared" ref="M189:U189" si="74">L191</f>
        <v>0</v>
      </c>
      <c r="N189" s="118">
        <f t="shared" si="74"/>
        <v>0</v>
      </c>
      <c r="O189" s="118">
        <f t="shared" si="74"/>
        <v>0</v>
      </c>
      <c r="P189" s="118">
        <f t="shared" si="74"/>
        <v>0</v>
      </c>
      <c r="Q189" s="118">
        <f t="shared" si="74"/>
        <v>0</v>
      </c>
      <c r="R189" s="118">
        <f t="shared" si="74"/>
        <v>0</v>
      </c>
      <c r="S189" s="118">
        <f t="shared" si="74"/>
        <v>0</v>
      </c>
      <c r="T189" s="118">
        <f t="shared" si="74"/>
        <v>0</v>
      </c>
      <c r="U189" s="118">
        <f t="shared" si="74"/>
        <v>0</v>
      </c>
      <c r="V189" s="674"/>
    </row>
    <row r="190" spans="1:22" s="404" customFormat="1" ht="15" customHeight="1">
      <c r="A190" s="743" t="s">
        <v>133</v>
      </c>
      <c r="B190" s="381"/>
      <c r="C190" s="150" t="s">
        <v>202</v>
      </c>
      <c r="D190" s="777"/>
      <c r="E190" s="777"/>
      <c r="F190" s="118">
        <f>F191-F189</f>
        <v>0</v>
      </c>
      <c r="G190" s="118">
        <f t="shared" ref="G190:H190" si="75">G191-G189</f>
        <v>0</v>
      </c>
      <c r="H190" s="118">
        <f t="shared" si="75"/>
        <v>0</v>
      </c>
      <c r="I190" s="118">
        <f>IF(财务基础数据!AM4=0,0,I191-I189)</f>
        <v>0</v>
      </c>
      <c r="J190" s="118">
        <f>IF(财务基础数据!AM4&lt;=1,0,J191-J189)</f>
        <v>0</v>
      </c>
      <c r="K190" s="118">
        <f>IF(财务基础数据!AM4&lt;=2,0,K191-K189)</f>
        <v>0</v>
      </c>
      <c r="L190" s="697"/>
      <c r="M190" s="697"/>
      <c r="N190" s="697"/>
      <c r="O190" s="697"/>
      <c r="P190" s="697"/>
      <c r="Q190" s="697"/>
      <c r="R190" s="697"/>
      <c r="S190" s="697"/>
      <c r="T190" s="697"/>
      <c r="U190" s="697"/>
      <c r="V190" s="674"/>
    </row>
    <row r="191" spans="1:22" s="404" customFormat="1" ht="15" customHeight="1">
      <c r="A191" s="804"/>
      <c r="B191" s="694"/>
      <c r="C191" s="150" t="s">
        <v>199</v>
      </c>
      <c r="D191" s="655"/>
      <c r="E191" s="655"/>
      <c r="F191" s="118">
        <f>资产负债表!Y67</f>
        <v>0</v>
      </c>
      <c r="G191" s="118">
        <f>资产负债表!AC67</f>
        <v>0</v>
      </c>
      <c r="H191" s="118">
        <f>资产负债表!AG67</f>
        <v>0</v>
      </c>
      <c r="I191" s="118">
        <f>资产负债表!AH67</f>
        <v>0</v>
      </c>
      <c r="J191" s="118">
        <f>资产负债表!AI67</f>
        <v>0</v>
      </c>
      <c r="K191" s="118">
        <f>资产负债表!AJ67</f>
        <v>0</v>
      </c>
      <c r="L191" s="118">
        <f t="shared" ref="L191:U191" si="76">IF(ISERROR(L189+L190),0,L189+L190)</f>
        <v>0</v>
      </c>
      <c r="M191" s="118">
        <f t="shared" si="76"/>
        <v>0</v>
      </c>
      <c r="N191" s="118">
        <f t="shared" si="76"/>
        <v>0</v>
      </c>
      <c r="O191" s="118">
        <f t="shared" si="76"/>
        <v>0</v>
      </c>
      <c r="P191" s="118">
        <f t="shared" si="76"/>
        <v>0</v>
      </c>
      <c r="Q191" s="118">
        <f t="shared" si="76"/>
        <v>0</v>
      </c>
      <c r="R191" s="118">
        <f t="shared" si="76"/>
        <v>0</v>
      </c>
      <c r="S191" s="118">
        <f t="shared" si="76"/>
        <v>0</v>
      </c>
      <c r="T191" s="118">
        <f t="shared" si="76"/>
        <v>0</v>
      </c>
      <c r="U191" s="118">
        <f t="shared" si="76"/>
        <v>0</v>
      </c>
      <c r="V191" s="674"/>
    </row>
    <row r="192" spans="1:22" s="404" customFormat="1" ht="15" customHeight="1">
      <c r="A192" s="804"/>
      <c r="B192" s="694"/>
      <c r="C192" s="674" t="s">
        <v>203</v>
      </c>
      <c r="D192" s="672">
        <v>0</v>
      </c>
      <c r="E192" s="818"/>
      <c r="F192" s="762"/>
      <c r="G192" s="762"/>
      <c r="H192" s="762"/>
      <c r="I192" s="762"/>
      <c r="J192" s="762"/>
      <c r="K192" s="762"/>
      <c r="L192" s="823">
        <f>$D$192</f>
        <v>0</v>
      </c>
      <c r="M192" s="823">
        <f t="shared" ref="M192:U192" si="77">$D$192</f>
        <v>0</v>
      </c>
      <c r="N192" s="823">
        <f t="shared" si="77"/>
        <v>0</v>
      </c>
      <c r="O192" s="823">
        <f t="shared" si="77"/>
        <v>0</v>
      </c>
      <c r="P192" s="823">
        <f t="shared" si="77"/>
        <v>0</v>
      </c>
      <c r="Q192" s="823">
        <f t="shared" si="77"/>
        <v>0</v>
      </c>
      <c r="R192" s="823">
        <f t="shared" si="77"/>
        <v>0</v>
      </c>
      <c r="S192" s="823">
        <f t="shared" si="77"/>
        <v>0</v>
      </c>
      <c r="T192" s="823">
        <f t="shared" si="77"/>
        <v>0</v>
      </c>
      <c r="U192" s="823">
        <f t="shared" si="77"/>
        <v>0</v>
      </c>
      <c r="V192" s="674"/>
    </row>
    <row r="193" spans="1:22" ht="15" customHeight="1"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</row>
    <row r="194" spans="1:22" s="404" customFormat="1" ht="15" customHeight="1">
      <c r="A194" s="741"/>
      <c r="B194" s="381" t="s">
        <v>204</v>
      </c>
      <c r="C194" s="694"/>
      <c r="F194" s="774"/>
      <c r="G194" s="742"/>
      <c r="H194" s="742"/>
      <c r="I194" s="774"/>
      <c r="J194" s="774"/>
      <c r="K194" s="774"/>
      <c r="L194" s="774"/>
      <c r="M194" s="742"/>
      <c r="N194" s="742"/>
      <c r="O194" s="742"/>
      <c r="P194" s="742"/>
      <c r="Q194" s="742"/>
      <c r="R194" s="742"/>
      <c r="S194" s="742"/>
      <c r="T194" s="742"/>
      <c r="U194" s="742"/>
      <c r="V194" s="674"/>
    </row>
    <row r="195" spans="1:22" s="404" customFormat="1" ht="15" customHeight="1">
      <c r="A195" s="804"/>
      <c r="B195" s="694"/>
      <c r="C195" s="150" t="s">
        <v>194</v>
      </c>
      <c r="D195" s="655"/>
      <c r="E195" s="655"/>
      <c r="F195" s="118">
        <f>资产负债表!U65</f>
        <v>0</v>
      </c>
      <c r="G195" s="118">
        <f>IF(ISERROR(资产负债表!Y65),0,资产负债表!Y65)</f>
        <v>0</v>
      </c>
      <c r="H195" s="118">
        <f>IF(ISERROR(资产负债表!AC65),0,资产负债表!AC65)</f>
        <v>0</v>
      </c>
      <c r="I195" s="118">
        <f>IF(ISERROR(资产负债表!AG65),0,资产负债表!AG65)</f>
        <v>0</v>
      </c>
      <c r="J195" s="118">
        <f>IF(ISERROR(资产负债表!AH65),0,资产负债表!AH65)</f>
        <v>0</v>
      </c>
      <c r="K195" s="118">
        <f>IF(ISERROR(资产负债表!AI65),0,资产负债表!AI65)</f>
        <v>0</v>
      </c>
      <c r="L195" s="118">
        <f>H197</f>
        <v>0</v>
      </c>
      <c r="M195" s="118">
        <f t="shared" ref="M195:U195" si="78">L197</f>
        <v>0</v>
      </c>
      <c r="N195" s="118">
        <f t="shared" si="78"/>
        <v>0</v>
      </c>
      <c r="O195" s="118">
        <f t="shared" si="78"/>
        <v>0</v>
      </c>
      <c r="P195" s="118">
        <f t="shared" si="78"/>
        <v>0</v>
      </c>
      <c r="Q195" s="118">
        <f t="shared" si="78"/>
        <v>0</v>
      </c>
      <c r="R195" s="118">
        <f t="shared" si="78"/>
        <v>0</v>
      </c>
      <c r="S195" s="118">
        <f t="shared" si="78"/>
        <v>0</v>
      </c>
      <c r="T195" s="118">
        <f t="shared" si="78"/>
        <v>0</v>
      </c>
      <c r="U195" s="118">
        <f t="shared" si="78"/>
        <v>0</v>
      </c>
      <c r="V195" s="674"/>
    </row>
    <row r="196" spans="1:22" s="404" customFormat="1" ht="15" customHeight="1">
      <c r="A196" s="743" t="s">
        <v>133</v>
      </c>
      <c r="B196" s="381"/>
      <c r="C196" s="150" t="s">
        <v>202</v>
      </c>
      <c r="D196" s="777"/>
      <c r="E196" s="777"/>
      <c r="F196" s="118">
        <f>F197-F195</f>
        <v>0</v>
      </c>
      <c r="G196" s="118">
        <f>G197-G195</f>
        <v>0</v>
      </c>
      <c r="H196" s="118">
        <f t="shared" ref="H196" si="79">H197-H195</f>
        <v>0</v>
      </c>
      <c r="I196" s="118">
        <f>IF(财务基础数据!AM4=0,0,I197-I195)</f>
        <v>0</v>
      </c>
      <c r="J196" s="118">
        <f>IF(财务基础数据!AM4&lt;=1,0,J197-J195)</f>
        <v>0</v>
      </c>
      <c r="K196" s="118">
        <f>IF(财务基础数据!AM4&lt;=2,0,K197-K195)</f>
        <v>0</v>
      </c>
      <c r="L196" s="697"/>
      <c r="M196" s="697"/>
      <c r="N196" s="697"/>
      <c r="O196" s="697"/>
      <c r="P196" s="697"/>
      <c r="Q196" s="697"/>
      <c r="R196" s="697"/>
      <c r="S196" s="697"/>
      <c r="T196" s="697"/>
      <c r="U196" s="697"/>
      <c r="V196" s="674"/>
    </row>
    <row r="197" spans="1:22" s="404" customFormat="1" ht="15" customHeight="1">
      <c r="A197" s="804"/>
      <c r="B197" s="694"/>
      <c r="C197" s="150" t="s">
        <v>199</v>
      </c>
      <c r="D197" s="655"/>
      <c r="E197" s="655"/>
      <c r="F197" s="118">
        <f>资产负债表!Y65</f>
        <v>0</v>
      </c>
      <c r="G197" s="118">
        <f>资产负债表!AC65</f>
        <v>0</v>
      </c>
      <c r="H197" s="118">
        <f>资产负债表!AG65</f>
        <v>0</v>
      </c>
      <c r="I197" s="118">
        <f>资产负债表!AH65</f>
        <v>0</v>
      </c>
      <c r="J197" s="118">
        <f>资产负债表!AI65</f>
        <v>0</v>
      </c>
      <c r="K197" s="118">
        <f>资产负债表!AJ65</f>
        <v>0</v>
      </c>
      <c r="L197" s="118">
        <f t="shared" ref="L197:U197" si="80">IF(ISERROR(L195+L196),0,L195+L196)</f>
        <v>0</v>
      </c>
      <c r="M197" s="118">
        <f t="shared" si="80"/>
        <v>0</v>
      </c>
      <c r="N197" s="118">
        <f t="shared" si="80"/>
        <v>0</v>
      </c>
      <c r="O197" s="118">
        <f t="shared" si="80"/>
        <v>0</v>
      </c>
      <c r="P197" s="118">
        <f t="shared" si="80"/>
        <v>0</v>
      </c>
      <c r="Q197" s="118">
        <f t="shared" si="80"/>
        <v>0</v>
      </c>
      <c r="R197" s="118">
        <f t="shared" si="80"/>
        <v>0</v>
      </c>
      <c r="S197" s="118">
        <f t="shared" si="80"/>
        <v>0</v>
      </c>
      <c r="T197" s="118">
        <f t="shared" si="80"/>
        <v>0</v>
      </c>
      <c r="U197" s="118">
        <f t="shared" si="80"/>
        <v>0</v>
      </c>
      <c r="V197" s="674"/>
    </row>
    <row r="198" spans="1:22" s="404" customFormat="1" ht="15" customHeight="1">
      <c r="A198" s="804"/>
      <c r="B198" s="694"/>
      <c r="C198" s="674" t="s">
        <v>205</v>
      </c>
      <c r="D198" s="672">
        <v>0</v>
      </c>
      <c r="E198" s="818"/>
      <c r="F198" s="774"/>
      <c r="G198" s="742"/>
      <c r="H198" s="742"/>
      <c r="I198" s="774"/>
      <c r="J198" s="774"/>
      <c r="K198" s="774"/>
      <c r="L198" s="823">
        <f>$D$198</f>
        <v>0</v>
      </c>
      <c r="M198" s="823">
        <f t="shared" ref="M198:U198" si="81">$D$198</f>
        <v>0</v>
      </c>
      <c r="N198" s="823">
        <f t="shared" si="81"/>
        <v>0</v>
      </c>
      <c r="O198" s="823">
        <f t="shared" si="81"/>
        <v>0</v>
      </c>
      <c r="P198" s="823">
        <f t="shared" si="81"/>
        <v>0</v>
      </c>
      <c r="Q198" s="823">
        <f t="shared" si="81"/>
        <v>0</v>
      </c>
      <c r="R198" s="823">
        <f t="shared" si="81"/>
        <v>0</v>
      </c>
      <c r="S198" s="823">
        <f t="shared" si="81"/>
        <v>0</v>
      </c>
      <c r="T198" s="823">
        <f t="shared" si="81"/>
        <v>0</v>
      </c>
      <c r="U198" s="823">
        <f t="shared" si="81"/>
        <v>0</v>
      </c>
      <c r="V198" s="674"/>
    </row>
    <row r="199" spans="1:22" s="404" customFormat="1" ht="15" customHeight="1">
      <c r="A199" s="804"/>
      <c r="B199" s="694"/>
      <c r="C199" s="674"/>
      <c r="D199" s="818"/>
      <c r="E199" s="818"/>
      <c r="F199" s="774"/>
      <c r="G199" s="742"/>
      <c r="H199" s="742"/>
      <c r="I199" s="774"/>
      <c r="J199" s="774"/>
      <c r="K199" s="774"/>
      <c r="L199" s="849"/>
      <c r="M199" s="849"/>
      <c r="N199" s="849"/>
      <c r="O199" s="849"/>
      <c r="P199" s="849"/>
      <c r="Q199" s="849"/>
      <c r="R199" s="849"/>
      <c r="S199" s="849"/>
      <c r="T199" s="849"/>
      <c r="U199" s="849"/>
      <c r="V199" s="674"/>
    </row>
    <row r="200" spans="1:22" s="404" customFormat="1" ht="15" customHeight="1">
      <c r="A200" s="804"/>
      <c r="B200" s="694"/>
      <c r="C200" s="150"/>
      <c r="D200" s="818"/>
      <c r="E200" s="818"/>
      <c r="F200" s="774"/>
      <c r="G200" s="742"/>
      <c r="H200" s="742"/>
      <c r="I200" s="774"/>
      <c r="J200" s="774"/>
      <c r="K200" s="774"/>
      <c r="L200" s="849"/>
      <c r="M200" s="849"/>
      <c r="N200" s="849"/>
      <c r="O200" s="849"/>
      <c r="P200" s="849"/>
      <c r="Q200" s="849"/>
      <c r="R200" s="849"/>
      <c r="S200" s="849"/>
      <c r="T200" s="849"/>
      <c r="U200" s="849"/>
      <c r="V200" s="674"/>
    </row>
    <row r="201" spans="1:22" s="404" customFormat="1" ht="15" customHeight="1">
      <c r="A201" s="804"/>
      <c r="B201" s="381" t="s">
        <v>206</v>
      </c>
      <c r="C201" s="150"/>
      <c r="D201" s="818"/>
      <c r="E201" s="818"/>
      <c r="F201" s="774"/>
      <c r="G201" s="742"/>
      <c r="H201" s="742"/>
      <c r="I201" s="774"/>
      <c r="J201" s="774"/>
      <c r="K201" s="774"/>
      <c r="L201" s="849"/>
      <c r="M201" s="849"/>
      <c r="N201" s="849"/>
      <c r="O201" s="849"/>
      <c r="P201" s="849"/>
      <c r="Q201" s="849"/>
      <c r="R201" s="849"/>
      <c r="S201" s="849"/>
      <c r="T201" s="849"/>
      <c r="U201" s="849"/>
      <c r="V201" s="674"/>
    </row>
    <row r="202" spans="1:22" s="404" customFormat="1" ht="15" customHeight="1">
      <c r="A202" s="741"/>
      <c r="B202" s="381"/>
      <c r="C202" s="381" t="s">
        <v>194</v>
      </c>
      <c r="D202" s="151"/>
      <c r="E202" s="151"/>
      <c r="F202" s="118">
        <f>资产负债表!U49</f>
        <v>0</v>
      </c>
      <c r="G202" s="118">
        <f>IF(ISERROR(资产负债表!Y49),0,资产负债表!Y49)</f>
        <v>0</v>
      </c>
      <c r="H202" s="118">
        <f>IF(ISERROR(资产负债表!AC49),0,资产负债表!AC49)</f>
        <v>0</v>
      </c>
      <c r="I202" s="118">
        <f>IF(ISERROR(资产负债表!AG49),0,资产负债表!AG49)</f>
        <v>0</v>
      </c>
      <c r="J202" s="118">
        <f>IF(ISERROR(资产负债表!AH49),0,资产负债表!AH49)</f>
        <v>0</v>
      </c>
      <c r="K202" s="118">
        <f>IF(ISERROR(资产负债表!AI49),0,资产负债表!AI49)</f>
        <v>0</v>
      </c>
      <c r="L202" s="462">
        <f>资产负债表!AG49</f>
        <v>0</v>
      </c>
      <c r="M202" s="462">
        <f>资产负债表!AK49</f>
        <v>0</v>
      </c>
      <c r="N202" s="462">
        <f>资产负债表!AL49</f>
        <v>0</v>
      </c>
      <c r="O202" s="462">
        <f>资产负债表!AM49</f>
        <v>0</v>
      </c>
      <c r="P202" s="462">
        <f>资产负债表!AN49</f>
        <v>0</v>
      </c>
      <c r="Q202" s="462">
        <f>资产负债表!AO49</f>
        <v>0</v>
      </c>
      <c r="R202" s="462">
        <f>资产负债表!AP49</f>
        <v>0</v>
      </c>
      <c r="S202" s="462">
        <f>资产负债表!AQ49</f>
        <v>0</v>
      </c>
      <c r="T202" s="462">
        <f>资产负债表!AR49</f>
        <v>0</v>
      </c>
      <c r="U202" s="462">
        <f>资产负债表!AS49</f>
        <v>0</v>
      </c>
      <c r="V202" s="674"/>
    </row>
    <row r="203" spans="1:22" s="757" customFormat="1" ht="15" customHeight="1">
      <c r="B203" s="806"/>
      <c r="C203" s="65" t="s">
        <v>202</v>
      </c>
      <c r="D203" s="829"/>
      <c r="E203" s="829"/>
      <c r="F203" s="808">
        <f>F204-F202</f>
        <v>0</v>
      </c>
      <c r="G203" s="808">
        <f t="shared" ref="G203:H203" si="82">G204-G202</f>
        <v>0</v>
      </c>
      <c r="H203" s="808">
        <f t="shared" si="82"/>
        <v>0</v>
      </c>
      <c r="I203" s="808">
        <f>IF(财务基础数据!AM4=0,0,I204-I202)</f>
        <v>0</v>
      </c>
      <c r="J203" s="808">
        <f>IF(财务基础数据!AM4&lt;=1,0,J204-J202)</f>
        <v>0</v>
      </c>
      <c r="K203" s="808">
        <f>IF(财务基础数据!AM4&lt;=2,0,K204-K202)</f>
        <v>0</v>
      </c>
      <c r="L203" s="697"/>
      <c r="M203" s="697"/>
      <c r="N203" s="697"/>
      <c r="O203" s="697"/>
      <c r="P203" s="697"/>
      <c r="Q203" s="697"/>
      <c r="R203" s="697"/>
      <c r="S203" s="697"/>
      <c r="T203" s="697"/>
      <c r="U203" s="697"/>
      <c r="V203" s="851"/>
    </row>
    <row r="204" spans="1:22" ht="15" customHeight="1">
      <c r="B204" s="670"/>
      <c r="C204" s="150" t="s">
        <v>199</v>
      </c>
      <c r="D204" s="830"/>
      <c r="E204" s="830"/>
      <c r="F204" s="118">
        <f>资产负债表!Y49</f>
        <v>0</v>
      </c>
      <c r="G204" s="118">
        <f>资产负债表!AC49</f>
        <v>0</v>
      </c>
      <c r="H204" s="118">
        <f>资产负债表!AG49</f>
        <v>0</v>
      </c>
      <c r="I204" s="118">
        <f>资产负债表!AH49</f>
        <v>0</v>
      </c>
      <c r="J204" s="118">
        <f>资产负债表!AI49</f>
        <v>0</v>
      </c>
      <c r="K204" s="118">
        <f>资产负债表!AJ49</f>
        <v>0</v>
      </c>
      <c r="L204" s="118">
        <f>IF(ISERROR(L202+L203),0,L202+L203)</f>
        <v>0</v>
      </c>
      <c r="M204" s="118">
        <f t="shared" ref="M204:U204" si="83">IF(ISERROR(M202+M203),0,M202+M203)</f>
        <v>0</v>
      </c>
      <c r="N204" s="118">
        <f t="shared" si="83"/>
        <v>0</v>
      </c>
      <c r="O204" s="118">
        <f t="shared" si="83"/>
        <v>0</v>
      </c>
      <c r="P204" s="118">
        <f t="shared" si="83"/>
        <v>0</v>
      </c>
      <c r="Q204" s="118">
        <f t="shared" si="83"/>
        <v>0</v>
      </c>
      <c r="R204" s="118">
        <f t="shared" si="83"/>
        <v>0</v>
      </c>
      <c r="S204" s="118">
        <f t="shared" si="83"/>
        <v>0</v>
      </c>
      <c r="T204" s="118">
        <f t="shared" si="83"/>
        <v>0</v>
      </c>
      <c r="U204" s="118">
        <f t="shared" si="83"/>
        <v>0</v>
      </c>
    </row>
    <row r="205" spans="1:22" s="404" customFormat="1" ht="15" customHeight="1">
      <c r="A205" s="741"/>
      <c r="B205" s="674"/>
      <c r="C205" s="694" t="s">
        <v>207</v>
      </c>
      <c r="D205" s="672">
        <v>0</v>
      </c>
      <c r="E205" s="818"/>
      <c r="F205" s="774"/>
      <c r="G205" s="742"/>
      <c r="H205" s="742"/>
      <c r="I205" s="770"/>
      <c r="J205" s="770"/>
      <c r="K205" s="770"/>
      <c r="L205" s="823">
        <f>$D$205</f>
        <v>0</v>
      </c>
      <c r="M205" s="823">
        <f t="shared" ref="M205:U205" si="84">$D$205</f>
        <v>0</v>
      </c>
      <c r="N205" s="823">
        <f t="shared" si="84"/>
        <v>0</v>
      </c>
      <c r="O205" s="823">
        <f t="shared" si="84"/>
        <v>0</v>
      </c>
      <c r="P205" s="823">
        <f t="shared" si="84"/>
        <v>0</v>
      </c>
      <c r="Q205" s="823">
        <f t="shared" si="84"/>
        <v>0</v>
      </c>
      <c r="R205" s="823">
        <f t="shared" si="84"/>
        <v>0</v>
      </c>
      <c r="S205" s="823">
        <f t="shared" si="84"/>
        <v>0</v>
      </c>
      <c r="T205" s="823">
        <f t="shared" si="84"/>
        <v>0</v>
      </c>
      <c r="U205" s="823">
        <f t="shared" si="84"/>
        <v>0</v>
      </c>
      <c r="V205" s="674"/>
    </row>
    <row r="206" spans="1:22" s="404" customFormat="1" ht="15" customHeight="1">
      <c r="A206" s="741"/>
      <c r="B206" s="674"/>
      <c r="C206" s="381"/>
      <c r="D206" s="818"/>
      <c r="E206" s="818"/>
      <c r="F206" s="774"/>
      <c r="G206" s="742"/>
      <c r="H206" s="742"/>
      <c r="I206" s="770"/>
      <c r="J206" s="770"/>
      <c r="K206" s="770"/>
      <c r="L206" s="849"/>
      <c r="M206" s="849"/>
      <c r="N206" s="849"/>
      <c r="O206" s="849"/>
      <c r="P206" s="849"/>
      <c r="Q206" s="849"/>
      <c r="R206" s="849"/>
      <c r="S206" s="849"/>
      <c r="T206" s="849"/>
      <c r="U206" s="849"/>
      <c r="V206" s="674"/>
    </row>
    <row r="207" spans="1:22" ht="15" customHeight="1">
      <c r="B207" s="381" t="s">
        <v>208</v>
      </c>
      <c r="C207" s="30"/>
      <c r="D207" s="151"/>
      <c r="E207" s="151"/>
      <c r="F207" s="118">
        <f>利润表!Y38</f>
        <v>0</v>
      </c>
      <c r="G207" s="462">
        <f>利润表!AC38</f>
        <v>0</v>
      </c>
      <c r="H207" s="462">
        <f>利润表!AG38</f>
        <v>0</v>
      </c>
      <c r="I207" s="462">
        <f>利润表!AH38</f>
        <v>0</v>
      </c>
      <c r="J207" s="462">
        <f>利润表!AI38</f>
        <v>0</v>
      </c>
      <c r="K207" s="462">
        <f>利润表!AJ38</f>
        <v>0</v>
      </c>
      <c r="L207" s="118">
        <f>IF(ISERROR(L202*L205+L203*0.5*L205+L180*L186+(L181-L182-L183)*0.5*L186+L189*L192+L190*0.5*L192+L195*L198+L196*0.5*L198+L208),0,(L202*L205+L203*0.5*L205+L180*L186+(L181-L182-L183)*0.5*L186+L189*L192+L190*0.5*L192+L195*L198+L196*0.5*L198+L208))</f>
        <v>0</v>
      </c>
      <c r="M207" s="118">
        <f>IF(ISERROR(M202*M205+M203*0.5*M205+M180*M186+(M181-M182-M183)*0.5*M186+M189*M192+M190*0.5*M192+M195*M198+M196*0.5*M198+M208),0,(M202*M205+M203*0.5*M205+M180*M186+(M181-M182-M183)*0.5*M186+M189*M192+M190*0.5*M192+M195*M198+M196*0.5*M198+M208))</f>
        <v>0</v>
      </c>
      <c r="N207" s="118">
        <f>IF(ISERROR(N202*N205+N203*0.5*N205+N180*N186+(N181-N182-N183)*0.5*N186+N189*N192+N190*0.5*N192+N195*N198+N196*0.5*N198+N208),0,(N202*N205+N203*0.5*N205+N180*N186+(N181-N182-N183)*0.5*N186+N189*N192+N190*0.5*N192+N195*N198+N196*0.5*N198+N208))</f>
        <v>0</v>
      </c>
      <c r="O207" s="118">
        <f t="shared" ref="O207:U207" si="85">IF(ISERROR(O202*O205+O203*0.5*O205+O180*O186+(O181-O182-O183)*0.5*O186+O189*O192+O190*0.5*O192+O195*O198+O196*0.5*O198+O208),0,(O202*O205+O203*0.5*O205+O180*O186+(O181-O182-O183)*0.5*O186+O189*O192+O190*0.5*O192+O195*O198+O196*0.5*O198+O208))</f>
        <v>0</v>
      </c>
      <c r="P207" s="118">
        <f t="shared" si="85"/>
        <v>0</v>
      </c>
      <c r="Q207" s="118">
        <f t="shared" si="85"/>
        <v>0</v>
      </c>
      <c r="R207" s="118">
        <f t="shared" si="85"/>
        <v>0</v>
      </c>
      <c r="S207" s="118">
        <f t="shared" si="85"/>
        <v>0</v>
      </c>
      <c r="T207" s="118">
        <f t="shared" si="85"/>
        <v>0</v>
      </c>
      <c r="U207" s="118">
        <f t="shared" si="85"/>
        <v>0</v>
      </c>
      <c r="V207" s="152"/>
    </row>
    <row r="208" spans="1:22" ht="15" customHeight="1">
      <c r="B208" s="677" t="s">
        <v>209</v>
      </c>
      <c r="C208" s="30"/>
      <c r="D208" s="151"/>
      <c r="E208" s="151"/>
      <c r="F208" s="118"/>
      <c r="G208" s="462"/>
      <c r="H208" s="462"/>
      <c r="I208" s="462"/>
      <c r="J208" s="462"/>
      <c r="K208" s="462"/>
      <c r="L208" s="701"/>
      <c r="M208" s="701"/>
      <c r="N208" s="701"/>
      <c r="O208" s="701"/>
      <c r="P208" s="701"/>
      <c r="Q208" s="701"/>
      <c r="R208" s="701"/>
      <c r="S208" s="701"/>
      <c r="T208" s="701"/>
      <c r="U208" s="701"/>
      <c r="V208" s="745"/>
    </row>
    <row r="209" spans="1:22" ht="15" customHeight="1">
      <c r="B209" s="694"/>
      <c r="C209" s="30"/>
      <c r="D209" s="151"/>
      <c r="E209" s="151"/>
      <c r="F209" s="118"/>
      <c r="G209" s="462"/>
      <c r="H209" s="462"/>
      <c r="I209" s="462"/>
      <c r="J209" s="462"/>
      <c r="K209" s="462"/>
      <c r="L209" s="745"/>
      <c r="M209" s="745"/>
      <c r="N209" s="745"/>
      <c r="O209" s="745"/>
      <c r="P209" s="745"/>
      <c r="Q209" s="745"/>
      <c r="R209" s="745"/>
      <c r="S209" s="745"/>
      <c r="T209" s="745"/>
      <c r="U209" s="745"/>
      <c r="V209" s="745"/>
    </row>
    <row r="210" spans="1:22" ht="15" customHeight="1">
      <c r="B210" s="381" t="s">
        <v>210</v>
      </c>
      <c r="C210" s="30"/>
      <c r="D210" s="151"/>
      <c r="E210" s="151"/>
      <c r="F210" s="118">
        <f>利润表!Y39</f>
        <v>0</v>
      </c>
      <c r="G210" s="462">
        <f>利润表!AC39</f>
        <v>0</v>
      </c>
      <c r="H210" s="462">
        <f>利润表!AG39</f>
        <v>0</v>
      </c>
      <c r="I210" s="462">
        <f>利润表!AH39</f>
        <v>0</v>
      </c>
      <c r="J210" s="462">
        <f>利润表!AI39</f>
        <v>0</v>
      </c>
      <c r="K210" s="462">
        <f>利润表!AJ39</f>
        <v>0</v>
      </c>
      <c r="L210" s="118">
        <f>IF(ISERROR(L226*L211+L212),0,L226*L211+L212)</f>
        <v>0</v>
      </c>
      <c r="M210" s="118">
        <f t="shared" ref="M210:U210" si="86">IF(ISERROR(M226*M211+M212),0,M226*M211+M212)</f>
        <v>0</v>
      </c>
      <c r="N210" s="118">
        <f t="shared" si="86"/>
        <v>0</v>
      </c>
      <c r="O210" s="118">
        <f t="shared" si="86"/>
        <v>0</v>
      </c>
      <c r="P210" s="118">
        <f t="shared" si="86"/>
        <v>0</v>
      </c>
      <c r="Q210" s="118">
        <f t="shared" si="86"/>
        <v>0</v>
      </c>
      <c r="R210" s="118">
        <f t="shared" si="86"/>
        <v>0</v>
      </c>
      <c r="S210" s="118">
        <f t="shared" si="86"/>
        <v>0</v>
      </c>
      <c r="T210" s="118">
        <f t="shared" si="86"/>
        <v>0</v>
      </c>
      <c r="U210" s="118">
        <f t="shared" si="86"/>
        <v>0</v>
      </c>
      <c r="V210" s="118"/>
    </row>
    <row r="211" spans="1:22" s="404" customFormat="1" ht="15" customHeight="1">
      <c r="A211" s="741"/>
      <c r="B211" s="694"/>
      <c r="C211" s="674" t="s">
        <v>211</v>
      </c>
      <c r="D211" s="672">
        <v>0</v>
      </c>
      <c r="E211" s="818"/>
      <c r="F211" s="762"/>
      <c r="G211" s="762"/>
      <c r="H211" s="762"/>
      <c r="I211" s="770"/>
      <c r="J211" s="770"/>
      <c r="K211" s="770"/>
      <c r="L211" s="823">
        <f>$D$211</f>
        <v>0</v>
      </c>
      <c r="M211" s="823">
        <f>L211</f>
        <v>0</v>
      </c>
      <c r="N211" s="823">
        <f t="shared" ref="N211:U211" si="87">M211</f>
        <v>0</v>
      </c>
      <c r="O211" s="823">
        <f t="shared" si="87"/>
        <v>0</v>
      </c>
      <c r="P211" s="823">
        <f t="shared" si="87"/>
        <v>0</v>
      </c>
      <c r="Q211" s="823">
        <f t="shared" si="87"/>
        <v>0</v>
      </c>
      <c r="R211" s="823">
        <f t="shared" si="87"/>
        <v>0</v>
      </c>
      <c r="S211" s="823">
        <f t="shared" si="87"/>
        <v>0</v>
      </c>
      <c r="T211" s="823">
        <f t="shared" si="87"/>
        <v>0</v>
      </c>
      <c r="U211" s="823">
        <f t="shared" si="87"/>
        <v>0</v>
      </c>
      <c r="V211" s="674"/>
    </row>
    <row r="212" spans="1:22" ht="15" customHeight="1">
      <c r="A212" s="743"/>
      <c r="B212" s="677" t="s">
        <v>212</v>
      </c>
      <c r="D212" s="831"/>
      <c r="E212" s="831"/>
      <c r="F212" s="118"/>
      <c r="G212" s="462"/>
      <c r="H212" s="462"/>
      <c r="I212" s="118"/>
      <c r="J212" s="118"/>
      <c r="K212" s="118"/>
      <c r="L212" s="701"/>
      <c r="M212" s="701"/>
      <c r="N212" s="701"/>
      <c r="O212" s="701"/>
      <c r="P212" s="701"/>
      <c r="Q212" s="701"/>
      <c r="R212" s="701"/>
      <c r="S212" s="701"/>
      <c r="T212" s="701"/>
      <c r="U212" s="701"/>
      <c r="V212" s="674"/>
    </row>
    <row r="213" spans="1:22" ht="15" customHeight="1">
      <c r="A213" s="743"/>
      <c r="B213" s="677"/>
      <c r="D213" s="831"/>
      <c r="E213" s="831"/>
      <c r="F213" s="118"/>
      <c r="G213" s="118"/>
      <c r="H213" s="118"/>
      <c r="I213" s="118"/>
      <c r="J213" s="118"/>
      <c r="K213" s="118"/>
      <c r="L213" s="745"/>
      <c r="M213" s="745"/>
      <c r="N213" s="745"/>
      <c r="O213" s="745"/>
      <c r="P213" s="745"/>
      <c r="Q213" s="745"/>
      <c r="R213" s="745"/>
      <c r="S213" s="745"/>
      <c r="T213" s="745"/>
      <c r="U213" s="745"/>
      <c r="V213" s="674"/>
    </row>
    <row r="214" spans="1:22" ht="15" customHeight="1">
      <c r="A214" s="743" t="s">
        <v>133</v>
      </c>
      <c r="B214" s="130" t="s">
        <v>213</v>
      </c>
      <c r="D214" s="831"/>
      <c r="E214" s="831"/>
      <c r="F214" s="118">
        <f>F215-(F207-F210)</f>
        <v>0</v>
      </c>
      <c r="G214" s="118">
        <f t="shared" ref="G214:K214" si="88">G215-(G207-G210)</f>
        <v>0</v>
      </c>
      <c r="H214" s="118">
        <f t="shared" si="88"/>
        <v>0</v>
      </c>
      <c r="I214" s="118">
        <f t="shared" si="88"/>
        <v>0</v>
      </c>
      <c r="J214" s="118">
        <f t="shared" si="88"/>
        <v>0</v>
      </c>
      <c r="K214" s="118">
        <f t="shared" si="88"/>
        <v>0</v>
      </c>
      <c r="L214" s="701"/>
      <c r="M214" s="701"/>
      <c r="N214" s="701"/>
      <c r="O214" s="701"/>
      <c r="P214" s="701"/>
      <c r="Q214" s="701"/>
      <c r="R214" s="701"/>
      <c r="S214" s="701"/>
      <c r="T214" s="701"/>
      <c r="U214" s="701"/>
      <c r="V214" s="1162" t="s">
        <v>214</v>
      </c>
    </row>
    <row r="215" spans="1:22" s="155" customFormat="1" ht="15" customHeight="1">
      <c r="A215" s="832"/>
      <c r="B215" s="833" t="s">
        <v>215</v>
      </c>
      <c r="C215" s="834"/>
      <c r="D215" s="835"/>
      <c r="E215" s="835"/>
      <c r="F215" s="836">
        <f>利润表!Y36</f>
        <v>0</v>
      </c>
      <c r="G215" s="837">
        <f>利润表!AC36</f>
        <v>0</v>
      </c>
      <c r="H215" s="837">
        <f>利润表!AG36</f>
        <v>0</v>
      </c>
      <c r="I215" s="837">
        <f>利润表!AH36</f>
        <v>0</v>
      </c>
      <c r="J215" s="837">
        <f>利润表!AI36</f>
        <v>0</v>
      </c>
      <c r="K215" s="837">
        <f>利润表!AJ36</f>
        <v>0</v>
      </c>
      <c r="L215" s="836">
        <f>L207-L210+L214</f>
        <v>0</v>
      </c>
      <c r="M215" s="836">
        <f t="shared" ref="M215:U215" si="89">M207-M210+M214</f>
        <v>0</v>
      </c>
      <c r="N215" s="836">
        <f t="shared" si="89"/>
        <v>0</v>
      </c>
      <c r="O215" s="836">
        <f t="shared" si="89"/>
        <v>0</v>
      </c>
      <c r="P215" s="836">
        <f t="shared" si="89"/>
        <v>0</v>
      </c>
      <c r="Q215" s="836">
        <f t="shared" si="89"/>
        <v>0</v>
      </c>
      <c r="R215" s="836">
        <f t="shared" si="89"/>
        <v>0</v>
      </c>
      <c r="S215" s="836">
        <f t="shared" si="89"/>
        <v>0</v>
      </c>
      <c r="T215" s="836">
        <f t="shared" si="89"/>
        <v>0</v>
      </c>
      <c r="U215" s="836">
        <f t="shared" si="89"/>
        <v>0</v>
      </c>
      <c r="V215" s="1162"/>
    </row>
    <row r="216" spans="1:22" ht="18" customHeight="1">
      <c r="B216" s="673"/>
      <c r="D216" s="151"/>
      <c r="E216" s="151"/>
      <c r="F216" s="118"/>
      <c r="G216" s="462"/>
      <c r="H216" s="462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</row>
    <row r="217" spans="1:22" s="404" customFormat="1" ht="18" customHeight="1">
      <c r="A217" s="741"/>
      <c r="B217" s="381" t="s">
        <v>216</v>
      </c>
      <c r="C217" s="150"/>
      <c r="D217" s="655"/>
      <c r="E217" s="655"/>
      <c r="F217" s="118">
        <f>现金流量表!Y78</f>
        <v>0</v>
      </c>
      <c r="G217" s="118">
        <f>现金流量表!AC78</f>
        <v>0</v>
      </c>
      <c r="H217" s="118">
        <f>现金流量表!AG78</f>
        <v>0</v>
      </c>
      <c r="I217" s="118">
        <f>现金流量表!AH78</f>
        <v>0</v>
      </c>
      <c r="J217" s="118">
        <f>现金流量表!AI78</f>
        <v>0</v>
      </c>
      <c r="K217" s="118">
        <f>现金流量表!AJ78</f>
        <v>0</v>
      </c>
      <c r="L217" s="118">
        <f>现金流量表!AK78</f>
        <v>0</v>
      </c>
      <c r="M217" s="118">
        <f>现金流量表!AL78</f>
        <v>0</v>
      </c>
      <c r="N217" s="118">
        <f>现金流量表!AM78</f>
        <v>0</v>
      </c>
      <c r="O217" s="118">
        <f>现金流量表!AN78</f>
        <v>0</v>
      </c>
      <c r="P217" s="118">
        <f>现金流量表!AO78</f>
        <v>0</v>
      </c>
      <c r="Q217" s="118">
        <f>现金流量表!AP78</f>
        <v>0</v>
      </c>
      <c r="R217" s="118">
        <f>现金流量表!AQ78</f>
        <v>0</v>
      </c>
      <c r="S217" s="118">
        <f>现金流量表!AR78</f>
        <v>0</v>
      </c>
      <c r="T217" s="118">
        <f>现金流量表!AS78</f>
        <v>0</v>
      </c>
      <c r="U217" s="118">
        <f>现金流量表!AT78</f>
        <v>0</v>
      </c>
      <c r="V217" s="674"/>
    </row>
    <row r="218" spans="1:22" s="404" customFormat="1" ht="18" customHeight="1">
      <c r="A218" s="741"/>
      <c r="B218" s="381" t="s">
        <v>217</v>
      </c>
      <c r="D218" s="363"/>
      <c r="E218" s="363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674"/>
    </row>
    <row r="219" spans="1:22" ht="18" customHeight="1">
      <c r="C219" s="150" t="s">
        <v>218</v>
      </c>
      <c r="F219" s="118"/>
      <c r="G219" s="118"/>
      <c r="H219" s="118"/>
      <c r="I219" s="118"/>
      <c r="J219" s="118"/>
      <c r="K219" s="118"/>
      <c r="L219" s="118">
        <f>现金流量表!AK36</f>
        <v>0</v>
      </c>
      <c r="M219" s="118">
        <f>现金流量表!AL36</f>
        <v>0</v>
      </c>
      <c r="N219" s="118">
        <f>现金流量表!AM36</f>
        <v>0</v>
      </c>
      <c r="O219" s="118">
        <f>现金流量表!AN36</f>
        <v>0</v>
      </c>
      <c r="P219" s="118">
        <f>现金流量表!AO36</f>
        <v>0</v>
      </c>
      <c r="Q219" s="118">
        <f>现金流量表!AP36</f>
        <v>0</v>
      </c>
      <c r="R219" s="118">
        <f>现金流量表!AQ36</f>
        <v>0</v>
      </c>
      <c r="S219" s="118">
        <f>现金流量表!AR36</f>
        <v>0</v>
      </c>
      <c r="T219" s="118">
        <f>现金流量表!AS36</f>
        <v>0</v>
      </c>
      <c r="U219" s="118">
        <f>现金流量表!AT36</f>
        <v>0</v>
      </c>
    </row>
    <row r="220" spans="1:22" ht="18" customHeight="1">
      <c r="C220" s="150" t="s">
        <v>219</v>
      </c>
      <c r="F220" s="118"/>
      <c r="G220" s="118"/>
      <c r="H220" s="118"/>
      <c r="I220" s="118"/>
      <c r="J220" s="118"/>
      <c r="K220" s="118"/>
      <c r="L220" s="118">
        <f>现金流量表!AK58</f>
        <v>0</v>
      </c>
      <c r="M220" s="118">
        <f>现金流量表!AL58</f>
        <v>0</v>
      </c>
      <c r="N220" s="118">
        <f>现金流量表!AM58</f>
        <v>0</v>
      </c>
      <c r="O220" s="118">
        <f>现金流量表!AN58</f>
        <v>0</v>
      </c>
      <c r="P220" s="118">
        <f>现金流量表!AO58</f>
        <v>0</v>
      </c>
      <c r="Q220" s="118">
        <f>现金流量表!AP58</f>
        <v>0</v>
      </c>
      <c r="R220" s="118">
        <f>现金流量表!AQ58</f>
        <v>0</v>
      </c>
      <c r="S220" s="118">
        <f>现金流量表!AR58</f>
        <v>0</v>
      </c>
      <c r="T220" s="118">
        <f>现金流量表!AS58</f>
        <v>0</v>
      </c>
      <c r="U220" s="118">
        <f>现金流量表!AT58</f>
        <v>0</v>
      </c>
    </row>
    <row r="221" spans="1:22" ht="18" customHeight="1">
      <c r="C221" s="150" t="s">
        <v>220</v>
      </c>
      <c r="F221" s="118"/>
      <c r="G221" s="118"/>
      <c r="H221" s="118"/>
      <c r="I221" s="118"/>
      <c r="J221" s="118"/>
      <c r="K221" s="118"/>
      <c r="L221" s="118">
        <f>现金流量表!AK72</f>
        <v>0</v>
      </c>
      <c r="M221" s="118">
        <f>现金流量表!AL72</f>
        <v>0</v>
      </c>
      <c r="N221" s="118">
        <f>现金流量表!AM72</f>
        <v>0</v>
      </c>
      <c r="O221" s="118">
        <f>现金流量表!AN72</f>
        <v>0</v>
      </c>
      <c r="P221" s="118">
        <f>现金流量表!AO72</f>
        <v>0</v>
      </c>
      <c r="Q221" s="118">
        <f>现金流量表!AP72</f>
        <v>0</v>
      </c>
      <c r="R221" s="118">
        <f>现金流量表!AQ72</f>
        <v>0</v>
      </c>
      <c r="S221" s="118">
        <f>现金流量表!AR72</f>
        <v>0</v>
      </c>
      <c r="T221" s="118">
        <f>现金流量表!AS72</f>
        <v>0</v>
      </c>
      <c r="U221" s="118">
        <f>现金流量表!AT72</f>
        <v>0</v>
      </c>
      <c r="V221" s="1162" t="s">
        <v>221</v>
      </c>
    </row>
    <row r="222" spans="1:22" ht="16.5" customHeight="1">
      <c r="A222" s="784"/>
      <c r="B222" s="838" t="s">
        <v>222</v>
      </c>
      <c r="C222" s="392" t="s">
        <v>223</v>
      </c>
      <c r="D222" s="839">
        <v>1</v>
      </c>
      <c r="E222" s="840"/>
      <c r="F222" s="135"/>
      <c r="G222" s="135"/>
      <c r="H222" s="135"/>
      <c r="I222" s="135"/>
      <c r="J222" s="135"/>
      <c r="K222" s="135"/>
      <c r="L222" s="135">
        <f>(利润表!AK13-现金流量表!AK11)*$D$222/12</f>
        <v>0</v>
      </c>
      <c r="M222" s="135">
        <f>(利润表!AL13-现金流量表!AL11)*$D$222/12</f>
        <v>0</v>
      </c>
      <c r="N222" s="135">
        <f>(利润表!AM13-现金流量表!AM11)*$D$222/12</f>
        <v>0</v>
      </c>
      <c r="O222" s="135">
        <f>(利润表!AN13-现金流量表!AN11)*$D$222/12</f>
        <v>0</v>
      </c>
      <c r="P222" s="135">
        <f>(利润表!AO13-现金流量表!AO11)*$D$222/12</f>
        <v>0</v>
      </c>
      <c r="Q222" s="135">
        <f>(利润表!AP13-现金流量表!AP11)*$D$222/12</f>
        <v>0</v>
      </c>
      <c r="R222" s="135">
        <f>(利润表!AQ13-现金流量表!AQ11)*$D$222/12</f>
        <v>0</v>
      </c>
      <c r="S222" s="135">
        <f>(利润表!AR13-现金流量表!AR11)*$D$222/12</f>
        <v>0</v>
      </c>
      <c r="T222" s="135">
        <f>(利润表!AS13-现金流量表!AS11)*$D$222/12</f>
        <v>0</v>
      </c>
      <c r="U222" s="135">
        <f>(利润表!AT13-现金流量表!AT11)*$D$222/12</f>
        <v>0</v>
      </c>
      <c r="V222" s="1162"/>
    </row>
    <row r="223" spans="1:22" ht="16.5" customHeight="1">
      <c r="A223" s="841"/>
      <c r="B223" s="842" t="s">
        <v>224</v>
      </c>
      <c r="C223" s="843"/>
      <c r="D223" s="844"/>
      <c r="E223" s="844"/>
      <c r="F223" s="845"/>
      <c r="G223" s="845"/>
      <c r="H223" s="845"/>
      <c r="I223" s="845"/>
      <c r="J223" s="845"/>
      <c r="K223" s="845"/>
      <c r="L223" s="845">
        <f>IF(ISERROR(L217+L219+L220+L221-L222),0,L217+L219+L220+L221-L222)</f>
        <v>0</v>
      </c>
      <c r="M223" s="845">
        <f t="shared" ref="M223:U223" si="90">IF(ISERROR(M217+M219+M220+M221-M222),0,M217+M219+M220+M221-M222)</f>
        <v>0</v>
      </c>
      <c r="N223" s="845">
        <f t="shared" si="90"/>
        <v>0</v>
      </c>
      <c r="O223" s="845">
        <f t="shared" si="90"/>
        <v>0</v>
      </c>
      <c r="P223" s="845">
        <f t="shared" si="90"/>
        <v>0</v>
      </c>
      <c r="Q223" s="845">
        <f t="shared" si="90"/>
        <v>0</v>
      </c>
      <c r="R223" s="845">
        <f t="shared" si="90"/>
        <v>0</v>
      </c>
      <c r="S223" s="845">
        <f t="shared" si="90"/>
        <v>0</v>
      </c>
      <c r="T223" s="845">
        <f t="shared" si="90"/>
        <v>0</v>
      </c>
      <c r="U223" s="845">
        <f t="shared" si="90"/>
        <v>0</v>
      </c>
      <c r="V223" s="118"/>
    </row>
    <row r="224" spans="1:22" ht="18" hidden="1" customHeight="1"/>
    <row r="225" spans="1:23" ht="18" customHeight="1">
      <c r="B225" s="670"/>
      <c r="D225" s="370"/>
      <c r="E225" s="370"/>
      <c r="F225" s="118"/>
      <c r="G225" s="462"/>
      <c r="H225" s="462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</row>
    <row r="226" spans="1:23" ht="18" customHeight="1">
      <c r="B226" s="381" t="s">
        <v>225</v>
      </c>
      <c r="C226" s="673"/>
      <c r="D226" s="830"/>
      <c r="E226" s="830"/>
      <c r="F226" s="118">
        <f>资产负债表!U8</f>
        <v>0</v>
      </c>
      <c r="G226" s="118">
        <f>IF(ISERROR(资产负债表!Y8),0,资产负债表!Y8)</f>
        <v>0</v>
      </c>
      <c r="H226" s="118">
        <f>IF(ISERROR(资产负债表!AC8),0,资产负债表!AC8)</f>
        <v>0</v>
      </c>
      <c r="I226" s="118">
        <f>IF(ISERROR(资产负债表!AG8),0,资产负债表!AG8)</f>
        <v>0</v>
      </c>
      <c r="J226" s="118">
        <f>IF(ISERROR(资产负债表!AH8),0,资产负债表!AH8)</f>
        <v>0</v>
      </c>
      <c r="K226" s="118">
        <f>IF(ISERROR(资产负债表!AI8),0,资产负债表!AI8)</f>
        <v>0</v>
      </c>
      <c r="L226" s="118">
        <f>H230</f>
        <v>0</v>
      </c>
      <c r="M226" s="118">
        <f>L230</f>
        <v>0</v>
      </c>
      <c r="N226" s="118">
        <f t="shared" ref="N226:U226" si="91">M230</f>
        <v>0</v>
      </c>
      <c r="O226" s="118">
        <f t="shared" si="91"/>
        <v>0</v>
      </c>
      <c r="P226" s="118">
        <f t="shared" si="91"/>
        <v>0</v>
      </c>
      <c r="Q226" s="118">
        <f t="shared" si="91"/>
        <v>0</v>
      </c>
      <c r="R226" s="118">
        <f t="shared" si="91"/>
        <v>0</v>
      </c>
      <c r="S226" s="118">
        <f t="shared" si="91"/>
        <v>0</v>
      </c>
      <c r="T226" s="118">
        <f t="shared" si="91"/>
        <v>0</v>
      </c>
      <c r="U226" s="118">
        <f t="shared" si="91"/>
        <v>0</v>
      </c>
    </row>
    <row r="227" spans="1:23" ht="18" customHeight="1">
      <c r="B227" s="381" t="s">
        <v>226</v>
      </c>
      <c r="C227" s="673" t="s">
        <v>227</v>
      </c>
      <c r="D227" s="830"/>
      <c r="E227" s="830"/>
      <c r="F227" s="118">
        <f>现金流量表!Y78</f>
        <v>0</v>
      </c>
      <c r="G227" s="118">
        <f>现金流量表!AC78</f>
        <v>0</v>
      </c>
      <c r="H227" s="118">
        <f>现金流量表!AG78</f>
        <v>0</v>
      </c>
      <c r="I227" s="118"/>
      <c r="J227" s="118"/>
      <c r="K227" s="118"/>
      <c r="L227" s="118">
        <f>H231</f>
        <v>0</v>
      </c>
      <c r="M227" s="118">
        <f t="shared" ref="M227:U228" si="92">L231</f>
        <v>0</v>
      </c>
      <c r="N227" s="118">
        <f t="shared" si="92"/>
        <v>0</v>
      </c>
      <c r="O227" s="118">
        <f t="shared" si="92"/>
        <v>0</v>
      </c>
      <c r="P227" s="118">
        <f t="shared" si="92"/>
        <v>0</v>
      </c>
      <c r="Q227" s="118">
        <f t="shared" si="92"/>
        <v>0</v>
      </c>
      <c r="R227" s="118">
        <f t="shared" si="92"/>
        <v>0</v>
      </c>
      <c r="S227" s="118">
        <f t="shared" si="92"/>
        <v>0</v>
      </c>
      <c r="T227" s="118">
        <f t="shared" si="92"/>
        <v>0</v>
      </c>
      <c r="U227" s="118">
        <f t="shared" si="92"/>
        <v>0</v>
      </c>
    </row>
    <row r="228" spans="1:23" ht="18" customHeight="1">
      <c r="C228" s="673" t="s">
        <v>228</v>
      </c>
      <c r="D228" s="830"/>
      <c r="E228" s="830"/>
      <c r="F228" s="118">
        <f>F226-F227</f>
        <v>0</v>
      </c>
      <c r="G228" s="118">
        <f>G226-G227</f>
        <v>0</v>
      </c>
      <c r="H228" s="118">
        <f>H226-H227</f>
        <v>0</v>
      </c>
      <c r="I228" s="118"/>
      <c r="J228" s="118"/>
      <c r="K228" s="118"/>
      <c r="L228" s="118">
        <f>H232</f>
        <v>0</v>
      </c>
      <c r="M228" s="118">
        <f t="shared" si="92"/>
        <v>0</v>
      </c>
      <c r="N228" s="118">
        <f t="shared" si="92"/>
        <v>0</v>
      </c>
      <c r="O228" s="118">
        <f t="shared" si="92"/>
        <v>0</v>
      </c>
      <c r="P228" s="118">
        <f t="shared" si="92"/>
        <v>0</v>
      </c>
      <c r="Q228" s="118">
        <f t="shared" si="92"/>
        <v>0</v>
      </c>
      <c r="R228" s="118">
        <f t="shared" si="92"/>
        <v>0</v>
      </c>
      <c r="S228" s="118">
        <f t="shared" si="92"/>
        <v>0</v>
      </c>
      <c r="T228" s="118">
        <f t="shared" si="92"/>
        <v>0</v>
      </c>
      <c r="U228" s="118">
        <f t="shared" si="92"/>
        <v>0</v>
      </c>
    </row>
    <row r="229" spans="1:23" ht="18" customHeight="1">
      <c r="C229" s="673"/>
      <c r="D229" s="830"/>
      <c r="E229" s="830"/>
      <c r="F229" s="118"/>
      <c r="G229" s="118"/>
      <c r="H229" s="118"/>
      <c r="I229" s="118"/>
      <c r="J229" s="118"/>
      <c r="K229" s="118"/>
      <c r="L229" s="118"/>
      <c r="M229" s="462"/>
      <c r="N229" s="462"/>
      <c r="O229" s="462"/>
      <c r="P229" s="462"/>
      <c r="Q229" s="462"/>
      <c r="R229" s="462"/>
      <c r="S229" s="462"/>
      <c r="T229" s="462"/>
      <c r="U229" s="462"/>
    </row>
    <row r="230" spans="1:23" ht="18" customHeight="1">
      <c r="B230" s="381" t="s">
        <v>229</v>
      </c>
      <c r="C230" s="673"/>
      <c r="D230" s="830"/>
      <c r="E230" s="830"/>
      <c r="F230" s="118">
        <f>资产负债表!Y8</f>
        <v>0</v>
      </c>
      <c r="G230" s="118">
        <f>资产负债表!AC8</f>
        <v>0</v>
      </c>
      <c r="H230" s="118">
        <f>资产负债表!AG8</f>
        <v>0</v>
      </c>
      <c r="I230" s="118">
        <f>资产负债表!AH8</f>
        <v>0</v>
      </c>
      <c r="J230" s="118">
        <f>资产负债表!AI8</f>
        <v>0</v>
      </c>
      <c r="K230" s="118">
        <f>资产负债表!AJ8</f>
        <v>0</v>
      </c>
      <c r="L230" s="118">
        <f>SUM(L231:L232)</f>
        <v>0</v>
      </c>
      <c r="M230" s="118">
        <f t="shared" ref="M230:U230" si="93">SUM(M231:M232)</f>
        <v>0</v>
      </c>
      <c r="N230" s="118">
        <f t="shared" si="93"/>
        <v>0</v>
      </c>
      <c r="O230" s="118">
        <f t="shared" si="93"/>
        <v>0</v>
      </c>
      <c r="P230" s="118">
        <f t="shared" si="93"/>
        <v>0</v>
      </c>
      <c r="Q230" s="118">
        <f t="shared" si="93"/>
        <v>0</v>
      </c>
      <c r="R230" s="118">
        <f t="shared" si="93"/>
        <v>0</v>
      </c>
      <c r="S230" s="118">
        <f t="shared" si="93"/>
        <v>0</v>
      </c>
      <c r="T230" s="118">
        <f t="shared" si="93"/>
        <v>0</v>
      </c>
      <c r="U230" s="118">
        <f t="shared" si="93"/>
        <v>0</v>
      </c>
      <c r="V230" s="1161" t="s">
        <v>230</v>
      </c>
      <c r="W230" s="852"/>
    </row>
    <row r="231" spans="1:23" ht="18" customHeight="1">
      <c r="B231" s="381" t="s">
        <v>226</v>
      </c>
      <c r="C231" s="673" t="s">
        <v>227</v>
      </c>
      <c r="D231" s="830"/>
      <c r="E231" s="830"/>
      <c r="F231" s="118">
        <f>现金流量表!Y80</f>
        <v>0</v>
      </c>
      <c r="G231" s="118">
        <f>现金流量表!AC80</f>
        <v>0</v>
      </c>
      <c r="H231" s="118">
        <f>现金流量表!AG80</f>
        <v>0</v>
      </c>
      <c r="I231" s="118"/>
      <c r="J231" s="118"/>
      <c r="K231" s="118"/>
      <c r="L231" s="118">
        <f>现金流量表!AK80</f>
        <v>0</v>
      </c>
      <c r="M231" s="118">
        <f>现金流量表!AL80</f>
        <v>0</v>
      </c>
      <c r="N231" s="118">
        <f>现金流量表!AM80</f>
        <v>0</v>
      </c>
      <c r="O231" s="118">
        <f>现金流量表!AN80</f>
        <v>0</v>
      </c>
      <c r="P231" s="118">
        <f>现金流量表!AO80</f>
        <v>0</v>
      </c>
      <c r="Q231" s="118">
        <f>现金流量表!AP80</f>
        <v>0</v>
      </c>
      <c r="R231" s="118">
        <f>现金流量表!AQ80</f>
        <v>0</v>
      </c>
      <c r="S231" s="118">
        <f>现金流量表!AR80</f>
        <v>0</v>
      </c>
      <c r="T231" s="118">
        <f>现金流量表!AS80</f>
        <v>0</v>
      </c>
      <c r="U231" s="118">
        <f>现金流量表!AT80</f>
        <v>0</v>
      </c>
      <c r="V231" s="1161"/>
      <c r="W231" s="852"/>
    </row>
    <row r="232" spans="1:23" ht="18" customHeight="1">
      <c r="A232" s="846"/>
      <c r="B232" s="735"/>
      <c r="C232" s="847" t="s">
        <v>228</v>
      </c>
      <c r="D232" s="848"/>
      <c r="E232" s="848"/>
      <c r="F232" s="579">
        <f>F230-F231</f>
        <v>0</v>
      </c>
      <c r="G232" s="579">
        <f>G230-G231</f>
        <v>0</v>
      </c>
      <c r="H232" s="579">
        <f>H230-H231</f>
        <v>0</v>
      </c>
      <c r="I232" s="579"/>
      <c r="J232" s="579"/>
      <c r="K232" s="579"/>
      <c r="L232" s="850">
        <f>H232</f>
        <v>0</v>
      </c>
      <c r="M232" s="850">
        <f>L232</f>
        <v>0</v>
      </c>
      <c r="N232" s="850">
        <f>M232</f>
        <v>0</v>
      </c>
      <c r="O232" s="850">
        <f t="shared" ref="O232:U232" si="94">N232</f>
        <v>0</v>
      </c>
      <c r="P232" s="850">
        <f t="shared" si="94"/>
        <v>0</v>
      </c>
      <c r="Q232" s="850">
        <f t="shared" si="94"/>
        <v>0</v>
      </c>
      <c r="R232" s="850">
        <f t="shared" si="94"/>
        <v>0</v>
      </c>
      <c r="S232" s="850">
        <f t="shared" si="94"/>
        <v>0</v>
      </c>
      <c r="T232" s="850">
        <f t="shared" si="94"/>
        <v>0</v>
      </c>
      <c r="U232" s="850">
        <f t="shared" si="94"/>
        <v>0</v>
      </c>
      <c r="V232" s="1161"/>
    </row>
    <row r="233" spans="1:23" s="404" customFormat="1" ht="18" customHeight="1">
      <c r="A233" s="741"/>
      <c r="B233" s="381"/>
      <c r="C233" s="695"/>
      <c r="F233" s="742"/>
      <c r="G233" s="742"/>
      <c r="H233" s="742"/>
      <c r="I233" s="742"/>
      <c r="J233" s="742"/>
      <c r="K233" s="742"/>
      <c r="L233" s="742"/>
      <c r="M233" s="742"/>
      <c r="N233" s="742"/>
      <c r="O233" s="742"/>
      <c r="P233" s="742"/>
      <c r="Q233" s="742"/>
      <c r="R233" s="742"/>
      <c r="S233" s="742"/>
      <c r="T233" s="742"/>
      <c r="U233" s="742"/>
      <c r="V233" s="674"/>
    </row>
    <row r="234" spans="1:23" ht="18" customHeight="1"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</row>
    <row r="235" spans="1:23" ht="18" customHeight="1"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</row>
  </sheetData>
  <protectedRanges>
    <protectedRange sqref="L211:U213 L186:U186 L192:U192 S130:U130 L198:U201 L205:U206" name="区域66"/>
    <protectedRange sqref="D211:E213" name="区域60"/>
    <protectedRange sqref="D192:E192 D205:E206 D130:E130 D186:E186 D198:E201" name="区域59"/>
    <protectedRange sqref="L222:U222" name="区域37"/>
    <protectedRange sqref="M170:U170 L143:U143 L171:U174 L146:U148 N144:U145 L177:U177" name="区域35"/>
    <protectedRange sqref="L190:U190 L196:U196 L203:U203" name="区域34"/>
    <protectedRange sqref="L181:U184" name="区域33"/>
    <protectedRange sqref="L180 L195 L189" name="区域32"/>
    <protectedRange sqref="L168:L170 M168:U168 L149:U149 L127:U128 L130 L136:L137 L144:M145 L153:L155 L158 M169:V169" name="区域29"/>
    <protectedRange sqref="L100:U100 L106:U106 L116:U117 L103:U103 L109:U109 L112:U112" name="区域21"/>
    <protectedRange sqref="L107:U107" name="区域20"/>
    <protectedRange sqref="L82:U82 H82:K83" name="区域15"/>
    <protectedRange sqref="L86:U86" name="区域14"/>
    <protectedRange sqref="I85:K86 H84:K84 H106:K106 H116:K116 H74:U74 I117:K118 H112:K113 H92:U94 H90:U90 H80:K81 H76:K77 I107:K107 H72:K73 M76:U77 M72:U73 M80:U81 M84:U85 H88:K89 M88:U89 M101:U101 H103:K104 M104:U104 H109:K109 H100:K101 M113:U113 L118:U118" name="区域13"/>
    <protectedRange sqref="L59:U65" name="区域12"/>
    <protectedRange sqref="L56:U56" name="区域11"/>
    <protectedRange sqref="L53:U53" name="区域10"/>
    <protectedRange sqref="L47:U48" name="区域9"/>
    <protectedRange sqref="L50:U50" name="区域8"/>
    <protectedRange sqref="L43:U43 L39:U39" name="区域7"/>
    <protectedRange sqref="L11:U11 L15:U15" name="区域1"/>
    <protectedRange sqref="L29:U29" name="区域2"/>
    <protectedRange sqref="L27:U27 L22:U23" name="区域3"/>
    <protectedRange sqref="L33:U33" name="区域4"/>
    <protectedRange sqref="L25:U25" name="区域5"/>
    <protectedRange sqref="L129:U129" name="区域1_1"/>
    <protectedRange sqref="L76:L77 L72:L73 L101 L104 L113" name="区域13_1"/>
    <protectedRange sqref="L80:L81 L84:L85 L88:L89" name="区域13_3"/>
  </protectedRanges>
  <mergeCells count="6">
    <mergeCell ref="V230:V232"/>
    <mergeCell ref="V129:V130"/>
    <mergeCell ref="V144:V149"/>
    <mergeCell ref="V170:V173"/>
    <mergeCell ref="V214:V215"/>
    <mergeCell ref="V221:V222"/>
  </mergeCells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6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L11" sqref="L11"/>
    </sheetView>
  </sheetViews>
  <sheetFormatPr defaultColWidth="9" defaultRowHeight="18" customHeight="1" outlineLevelRow="1"/>
  <cols>
    <col min="1" max="1" width="1.875" style="29" customWidth="1"/>
    <col min="2" max="2" width="12.375" style="150" customWidth="1"/>
    <col min="3" max="3" width="14.875" style="150" customWidth="1"/>
    <col min="4" max="4" width="10.375" style="53" customWidth="1"/>
    <col min="5" max="5" width="3.5" style="30" customWidth="1"/>
    <col min="6" max="6" width="11.75" style="30" customWidth="1"/>
    <col min="7" max="7" width="13.375" style="30" customWidth="1"/>
    <col min="8" max="8" width="10.75" style="30" customWidth="1"/>
    <col min="9" max="11" width="14.5" style="30" hidden="1" customWidth="1"/>
    <col min="12" max="14" width="14.125" style="30" customWidth="1"/>
    <col min="15" max="21" width="14.125" style="30" hidden="1" customWidth="1"/>
    <col min="22" max="22" width="10" style="657" customWidth="1"/>
    <col min="23" max="23" width="11" style="29" customWidth="1"/>
    <col min="24" max="24" width="13.25" style="29" customWidth="1"/>
    <col min="25" max="25" width="10.625" style="29" customWidth="1"/>
    <col min="26" max="26" width="11.25" style="36" customWidth="1"/>
    <col min="27" max="16384" width="9" style="29"/>
  </cols>
  <sheetData>
    <row r="1" spans="1:26" s="30" customFormat="1" ht="18" customHeight="1">
      <c r="A1" s="658"/>
      <c r="B1" s="381"/>
      <c r="C1" s="381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657"/>
      <c r="Z1" s="37"/>
    </row>
    <row r="2" spans="1:26" s="653" customFormat="1" ht="18" customHeight="1">
      <c r="A2" s="659"/>
      <c r="B2" s="242" t="s">
        <v>231</v>
      </c>
      <c r="C2" s="660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362"/>
    </row>
    <row r="3" spans="1:26" s="30" customFormat="1" ht="18" customHeight="1">
      <c r="A3" s="658"/>
      <c r="B3" s="662" t="str">
        <f>"单位：人民币"&amp;目录!D5</f>
        <v>单位：人民币百万元</v>
      </c>
      <c r="C3" s="663"/>
      <c r="D3" s="664"/>
      <c r="E3" s="664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657"/>
      <c r="Z3" s="37"/>
    </row>
    <row r="4" spans="1:26" s="654" customFormat="1" ht="18" customHeight="1">
      <c r="A4" s="665"/>
      <c r="B4" s="666" t="s">
        <v>101</v>
      </c>
      <c r="C4" s="667"/>
      <c r="D4" s="668"/>
      <c r="E4" s="668"/>
      <c r="F4" s="364">
        <f>资产预测!F4</f>
        <v>2021</v>
      </c>
      <c r="G4" s="364">
        <f>资产预测!G4</f>
        <v>2022</v>
      </c>
      <c r="H4" s="364">
        <f>资产预测!H4</f>
        <v>2023</v>
      </c>
      <c r="I4" s="364" t="str">
        <f>资产预测!I4</f>
        <v>1Q24</v>
      </c>
      <c r="J4" s="364" t="str">
        <f>资产预测!J4</f>
        <v>1H24</v>
      </c>
      <c r="K4" s="364" t="str">
        <f>资产预测!K4</f>
        <v>3Q24</v>
      </c>
      <c r="L4" s="83" t="str">
        <f>资产预测!L4</f>
        <v>2024E</v>
      </c>
      <c r="M4" s="84">
        <f>资产预测!M4</f>
        <v>2025</v>
      </c>
      <c r="N4" s="84">
        <f>资产预测!N4</f>
        <v>2026</v>
      </c>
      <c r="O4" s="84">
        <f>资产预测!O4</f>
        <v>2027</v>
      </c>
      <c r="P4" s="84">
        <f>资产预测!P4</f>
        <v>2028</v>
      </c>
      <c r="Q4" s="84">
        <f>资产预测!Q4</f>
        <v>2029</v>
      </c>
      <c r="R4" s="84">
        <f>资产预测!R4</f>
        <v>2030</v>
      </c>
      <c r="S4" s="84">
        <f>资产预测!S4</f>
        <v>2031</v>
      </c>
      <c r="T4" s="84">
        <f>资产预测!T4</f>
        <v>2032</v>
      </c>
      <c r="U4" s="84">
        <f>资产预测!U4</f>
        <v>2033</v>
      </c>
      <c r="V4" s="711"/>
    </row>
    <row r="5" spans="1:26" s="155" customFormat="1" ht="18" customHeight="1">
      <c r="A5" s="669"/>
      <c r="B5" s="381"/>
      <c r="C5" s="143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637"/>
      <c r="T5" s="637"/>
      <c r="U5" s="637"/>
      <c r="V5" s="712"/>
      <c r="Z5" s="57"/>
    </row>
    <row r="6" spans="1:26" s="155" customFormat="1" ht="18" customHeight="1">
      <c r="A6" s="669"/>
      <c r="B6" s="670" t="s">
        <v>232</v>
      </c>
      <c r="C6" s="143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712"/>
      <c r="Z6" s="57"/>
    </row>
    <row r="7" spans="1:26" s="155" customFormat="1" ht="15" customHeight="1">
      <c r="A7" s="669"/>
      <c r="B7" s="381" t="s">
        <v>233</v>
      </c>
      <c r="C7" s="150" t="s">
        <v>234</v>
      </c>
      <c r="D7" s="671">
        <v>10</v>
      </c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712"/>
      <c r="Z7" s="57"/>
    </row>
    <row r="8" spans="1:26" s="155" customFormat="1" ht="15" customHeight="1">
      <c r="A8" s="669"/>
      <c r="B8" s="670"/>
      <c r="C8" s="150" t="s">
        <v>235</v>
      </c>
      <c r="D8" s="672">
        <v>0.05</v>
      </c>
      <c r="F8" s="637"/>
      <c r="G8" s="637"/>
      <c r="H8" s="637"/>
      <c r="I8" s="637"/>
      <c r="J8" s="637"/>
      <c r="K8" s="637"/>
      <c r="L8" s="637"/>
      <c r="M8" s="637"/>
      <c r="N8" s="637"/>
      <c r="O8" s="637"/>
      <c r="P8" s="637"/>
      <c r="Q8" s="637"/>
      <c r="R8" s="637"/>
      <c r="S8" s="637"/>
      <c r="T8" s="637"/>
      <c r="U8" s="637"/>
      <c r="V8" s="712"/>
      <c r="Z8" s="57"/>
    </row>
    <row r="9" spans="1:26" s="155" customFormat="1" ht="15" customHeight="1">
      <c r="A9" s="669"/>
      <c r="B9" s="670"/>
      <c r="C9" s="143"/>
      <c r="F9" s="637"/>
      <c r="G9" s="637"/>
      <c r="H9" s="637"/>
      <c r="I9" s="637"/>
      <c r="J9" s="637"/>
      <c r="K9" s="637"/>
      <c r="L9" s="637"/>
      <c r="M9" s="637"/>
      <c r="N9" s="637"/>
      <c r="O9" s="637"/>
      <c r="P9" s="637"/>
      <c r="Q9" s="637"/>
      <c r="R9" s="637"/>
      <c r="S9" s="637"/>
      <c r="T9" s="637"/>
      <c r="U9" s="637"/>
      <c r="V9" s="712"/>
      <c r="Z9" s="57"/>
    </row>
    <row r="10" spans="1:26" s="30" customFormat="1" ht="15" customHeight="1">
      <c r="A10" s="658"/>
      <c r="B10" s="381" t="s">
        <v>236</v>
      </c>
      <c r="C10" s="673" t="s">
        <v>237</v>
      </c>
      <c r="D10" s="664"/>
      <c r="E10" s="664"/>
      <c r="F10" s="118">
        <f>财务附注数据!Z6*目录!$D$6</f>
        <v>0</v>
      </c>
      <c r="G10" s="118">
        <f>财务附注数据!AD6*目录!$D$6</f>
        <v>0</v>
      </c>
      <c r="H10" s="118">
        <f>财务附注数据!AH6*目录!$D$6</f>
        <v>0</v>
      </c>
      <c r="I10" s="31"/>
      <c r="J10" s="118">
        <f>H13</f>
        <v>0</v>
      </c>
      <c r="K10" s="31"/>
      <c r="L10" s="118">
        <f>H13</f>
        <v>0</v>
      </c>
      <c r="M10" s="118">
        <f>L13</f>
        <v>0</v>
      </c>
      <c r="N10" s="118">
        <f>M13</f>
        <v>0</v>
      </c>
      <c r="O10" s="118">
        <f>N13</f>
        <v>0</v>
      </c>
      <c r="P10" s="118">
        <f>O13</f>
        <v>0</v>
      </c>
      <c r="Q10" s="118">
        <f t="shared" ref="Q10:U10" si="0">P13</f>
        <v>0</v>
      </c>
      <c r="R10" s="118">
        <f t="shared" si="0"/>
        <v>0</v>
      </c>
      <c r="S10" s="118">
        <f t="shared" si="0"/>
        <v>0</v>
      </c>
      <c r="T10" s="118">
        <f t="shared" si="0"/>
        <v>0</v>
      </c>
      <c r="U10" s="118">
        <f t="shared" si="0"/>
        <v>0</v>
      </c>
      <c r="V10" s="657"/>
      <c r="Z10" s="37"/>
    </row>
    <row r="11" spans="1:26" ht="15" customHeight="1">
      <c r="B11" s="674"/>
      <c r="C11" s="673" t="s">
        <v>238</v>
      </c>
      <c r="D11" s="675"/>
      <c r="F11" s="118">
        <f>F13-F10</f>
        <v>0</v>
      </c>
      <c r="G11" s="118">
        <f>G13-G10</f>
        <v>0</v>
      </c>
      <c r="H11" s="118">
        <f>H13-H10</f>
        <v>0</v>
      </c>
      <c r="I11" s="118"/>
      <c r="J11" s="118">
        <f>IF(财务基础数据!AM4&lt;=1,0,J13-J10)</f>
        <v>0</v>
      </c>
      <c r="K11" s="31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713"/>
    </row>
    <row r="12" spans="1:26" ht="15" customHeight="1">
      <c r="B12" s="674"/>
      <c r="C12" s="673" t="s">
        <v>239</v>
      </c>
      <c r="F12" s="118"/>
      <c r="G12" s="118"/>
      <c r="H12" s="118"/>
      <c r="I12" s="31"/>
      <c r="J12" s="31"/>
      <c r="K12" s="31"/>
      <c r="L12" s="118">
        <f>L44</f>
        <v>0</v>
      </c>
      <c r="M12" s="118">
        <f>M44</f>
        <v>0</v>
      </c>
      <c r="N12" s="118">
        <f>N44</f>
        <v>0</v>
      </c>
      <c r="O12" s="118">
        <f>O44</f>
        <v>0</v>
      </c>
      <c r="P12" s="118">
        <f>P44</f>
        <v>0</v>
      </c>
      <c r="Q12" s="118">
        <f t="shared" ref="Q12:U12" si="1">Q44</f>
        <v>0</v>
      </c>
      <c r="R12" s="118">
        <f t="shared" si="1"/>
        <v>0</v>
      </c>
      <c r="S12" s="118">
        <f t="shared" si="1"/>
        <v>0</v>
      </c>
      <c r="T12" s="118">
        <f t="shared" si="1"/>
        <v>0</v>
      </c>
      <c r="U12" s="118">
        <f t="shared" si="1"/>
        <v>0</v>
      </c>
      <c r="V12" s="714" t="s">
        <v>240</v>
      </c>
    </row>
    <row r="13" spans="1:26" ht="15" customHeight="1">
      <c r="A13" s="366"/>
      <c r="B13" s="674"/>
      <c r="C13" s="673" t="s">
        <v>241</v>
      </c>
      <c r="F13" s="118">
        <f>财务附注数据!AD6*目录!$D$6</f>
        <v>0</v>
      </c>
      <c r="G13" s="118">
        <f>财务附注数据!AH6*目录!$D$6</f>
        <v>0</v>
      </c>
      <c r="H13" s="118">
        <f>财务附注数据!AL6*目录!$D$6</f>
        <v>0</v>
      </c>
      <c r="I13" s="31"/>
      <c r="J13" s="118">
        <f>财务附注数据!AN6*目录!$D$6</f>
        <v>0</v>
      </c>
      <c r="K13" s="31"/>
      <c r="L13" s="118">
        <f>L10+L11+L12</f>
        <v>0</v>
      </c>
      <c r="M13" s="118">
        <f>M10+M11+M12</f>
        <v>0</v>
      </c>
      <c r="N13" s="118">
        <f>N10+N11+N12</f>
        <v>0</v>
      </c>
      <c r="O13" s="118">
        <f>O10+O11+O12</f>
        <v>0</v>
      </c>
      <c r="P13" s="118">
        <f>P10+P11+P12</f>
        <v>0</v>
      </c>
      <c r="Q13" s="118">
        <f t="shared" ref="Q13:U13" si="2">Q10+Q11+Q12</f>
        <v>0</v>
      </c>
      <c r="R13" s="118">
        <f t="shared" si="2"/>
        <v>0</v>
      </c>
      <c r="S13" s="118">
        <f t="shared" si="2"/>
        <v>0</v>
      </c>
      <c r="T13" s="118">
        <f t="shared" si="2"/>
        <v>0</v>
      </c>
      <c r="U13" s="118">
        <f t="shared" si="2"/>
        <v>0</v>
      </c>
    </row>
    <row r="14" spans="1:26" ht="15" customHeight="1">
      <c r="B14" s="674"/>
      <c r="E14" s="676"/>
      <c r="F14" s="31"/>
      <c r="G14" s="31"/>
      <c r="H14" s="31"/>
      <c r="I14" s="31"/>
      <c r="J14" s="31"/>
      <c r="K14" s="31"/>
      <c r="L14" s="118"/>
      <c r="M14" s="118"/>
      <c r="N14" s="118"/>
      <c r="O14" s="118"/>
      <c r="P14" s="118"/>
      <c r="Q14" s="118"/>
      <c r="R14" s="118"/>
      <c r="S14" s="118"/>
      <c r="T14" s="118"/>
      <c r="U14" s="118"/>
    </row>
    <row r="15" spans="1:26" ht="15" customHeight="1">
      <c r="B15" s="673" t="s">
        <v>242</v>
      </c>
      <c r="C15" s="673"/>
      <c r="E15" s="676"/>
      <c r="F15" s="118">
        <f>IF(财务基础数据!AD282=0,财务基础数据!AD281*目录!$D$6-F99-F142-F151-F110,财务基础数据!AD281*目录!$D$6-F99-F142-F151)</f>
        <v>0</v>
      </c>
      <c r="G15" s="118">
        <f>IF(财务基础数据!AH282=0,财务基础数据!AH281*目录!$D$6-G99-G142-G151-G110,财务基础数据!AH281*目录!$D$6-G99-G142-G151)</f>
        <v>0</v>
      </c>
      <c r="H15" s="118">
        <f>IF(财务基础数据!AL282=0,财务基础数据!AL281*目录!$D$6-H99-H142-H151-H110,财务基础数据!AL281*目录!$D$6-H99-H142-H151)</f>
        <v>0</v>
      </c>
      <c r="I15" s="118"/>
      <c r="J15" s="118">
        <f>IF(财务基础数据!AN282=0,财务基础数据!AN281*目录!$D$6-J99-J142-J151-J110,财务基础数据!AN281*目录!$D$6-J99-J142-J151)</f>
        <v>0</v>
      </c>
      <c r="K15" s="31"/>
      <c r="L15" s="698">
        <f>L39</f>
        <v>0</v>
      </c>
      <c r="M15" s="698">
        <f>M39</f>
        <v>0</v>
      </c>
      <c r="N15" s="698">
        <f>N39</f>
        <v>0</v>
      </c>
      <c r="O15" s="698">
        <f t="shared" ref="O15:U15" si="3">O39</f>
        <v>0</v>
      </c>
      <c r="P15" s="698">
        <f t="shared" si="3"/>
        <v>0</v>
      </c>
      <c r="Q15" s="698">
        <f t="shared" si="3"/>
        <v>0</v>
      </c>
      <c r="R15" s="698">
        <f t="shared" si="3"/>
        <v>0</v>
      </c>
      <c r="S15" s="698">
        <f t="shared" si="3"/>
        <v>0</v>
      </c>
      <c r="T15" s="698">
        <f t="shared" si="3"/>
        <v>0</v>
      </c>
      <c r="U15" s="698">
        <f t="shared" si="3"/>
        <v>0</v>
      </c>
    </row>
    <row r="16" spans="1:26" s="655" customFormat="1" ht="15" customHeight="1">
      <c r="B16" s="674"/>
      <c r="C16" s="677" t="s">
        <v>243</v>
      </c>
      <c r="D16" s="672">
        <v>0</v>
      </c>
      <c r="E16" s="678"/>
      <c r="F16" s="679">
        <f>IF(ISERROR(F15/F10),0,F15/F10)</f>
        <v>0</v>
      </c>
      <c r="G16" s="679">
        <f>IF(ISERROR(G15/G10),0,G15/G10)</f>
        <v>0</v>
      </c>
      <c r="H16" s="679">
        <f>IF(ISERROR(H15/H10),0,H15/H10)</f>
        <v>0</v>
      </c>
      <c r="I16" s="679"/>
      <c r="J16" s="679">
        <f>IF(ISERROR(J15/J10*2),0,J15/J10*2)</f>
        <v>0</v>
      </c>
      <c r="K16" s="699"/>
      <c r="L16" s="700">
        <f>$D$16</f>
        <v>0</v>
      </c>
      <c r="M16" s="700">
        <f t="shared" ref="M16:U16" si="4">$D$16</f>
        <v>0</v>
      </c>
      <c r="N16" s="700">
        <f t="shared" si="4"/>
        <v>0</v>
      </c>
      <c r="O16" s="700">
        <f t="shared" si="4"/>
        <v>0</v>
      </c>
      <c r="P16" s="700">
        <f t="shared" si="4"/>
        <v>0</v>
      </c>
      <c r="Q16" s="700">
        <f t="shared" si="4"/>
        <v>0</v>
      </c>
      <c r="R16" s="700">
        <f t="shared" si="4"/>
        <v>0</v>
      </c>
      <c r="S16" s="700">
        <f t="shared" si="4"/>
        <v>0</v>
      </c>
      <c r="T16" s="700">
        <f t="shared" si="4"/>
        <v>0</v>
      </c>
      <c r="U16" s="700">
        <f t="shared" si="4"/>
        <v>0</v>
      </c>
      <c r="V16" s="715"/>
      <c r="Z16" s="724"/>
    </row>
    <row r="17" spans="1:26" ht="15" customHeight="1">
      <c r="B17" s="674"/>
      <c r="C17" s="673"/>
      <c r="E17" s="676"/>
      <c r="F17" s="679"/>
      <c r="G17" s="118"/>
      <c r="H17" s="118"/>
      <c r="I17" s="31"/>
      <c r="J17" s="118"/>
      <c r="K17" s="31"/>
      <c r="L17" s="118"/>
      <c r="M17" s="118"/>
      <c r="N17" s="118"/>
      <c r="O17" s="118"/>
      <c r="P17" s="118"/>
      <c r="Q17" s="118"/>
      <c r="R17" s="118"/>
      <c r="S17" s="118"/>
      <c r="T17" s="118"/>
      <c r="U17" s="118"/>
    </row>
    <row r="18" spans="1:26" ht="15" customHeight="1">
      <c r="B18" s="673" t="s">
        <v>244</v>
      </c>
      <c r="C18" s="673" t="s">
        <v>237</v>
      </c>
      <c r="E18" s="676"/>
      <c r="F18" s="118">
        <f>财务附注数据!Z8*目录!$D$6</f>
        <v>0</v>
      </c>
      <c r="G18" s="118">
        <f>财务附注数据!AD8*目录!$D$6</f>
        <v>0</v>
      </c>
      <c r="H18" s="118">
        <f>财务附注数据!AH8*目录!$D$6</f>
        <v>0</v>
      </c>
      <c r="I18" s="31"/>
      <c r="J18" s="118">
        <f>H20</f>
        <v>0</v>
      </c>
      <c r="K18" s="31"/>
      <c r="L18" s="118">
        <f>H20</f>
        <v>0</v>
      </c>
      <c r="M18" s="118">
        <f>L20</f>
        <v>0</v>
      </c>
      <c r="N18" s="118">
        <f>M20</f>
        <v>0</v>
      </c>
      <c r="O18" s="118">
        <f>N20</f>
        <v>0</v>
      </c>
      <c r="P18" s="118">
        <f t="shared" ref="P18:U18" si="5">O20</f>
        <v>0</v>
      </c>
      <c r="Q18" s="118">
        <f t="shared" si="5"/>
        <v>0</v>
      </c>
      <c r="R18" s="118">
        <f t="shared" si="5"/>
        <v>0</v>
      </c>
      <c r="S18" s="118">
        <f t="shared" si="5"/>
        <v>0</v>
      </c>
      <c r="T18" s="118">
        <f t="shared" si="5"/>
        <v>0</v>
      </c>
      <c r="U18" s="118">
        <f t="shared" si="5"/>
        <v>0</v>
      </c>
    </row>
    <row r="19" spans="1:26" ht="15" customHeight="1">
      <c r="B19" s="680"/>
      <c r="C19" s="673" t="s">
        <v>245</v>
      </c>
      <c r="D19" s="675"/>
      <c r="E19" s="676"/>
      <c r="F19" s="118">
        <f>F20-F18</f>
        <v>0</v>
      </c>
      <c r="G19" s="118">
        <f>G20-G18</f>
        <v>0</v>
      </c>
      <c r="H19" s="118">
        <f>H20-H18</f>
        <v>0</v>
      </c>
      <c r="I19" s="118"/>
      <c r="J19" s="118">
        <f>IF(财务基础数据!AM4&lt;=1,0,J20-J18)</f>
        <v>0</v>
      </c>
      <c r="K19" s="31"/>
      <c r="L19" s="697"/>
      <c r="M19" s="697"/>
      <c r="N19" s="697"/>
      <c r="O19" s="697"/>
      <c r="P19" s="697"/>
      <c r="Q19" s="697"/>
      <c r="R19" s="697"/>
      <c r="S19" s="697"/>
      <c r="T19" s="697"/>
      <c r="U19" s="697"/>
      <c r="V19" s="713"/>
    </row>
    <row r="20" spans="1:26" ht="15" customHeight="1">
      <c r="B20" s="680"/>
      <c r="C20" s="673" t="s">
        <v>241</v>
      </c>
      <c r="E20" s="676"/>
      <c r="F20" s="118">
        <f>财务附注数据!AD8*目录!$D$6</f>
        <v>0</v>
      </c>
      <c r="G20" s="118">
        <f>财务附注数据!AH8*目录!$D$6</f>
        <v>0</v>
      </c>
      <c r="H20" s="118">
        <f>财务附注数据!AL8*目录!$D$6</f>
        <v>0</v>
      </c>
      <c r="I20" s="31"/>
      <c r="J20" s="118">
        <f>财务附注数据!AN8*目录!$D$6</f>
        <v>0</v>
      </c>
      <c r="K20" s="31"/>
      <c r="L20" s="118">
        <f>L18+L19</f>
        <v>0</v>
      </c>
      <c r="M20" s="118">
        <f>M18+M19</f>
        <v>0</v>
      </c>
      <c r="N20" s="118">
        <f>N18+N19</f>
        <v>0</v>
      </c>
      <c r="O20" s="118">
        <f>O18+O19</f>
        <v>0</v>
      </c>
      <c r="P20" s="118">
        <f t="shared" ref="P20:U20" si="6">P18+P19</f>
        <v>0</v>
      </c>
      <c r="Q20" s="118">
        <f t="shared" si="6"/>
        <v>0</v>
      </c>
      <c r="R20" s="118">
        <f t="shared" si="6"/>
        <v>0</v>
      </c>
      <c r="S20" s="118">
        <f t="shared" si="6"/>
        <v>0</v>
      </c>
      <c r="T20" s="118">
        <f t="shared" si="6"/>
        <v>0</v>
      </c>
      <c r="U20" s="118">
        <f t="shared" si="6"/>
        <v>0</v>
      </c>
    </row>
    <row r="21" spans="1:26" ht="15" customHeight="1">
      <c r="B21" s="680"/>
      <c r="C21" s="673"/>
      <c r="E21" s="676"/>
      <c r="F21" s="68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6" ht="15" customHeight="1">
      <c r="B22" s="680"/>
      <c r="C22" s="150" t="s">
        <v>246</v>
      </c>
      <c r="E22" s="682"/>
      <c r="F22" s="681"/>
      <c r="G22" s="31"/>
      <c r="H22" s="31"/>
      <c r="I22" s="31"/>
      <c r="J22" s="31"/>
      <c r="K22" s="31"/>
      <c r="L22" s="701"/>
      <c r="M22" s="701"/>
      <c r="N22" s="701"/>
      <c r="O22" s="701"/>
      <c r="P22" s="701"/>
      <c r="Q22" s="701"/>
      <c r="R22" s="701"/>
      <c r="S22" s="701"/>
      <c r="T22" s="701"/>
      <c r="U22" s="701"/>
    </row>
    <row r="23" spans="1:26" s="155" customFormat="1" ht="15" customHeight="1">
      <c r="A23" s="669"/>
      <c r="B23" s="150" t="s">
        <v>247</v>
      </c>
      <c r="C23" s="143"/>
      <c r="F23" s="637">
        <f>资产负债表!U31</f>
        <v>0</v>
      </c>
      <c r="G23" s="637">
        <f>资产负债表!Y31</f>
        <v>0</v>
      </c>
      <c r="H23" s="637">
        <f>资产负债表!AC31</f>
        <v>0</v>
      </c>
      <c r="I23" s="637"/>
      <c r="J23" s="637"/>
      <c r="K23" s="637"/>
      <c r="L23" s="637">
        <f>H24</f>
        <v>0</v>
      </c>
      <c r="M23" s="637">
        <f>L24</f>
        <v>0</v>
      </c>
      <c r="N23" s="637">
        <f t="shared" ref="N23:U23" si="7">M24</f>
        <v>0</v>
      </c>
      <c r="O23" s="637">
        <f t="shared" si="7"/>
        <v>0</v>
      </c>
      <c r="P23" s="637">
        <f t="shared" si="7"/>
        <v>0</v>
      </c>
      <c r="Q23" s="637">
        <f t="shared" si="7"/>
        <v>0</v>
      </c>
      <c r="R23" s="637">
        <f t="shared" si="7"/>
        <v>0</v>
      </c>
      <c r="S23" s="637">
        <f t="shared" si="7"/>
        <v>0</v>
      </c>
      <c r="T23" s="637">
        <f t="shared" si="7"/>
        <v>0</v>
      </c>
      <c r="U23" s="637">
        <f t="shared" si="7"/>
        <v>0</v>
      </c>
      <c r="V23" s="712"/>
      <c r="Z23" s="57"/>
    </row>
    <row r="24" spans="1:26" ht="15" customHeight="1">
      <c r="B24" s="150" t="s">
        <v>248</v>
      </c>
      <c r="C24" s="673"/>
      <c r="E24" s="676"/>
      <c r="F24" s="637">
        <f>资产负债表!Y31</f>
        <v>0</v>
      </c>
      <c r="G24" s="637">
        <f>资产负债表!AC31</f>
        <v>0</v>
      </c>
      <c r="H24" s="637">
        <f>资产负债表!AG31</f>
        <v>0</v>
      </c>
      <c r="I24" s="637">
        <f>资产负债表!AH31</f>
        <v>0</v>
      </c>
      <c r="J24" s="637">
        <f>资产负债表!AI31</f>
        <v>0</v>
      </c>
      <c r="K24" s="637">
        <f>资产负债表!AJ31</f>
        <v>0</v>
      </c>
      <c r="L24" s="118">
        <f>H24+L11+L12-L15-L19+L22</f>
        <v>0</v>
      </c>
      <c r="M24" s="118">
        <f>L24+M11+M12-M15-M19+M22</f>
        <v>0</v>
      </c>
      <c r="N24" s="118">
        <f>M24+N11+N12-N15-N19+N22</f>
        <v>0</v>
      </c>
      <c r="O24" s="118">
        <f>N24+O11+O12-O15-O19+O22</f>
        <v>0</v>
      </c>
      <c r="P24" s="118">
        <f>O24+P11+P12-P15-P19+P22</f>
        <v>0</v>
      </c>
      <c r="Q24" s="118">
        <f t="shared" ref="Q24:U24" si="8">P24+Q11+Q12-Q15-Q19+Q22</f>
        <v>0</v>
      </c>
      <c r="R24" s="118">
        <f t="shared" si="8"/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</row>
    <row r="25" spans="1:26" ht="15" customHeight="1">
      <c r="C25" s="673"/>
      <c r="E25" s="676"/>
      <c r="F25" s="637"/>
      <c r="G25" s="637"/>
      <c r="H25" s="637"/>
      <c r="I25" s="637"/>
      <c r="J25" s="637"/>
      <c r="K25" s="637"/>
      <c r="L25" s="118"/>
      <c r="M25" s="118"/>
      <c r="N25" s="118"/>
      <c r="O25" s="118"/>
      <c r="P25" s="118"/>
      <c r="Q25" s="118"/>
      <c r="R25" s="118"/>
      <c r="S25" s="118"/>
      <c r="T25" s="118"/>
      <c r="U25" s="118"/>
    </row>
    <row r="26" spans="1:26" ht="15" customHeight="1" outlineLevel="1">
      <c r="C26" s="673"/>
      <c r="E26" s="676"/>
      <c r="F26" s="1164" t="s">
        <v>249</v>
      </c>
      <c r="G26" s="683" t="s">
        <v>250</v>
      </c>
      <c r="H26" s="683" t="s">
        <v>251</v>
      </c>
      <c r="I26" s="702"/>
      <c r="J26" s="702"/>
      <c r="K26" s="702"/>
      <c r="L26" s="703" t="str">
        <f>L4</f>
        <v>2024E</v>
      </c>
      <c r="M26" s="703">
        <f>M4</f>
        <v>2025</v>
      </c>
      <c r="N26" s="703">
        <f t="shared" ref="N26:U26" si="9">N4</f>
        <v>2026</v>
      </c>
      <c r="O26" s="703">
        <f t="shared" si="9"/>
        <v>2027</v>
      </c>
      <c r="P26" s="703">
        <f t="shared" si="9"/>
        <v>2028</v>
      </c>
      <c r="Q26" s="703">
        <f t="shared" si="9"/>
        <v>2029</v>
      </c>
      <c r="R26" s="703">
        <f t="shared" si="9"/>
        <v>2030</v>
      </c>
      <c r="S26" s="703">
        <f t="shared" si="9"/>
        <v>2031</v>
      </c>
      <c r="T26" s="703">
        <f t="shared" si="9"/>
        <v>2032</v>
      </c>
      <c r="U26" s="716">
        <f t="shared" si="9"/>
        <v>2033</v>
      </c>
      <c r="V26" s="717"/>
    </row>
    <row r="27" spans="1:26" ht="15" customHeight="1" outlineLevel="1">
      <c r="C27" s="673"/>
      <c r="E27" s="676"/>
      <c r="F27" s="1165"/>
      <c r="G27" s="684">
        <f>H24</f>
        <v>0</v>
      </c>
      <c r="H27" s="684">
        <f>H13</f>
        <v>0</v>
      </c>
      <c r="I27" s="704"/>
      <c r="J27" s="704"/>
      <c r="K27" s="704"/>
      <c r="L27" s="684">
        <f>IF(SUM($K$27:K27)=$G$27,0,IF($G$27-SUM($K$27:K27)&lt;$H$27*L16,$G$27-SUM($K$27:K27),$H$27*L16))</f>
        <v>0</v>
      </c>
      <c r="M27" s="684">
        <f>IF(SUM($K$27:L27)=$G$27,0,IF($G$27-SUM($K$27:L27)&lt;$H$27*M16,$G$27-SUM($K$27:L27),$H$27*M16))</f>
        <v>0</v>
      </c>
      <c r="N27" s="684">
        <f>IF(SUM($K$27:M27)=$G$27,0,IF($G$27-SUM($K$27:M27)&lt;$H$27*N16,$G$27-SUM($K$27:M27),$H$27*N16))</f>
        <v>0</v>
      </c>
      <c r="O27" s="684">
        <f>IF(SUM($K$27:N27)=$G$27,0,IF($G$27-SUM($K$27:N27)&lt;$H$27*O16,$G$27-SUM($K$27:N27),$H$27*O16))</f>
        <v>0</v>
      </c>
      <c r="P27" s="684">
        <f>IF(SUM($K$27:O27)=$G$27,0,IF($G$27-SUM($K$27:O27)&lt;$H$27*P16,$G$27-SUM($K$27:O27),$H$27*P16))</f>
        <v>0</v>
      </c>
      <c r="Q27" s="684">
        <f>IF(SUM($K$27:P27)=$G$27,0,IF($G$27-SUM($K$27:P27)&lt;$H$27*Q16,$G$27-SUM($K$27:P27),$H$27*Q16))</f>
        <v>0</v>
      </c>
      <c r="R27" s="684">
        <f>IF(SUM($K$27:Q27)=$G$27,0,IF($G$27-SUM($K$27:Q27)&lt;$H$27*R16,$G$27-SUM($K$27:Q27),$H$27*R16))</f>
        <v>0</v>
      </c>
      <c r="S27" s="684">
        <f>IF(SUM($K$27:R27)=$G$27,0,IF($G$27-SUM($K$27:R27)&lt;$H$27*S16,$G$27-SUM($K$27:R27),$H$27*S16))</f>
        <v>0</v>
      </c>
      <c r="T27" s="684">
        <f>IF(SUM($K$27:S27)=$G$27,0,IF($G$27-SUM($K$27:S27)&lt;$H$27*T16,$G$27-SUM($K$27:S27),$H$27*T16))</f>
        <v>0</v>
      </c>
      <c r="U27" s="718">
        <f>IF(SUM($K$27:T27)=$G$27,0,IF($G$27-SUM($K$27:T27)&lt;$H$27*U16,$G$27-SUM($K$27:T27),$H$27*U16))</f>
        <v>0</v>
      </c>
      <c r="V27" s="717"/>
    </row>
    <row r="28" spans="1:26" ht="15" customHeight="1" outlineLevel="1">
      <c r="C28" s="673"/>
      <c r="E28" s="676"/>
      <c r="F28" s="685"/>
      <c r="G28" s="525" t="s">
        <v>252</v>
      </c>
      <c r="H28" s="686" t="s">
        <v>253</v>
      </c>
      <c r="I28" s="705"/>
      <c r="J28" s="705"/>
      <c r="K28" s="705"/>
      <c r="L28" s="706"/>
      <c r="M28" s="706"/>
      <c r="N28" s="706"/>
      <c r="O28" s="706"/>
      <c r="P28" s="706"/>
      <c r="Q28" s="706"/>
      <c r="R28" s="706"/>
      <c r="S28" s="706"/>
      <c r="T28" s="706"/>
      <c r="U28" s="719"/>
      <c r="V28" s="717"/>
    </row>
    <row r="29" spans="1:26" ht="15" customHeight="1" outlineLevel="1">
      <c r="C29" s="673"/>
      <c r="E29" s="676"/>
      <c r="F29" s="685" t="str">
        <f t="array" ref="F29:F38">TRANSPOSE(L4:U4)</f>
        <v>2024E</v>
      </c>
      <c r="G29" s="118">
        <f>L11+L12</f>
        <v>0</v>
      </c>
      <c r="H29" s="687">
        <f>$D$7</f>
        <v>10</v>
      </c>
      <c r="I29" s="707"/>
      <c r="J29" s="707"/>
      <c r="K29" s="707"/>
      <c r="L29" s="118">
        <f>IF($H29&gt;=1,$G29*(1-$D$8)/$H29,"")</f>
        <v>0</v>
      </c>
      <c r="M29" s="118">
        <f>IF($H29&gt;=2,$G29*(1-$D$8)/$H29,"")</f>
        <v>0</v>
      </c>
      <c r="N29" s="118">
        <f>IF($H29&gt;=3,$G29*(1-$D$8)/$H29,"")</f>
        <v>0</v>
      </c>
      <c r="O29" s="118">
        <f>IF($H29&gt;=4,$G29*(1-$D$8)/$H29,"")</f>
        <v>0</v>
      </c>
      <c r="P29" s="118">
        <f>IF($H29&gt;=5,$G29*(1-$D$8)/$H29,"")</f>
        <v>0</v>
      </c>
      <c r="Q29" s="118">
        <f>IF($H29&gt;=6,$G29*(1-$D$8)/$H29,"")</f>
        <v>0</v>
      </c>
      <c r="R29" s="118">
        <f>IF($H29&gt;=7,$G29*(1-$D$8)/$H29,"")</f>
        <v>0</v>
      </c>
      <c r="S29" s="118">
        <f>IF($H29&gt;=8,$G29*(1-$D$8)/$H29,"")</f>
        <v>0</v>
      </c>
      <c r="T29" s="118">
        <f>IF($H29&gt;=9,$G29*(1-$D$8)/$H29,"")</f>
        <v>0</v>
      </c>
      <c r="U29" s="720">
        <f>IF($H29&gt;=10,$G29*(1-$D$8)/$H29,"")</f>
        <v>0</v>
      </c>
      <c r="V29" s="717"/>
    </row>
    <row r="30" spans="1:26" ht="15" customHeight="1" outlineLevel="1">
      <c r="C30" s="673"/>
      <c r="E30" s="676"/>
      <c r="F30" s="688">
        <v>2025</v>
      </c>
      <c r="G30" s="118">
        <f>M11+M12</f>
        <v>0</v>
      </c>
      <c r="H30" s="687">
        <f t="shared" ref="H30:H38" si="10">$D$7</f>
        <v>10</v>
      </c>
      <c r="I30" s="707"/>
      <c r="J30" s="707"/>
      <c r="K30" s="707"/>
      <c r="L30" s="118"/>
      <c r="M30" s="118">
        <f>IF($H30&gt;=1,$G30*(1-$D$8)/$H30,"")</f>
        <v>0</v>
      </c>
      <c r="N30" s="118">
        <f>IF($H30&gt;=2,$G30*(1-$D$8)/$H30,"")</f>
        <v>0</v>
      </c>
      <c r="O30" s="118">
        <f>IF($H30&gt;=3,$G30*(1-$D$8)/$H30,"")</f>
        <v>0</v>
      </c>
      <c r="P30" s="118">
        <f>IF($H30&gt;=4,$G30*(1-$D$8)/$H30,"")</f>
        <v>0</v>
      </c>
      <c r="Q30" s="118">
        <f>IF($H30&gt;=5,$G30*(1-$D$8)/$H30,"")</f>
        <v>0</v>
      </c>
      <c r="R30" s="118">
        <f>IF($H30&gt;=6,$G30*(1-$D$8)/$H30,"")</f>
        <v>0</v>
      </c>
      <c r="S30" s="118">
        <f>IF($H30&gt;=7,$G30*(1-$D$8)/$H30,"")</f>
        <v>0</v>
      </c>
      <c r="T30" s="118">
        <f>IF($H30&gt;=8,$G30*(1-$D$8)/$H30,"")</f>
        <v>0</v>
      </c>
      <c r="U30" s="720">
        <f>IF($H30&gt;=9,$G30*(1-$D$8)/$H30,"")</f>
        <v>0</v>
      </c>
      <c r="V30" s="717"/>
    </row>
    <row r="31" spans="1:26" ht="15" customHeight="1" outlineLevel="1">
      <c r="C31" s="673"/>
      <c r="E31" s="676"/>
      <c r="F31" s="688">
        <v>2026</v>
      </c>
      <c r="G31" s="118">
        <f>N11+N12</f>
        <v>0</v>
      </c>
      <c r="H31" s="687">
        <f t="shared" si="10"/>
        <v>10</v>
      </c>
      <c r="I31" s="707"/>
      <c r="J31" s="707"/>
      <c r="K31" s="707"/>
      <c r="L31" s="118"/>
      <c r="M31" s="118"/>
      <c r="N31" s="118">
        <f>IF($H31&gt;=1,$G31*(1-$D$8)/$H31,"")</f>
        <v>0</v>
      </c>
      <c r="O31" s="118">
        <f>IF($H31&gt;=2,$G31*(1-$D$8)/$H31,"")</f>
        <v>0</v>
      </c>
      <c r="P31" s="118">
        <f>IF($H31&gt;=3,$G31*(1-$D$8)/$H31,"")</f>
        <v>0</v>
      </c>
      <c r="Q31" s="118">
        <f>IF($H31&gt;=4,$G31*(1-$D$8)/$H31,"")</f>
        <v>0</v>
      </c>
      <c r="R31" s="118">
        <f>IF($H31&gt;=5,$G31*(1-$D$8)/$H31,"")</f>
        <v>0</v>
      </c>
      <c r="S31" s="118">
        <f>IF($H31&gt;=6,$G31*(1-$D$8)/$H31,"")</f>
        <v>0</v>
      </c>
      <c r="T31" s="118">
        <f>IF($H31&gt;=7,$G31*(1-$D$8)/$H31,"")</f>
        <v>0</v>
      </c>
      <c r="U31" s="720">
        <f>IF($H31&gt;=8,$G31*(1-$D$8)/$H31,"")</f>
        <v>0</v>
      </c>
      <c r="V31" s="717"/>
    </row>
    <row r="32" spans="1:26" ht="15" customHeight="1" outlineLevel="1">
      <c r="C32" s="673"/>
      <c r="E32" s="676"/>
      <c r="F32" s="688">
        <v>2027</v>
      </c>
      <c r="G32" s="118">
        <f>O11+O12</f>
        <v>0</v>
      </c>
      <c r="H32" s="687">
        <f t="shared" si="10"/>
        <v>10</v>
      </c>
      <c r="I32" s="707"/>
      <c r="J32" s="707"/>
      <c r="K32" s="707"/>
      <c r="L32" s="118"/>
      <c r="M32" s="118"/>
      <c r="N32" s="118"/>
      <c r="O32" s="118">
        <f>IF($H32&gt;=1,$G32*(1-$D$8)/$H32,"")</f>
        <v>0</v>
      </c>
      <c r="P32" s="118">
        <f>IF($H32&gt;=2,$G32*(1-$D$8)/$H32,"")</f>
        <v>0</v>
      </c>
      <c r="Q32" s="118">
        <f>IF($H32&gt;=3,$G32*(1-$D$8)/$H32,"")</f>
        <v>0</v>
      </c>
      <c r="R32" s="118">
        <f>IF($H32&gt;=4,$G32*(1-$D$8)/$H32,"")</f>
        <v>0</v>
      </c>
      <c r="S32" s="118">
        <f>IF($H32&gt;=5,$G32*(1-$D$8)/$H32,"")</f>
        <v>0</v>
      </c>
      <c r="T32" s="118">
        <f>IF($H32&gt;=6,$G32*(1-$D$8)/$H32,"")</f>
        <v>0</v>
      </c>
      <c r="U32" s="720">
        <f>IF($H32&gt;=7,$G32*(1-$D$8)/$H32,"")</f>
        <v>0</v>
      </c>
      <c r="V32" s="717"/>
    </row>
    <row r="33" spans="1:22" ht="15" customHeight="1" outlineLevel="1">
      <c r="C33" s="673"/>
      <c r="E33" s="676"/>
      <c r="F33" s="688">
        <v>2028</v>
      </c>
      <c r="G33" s="118">
        <f>P11+P12</f>
        <v>0</v>
      </c>
      <c r="H33" s="687">
        <f t="shared" si="10"/>
        <v>10</v>
      </c>
      <c r="I33" s="707"/>
      <c r="J33" s="707"/>
      <c r="K33" s="707"/>
      <c r="L33" s="118"/>
      <c r="M33" s="118"/>
      <c r="N33" s="118"/>
      <c r="O33" s="118"/>
      <c r="P33" s="118">
        <f>IF($H33&gt;=1,$G33*(1-$D$8)/$H33,"")</f>
        <v>0</v>
      </c>
      <c r="Q33" s="118">
        <f>IF($H33&gt;=2,$G33*(1-$D$8)/$H33,"")</f>
        <v>0</v>
      </c>
      <c r="R33" s="118">
        <f>IF($H33&gt;=3,$G33*(1-$D$8)/$H33,"")</f>
        <v>0</v>
      </c>
      <c r="S33" s="118">
        <f>IF($H33&gt;=4,$G33*(1-$D$8)/$H33,"")</f>
        <v>0</v>
      </c>
      <c r="T33" s="118">
        <f>IF($H33&gt;=5,$G33*(1-$D$8)/$H33,"")</f>
        <v>0</v>
      </c>
      <c r="U33" s="720">
        <f>IF($H33&gt;=6,$G33*(1-$D$8)/$H33,"")</f>
        <v>0</v>
      </c>
      <c r="V33" s="717"/>
    </row>
    <row r="34" spans="1:22" ht="15" customHeight="1" outlineLevel="1">
      <c r="C34" s="673"/>
      <c r="E34" s="676"/>
      <c r="F34" s="688">
        <v>2029</v>
      </c>
      <c r="G34" s="118">
        <f>Q11+Q12</f>
        <v>0</v>
      </c>
      <c r="H34" s="687">
        <f t="shared" si="10"/>
        <v>10</v>
      </c>
      <c r="I34" s="707"/>
      <c r="J34" s="707"/>
      <c r="K34" s="707"/>
      <c r="L34" s="118"/>
      <c r="M34" s="118"/>
      <c r="N34" s="118"/>
      <c r="O34" s="118"/>
      <c r="P34" s="118"/>
      <c r="Q34" s="118">
        <f>IF($H34&gt;=1,$G34*(1-$D$8)/$H34,"")</f>
        <v>0</v>
      </c>
      <c r="R34" s="118">
        <f>IF($H34&gt;=2,$G34*(1-$D$8)/$H34,"")</f>
        <v>0</v>
      </c>
      <c r="S34" s="118">
        <f>IF($H34&gt;=3,$G34*(1-$D$8)/$H34,"")</f>
        <v>0</v>
      </c>
      <c r="T34" s="118">
        <f>IF($H34&gt;=4,$G34*(1-$D$8)/$H34,"")</f>
        <v>0</v>
      </c>
      <c r="U34" s="720">
        <f>IF($H34&gt;=5,$G34*(1-$D$8)/$H34,"")</f>
        <v>0</v>
      </c>
      <c r="V34" s="717"/>
    </row>
    <row r="35" spans="1:22" ht="15" customHeight="1" outlineLevel="1">
      <c r="C35" s="673"/>
      <c r="E35" s="676"/>
      <c r="F35" s="688">
        <v>2030</v>
      </c>
      <c r="G35" s="118">
        <f>R11+R12</f>
        <v>0</v>
      </c>
      <c r="H35" s="687">
        <f t="shared" si="10"/>
        <v>10</v>
      </c>
      <c r="I35" s="707"/>
      <c r="J35" s="707"/>
      <c r="K35" s="707"/>
      <c r="L35" s="118"/>
      <c r="M35" s="118"/>
      <c r="N35" s="118"/>
      <c r="O35" s="118"/>
      <c r="P35" s="118"/>
      <c r="Q35" s="118"/>
      <c r="R35" s="118">
        <f>IF($H35&gt;=1,$G35*(1-$D$8)/$H35,"")</f>
        <v>0</v>
      </c>
      <c r="S35" s="118">
        <f>IF($H35&gt;=2,$G35*(1-$D$8)/$H35,"")</f>
        <v>0</v>
      </c>
      <c r="T35" s="118">
        <f>IF($H35&gt;=3,$G35*(1-$D$8)/$H35,"")</f>
        <v>0</v>
      </c>
      <c r="U35" s="720">
        <f>IF($H35&gt;=4,$G35*(1-$D$8)/$H35,"")</f>
        <v>0</v>
      </c>
      <c r="V35" s="717"/>
    </row>
    <row r="36" spans="1:22" ht="15" customHeight="1" outlineLevel="1">
      <c r="C36" s="673"/>
      <c r="E36" s="676"/>
      <c r="F36" s="688">
        <v>2031</v>
      </c>
      <c r="G36" s="118">
        <f>S11+S12</f>
        <v>0</v>
      </c>
      <c r="H36" s="687">
        <f t="shared" si="10"/>
        <v>10</v>
      </c>
      <c r="I36" s="707"/>
      <c r="J36" s="707"/>
      <c r="K36" s="707"/>
      <c r="L36" s="118"/>
      <c r="M36" s="118"/>
      <c r="N36" s="118"/>
      <c r="O36" s="118"/>
      <c r="P36" s="118"/>
      <c r="Q36" s="118"/>
      <c r="R36" s="118"/>
      <c r="S36" s="118">
        <f>IF($H36&gt;=1,$G36*(1-$D$8)/$H36,"")</f>
        <v>0</v>
      </c>
      <c r="T36" s="118">
        <f>IF($H36&gt;=2,$G36*(1-$D$8)/$H36,"")</f>
        <v>0</v>
      </c>
      <c r="U36" s="720">
        <f>IF($H36&gt;=3,$G36*(1-$D$8)/$H36,"")</f>
        <v>0</v>
      </c>
      <c r="V36" s="717"/>
    </row>
    <row r="37" spans="1:22" ht="15" customHeight="1" outlineLevel="1">
      <c r="C37" s="673"/>
      <c r="E37" s="676"/>
      <c r="F37" s="688">
        <v>2032</v>
      </c>
      <c r="G37" s="118">
        <f>T11+T12</f>
        <v>0</v>
      </c>
      <c r="H37" s="687">
        <f t="shared" si="10"/>
        <v>10</v>
      </c>
      <c r="I37" s="707"/>
      <c r="J37" s="707"/>
      <c r="K37" s="707"/>
      <c r="L37" s="118"/>
      <c r="M37" s="118"/>
      <c r="N37" s="118"/>
      <c r="O37" s="118"/>
      <c r="P37" s="118"/>
      <c r="Q37" s="118"/>
      <c r="R37" s="118"/>
      <c r="S37" s="118"/>
      <c r="T37" s="118">
        <f>IF($H37&gt;=1,$G37*(1-$D$8)/$H37,"")</f>
        <v>0</v>
      </c>
      <c r="U37" s="720">
        <f>IF($H37&gt;=2,$G37*(1-$D$8)/$H37,"")</f>
        <v>0</v>
      </c>
      <c r="V37" s="717"/>
    </row>
    <row r="38" spans="1:22" ht="15" customHeight="1" outlineLevel="1">
      <c r="C38" s="673"/>
      <c r="E38" s="676"/>
      <c r="F38" s="689">
        <v>2033</v>
      </c>
      <c r="G38" s="135">
        <f>U11+U12</f>
        <v>0</v>
      </c>
      <c r="H38" s="690">
        <f t="shared" si="10"/>
        <v>10</v>
      </c>
      <c r="I38" s="704"/>
      <c r="J38" s="704"/>
      <c r="K38" s="704"/>
      <c r="L38" s="135"/>
      <c r="M38" s="135"/>
      <c r="N38" s="135"/>
      <c r="O38" s="135"/>
      <c r="P38" s="135"/>
      <c r="Q38" s="135"/>
      <c r="R38" s="135"/>
      <c r="S38" s="135"/>
      <c r="T38" s="135"/>
      <c r="U38" s="721">
        <f>IF($H38&gt;=1,$G38*(1-$D$8)/$H38,"")</f>
        <v>0</v>
      </c>
      <c r="V38" s="717"/>
    </row>
    <row r="39" spans="1:22" ht="15" customHeight="1" outlineLevel="1">
      <c r="C39" s="673"/>
      <c r="E39" s="676"/>
      <c r="F39" s="691" t="s">
        <v>254</v>
      </c>
      <c r="G39" s="692"/>
      <c r="H39" s="693"/>
      <c r="I39" s="708"/>
      <c r="J39" s="708"/>
      <c r="K39" s="708"/>
      <c r="L39" s="709">
        <f>SUM(L27:L38)</f>
        <v>0</v>
      </c>
      <c r="M39" s="709">
        <f>SUM(M27:M38)</f>
        <v>0</v>
      </c>
      <c r="N39" s="709">
        <f>SUM(N27:N38)</f>
        <v>0</v>
      </c>
      <c r="O39" s="709">
        <f t="shared" ref="O39:U39" si="11">SUM(O27:O38)</f>
        <v>0</v>
      </c>
      <c r="P39" s="709">
        <f t="shared" si="11"/>
        <v>0</v>
      </c>
      <c r="Q39" s="709">
        <f t="shared" si="11"/>
        <v>0</v>
      </c>
      <c r="R39" s="709">
        <f t="shared" si="11"/>
        <v>0</v>
      </c>
      <c r="S39" s="709">
        <f t="shared" si="11"/>
        <v>0</v>
      </c>
      <c r="T39" s="709">
        <f t="shared" si="11"/>
        <v>0</v>
      </c>
      <c r="U39" s="722">
        <f t="shared" si="11"/>
        <v>0</v>
      </c>
      <c r="V39" s="717"/>
    </row>
    <row r="40" spans="1:22" ht="15" customHeight="1">
      <c r="C40" s="673"/>
      <c r="E40" s="676"/>
      <c r="F40" s="637"/>
      <c r="G40" s="637"/>
      <c r="H40" s="637"/>
      <c r="I40" s="637"/>
      <c r="J40" s="637"/>
      <c r="K40" s="637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2" ht="15" customHeight="1">
      <c r="B41" s="670" t="s">
        <v>255</v>
      </c>
      <c r="F41" s="31"/>
      <c r="G41" s="31"/>
      <c r="H41" s="31"/>
      <c r="I41" s="31"/>
      <c r="J41" s="31"/>
      <c r="K41" s="31"/>
      <c r="L41" s="118"/>
      <c r="M41" s="31"/>
      <c r="N41" s="31"/>
      <c r="O41" s="31"/>
      <c r="P41" s="31"/>
      <c r="Q41" s="31"/>
      <c r="R41" s="31"/>
      <c r="S41" s="31"/>
      <c r="T41" s="31"/>
      <c r="U41" s="31"/>
    </row>
    <row r="42" spans="1:22" ht="15" customHeight="1">
      <c r="A42" s="366"/>
      <c r="B42" s="150" t="s">
        <v>256</v>
      </c>
      <c r="C42" s="673"/>
      <c r="F42" s="118">
        <f>资产负债表!U32</f>
        <v>0</v>
      </c>
      <c r="G42" s="637">
        <f>资产负债表!Y32</f>
        <v>0</v>
      </c>
      <c r="H42" s="637">
        <f>资产负债表!AC32</f>
        <v>0</v>
      </c>
      <c r="I42" s="637">
        <f>资产负债表!AG32</f>
        <v>0</v>
      </c>
      <c r="J42" s="637">
        <f>资产负债表!AH32</f>
        <v>0</v>
      </c>
      <c r="K42" s="637">
        <f>资产负债表!AI32</f>
        <v>0</v>
      </c>
      <c r="L42" s="118">
        <f>H46</f>
        <v>0</v>
      </c>
      <c r="M42" s="118">
        <f>L46</f>
        <v>0</v>
      </c>
      <c r="N42" s="118">
        <f>M46</f>
        <v>0</v>
      </c>
      <c r="O42" s="118">
        <f>N46</f>
        <v>0</v>
      </c>
      <c r="P42" s="118">
        <f>O46</f>
        <v>0</v>
      </c>
      <c r="Q42" s="118">
        <f t="shared" ref="Q42:U42" si="12">P46</f>
        <v>0</v>
      </c>
      <c r="R42" s="118">
        <f t="shared" si="12"/>
        <v>0</v>
      </c>
      <c r="S42" s="118">
        <f t="shared" si="12"/>
        <v>0</v>
      </c>
      <c r="T42" s="118">
        <f t="shared" si="12"/>
        <v>0</v>
      </c>
      <c r="U42" s="118">
        <f t="shared" si="12"/>
        <v>0</v>
      </c>
    </row>
    <row r="43" spans="1:22" ht="15" customHeight="1">
      <c r="A43" s="366"/>
      <c r="B43" s="381"/>
      <c r="C43" s="673" t="s">
        <v>245</v>
      </c>
      <c r="F43" s="118">
        <f>F46-F42</f>
        <v>0</v>
      </c>
      <c r="G43" s="118">
        <f>G46-G42</f>
        <v>0</v>
      </c>
      <c r="H43" s="118">
        <f>H46-H42</f>
        <v>0</v>
      </c>
      <c r="I43" s="637">
        <f>IF(财务基础数据!AM4=0,0,I46-I42)</f>
        <v>0</v>
      </c>
      <c r="J43" s="637">
        <f>IF(财务基础数据!AM4&lt;=1,0,J46-J42)</f>
        <v>0</v>
      </c>
      <c r="K43" s="637">
        <f>IF(财务基础数据!AM4&lt;=2,0,K46-K42)</f>
        <v>0</v>
      </c>
      <c r="L43" s="697"/>
      <c r="M43" s="697"/>
      <c r="N43" s="697"/>
      <c r="O43" s="697"/>
      <c r="P43" s="697"/>
      <c r="Q43" s="697"/>
      <c r="R43" s="697"/>
      <c r="S43" s="697"/>
      <c r="T43" s="697"/>
      <c r="U43" s="697"/>
      <c r="V43" s="713"/>
    </row>
    <row r="44" spans="1:22" ht="15" customHeight="1">
      <c r="A44" s="366"/>
      <c r="B44" s="381"/>
      <c r="C44" s="673" t="s">
        <v>257</v>
      </c>
      <c r="D44" s="672">
        <v>0</v>
      </c>
      <c r="F44" s="118"/>
      <c r="G44" s="118"/>
      <c r="H44" s="118"/>
      <c r="I44" s="31"/>
      <c r="J44" s="31"/>
      <c r="K44" s="31"/>
      <c r="L44" s="710">
        <f>$D$44*(L42+L43)</f>
        <v>0</v>
      </c>
      <c r="M44" s="710">
        <f>$D$44*(M42+M43)</f>
        <v>0</v>
      </c>
      <c r="N44" s="710">
        <f>$D$44*(N42+N43)</f>
        <v>0</v>
      </c>
      <c r="O44" s="710">
        <f>$D$44*(O42+O43)</f>
        <v>0</v>
      </c>
      <c r="P44" s="710">
        <f>$D$44*(P42+P43)</f>
        <v>0</v>
      </c>
      <c r="Q44" s="710">
        <f t="shared" ref="Q44:U44" si="13">$D$44*(Q42+Q43)</f>
        <v>0</v>
      </c>
      <c r="R44" s="710">
        <f t="shared" si="13"/>
        <v>0</v>
      </c>
      <c r="S44" s="710">
        <f t="shared" si="13"/>
        <v>0</v>
      </c>
      <c r="T44" s="710">
        <f t="shared" si="13"/>
        <v>0</v>
      </c>
      <c r="U44" s="710">
        <f t="shared" si="13"/>
        <v>0</v>
      </c>
    </row>
    <row r="45" spans="1:22" ht="15" customHeight="1">
      <c r="A45" s="366"/>
      <c r="B45" s="673"/>
      <c r="C45" s="673" t="s">
        <v>258</v>
      </c>
      <c r="F45" s="118"/>
      <c r="G45" s="118"/>
      <c r="H45" s="118"/>
      <c r="I45" s="31"/>
      <c r="J45" s="31"/>
      <c r="K45" s="31"/>
      <c r="L45" s="697"/>
      <c r="M45" s="697"/>
      <c r="N45" s="697"/>
      <c r="O45" s="697"/>
      <c r="P45" s="697"/>
      <c r="Q45" s="697"/>
      <c r="R45" s="697"/>
      <c r="S45" s="697"/>
      <c r="T45" s="697"/>
      <c r="U45" s="697"/>
      <c r="V45" s="713"/>
    </row>
    <row r="46" spans="1:22" ht="15" customHeight="1">
      <c r="A46" s="366"/>
      <c r="B46" s="381" t="s">
        <v>259</v>
      </c>
      <c r="C46" s="694"/>
      <c r="F46" s="637">
        <f>资产负债表!Y32</f>
        <v>0</v>
      </c>
      <c r="G46" s="637">
        <f>资产负债表!AC32</f>
        <v>0</v>
      </c>
      <c r="H46" s="637">
        <f>资产负债表!AG32</f>
        <v>0</v>
      </c>
      <c r="I46" s="637">
        <f>资产负债表!AH32</f>
        <v>0</v>
      </c>
      <c r="J46" s="637">
        <f>资产负债表!AI32</f>
        <v>0</v>
      </c>
      <c r="K46" s="637">
        <f>资产负债表!AJ32</f>
        <v>0</v>
      </c>
      <c r="L46" s="118">
        <f>L42+L43-L44-L45</f>
        <v>0</v>
      </c>
      <c r="M46" s="118">
        <f>M42+M43-M44-M45</f>
        <v>0</v>
      </c>
      <c r="N46" s="118">
        <f>N42+N43-N44-N45</f>
        <v>0</v>
      </c>
      <c r="O46" s="118">
        <f t="shared" ref="O46:U46" si="14">O42+O43-O44-O45</f>
        <v>0</v>
      </c>
      <c r="P46" s="118">
        <f t="shared" si="14"/>
        <v>0</v>
      </c>
      <c r="Q46" s="118">
        <f t="shared" si="14"/>
        <v>0</v>
      </c>
      <c r="R46" s="118">
        <f t="shared" si="14"/>
        <v>0</v>
      </c>
      <c r="S46" s="118">
        <f t="shared" si="14"/>
        <v>0</v>
      </c>
      <c r="T46" s="118">
        <f t="shared" si="14"/>
        <v>0</v>
      </c>
      <c r="U46" s="118">
        <f t="shared" si="14"/>
        <v>0</v>
      </c>
    </row>
    <row r="47" spans="1:22" ht="15" customHeight="1">
      <c r="A47" s="366"/>
      <c r="B47" s="381"/>
      <c r="C47" s="694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2" ht="15" customHeight="1">
      <c r="A48" s="366"/>
      <c r="B48" s="670" t="s">
        <v>260</v>
      </c>
      <c r="C48" s="695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6" ht="15" customHeight="1">
      <c r="A49" s="366"/>
      <c r="B49" s="381" t="s">
        <v>233</v>
      </c>
      <c r="C49" s="150" t="s">
        <v>234</v>
      </c>
      <c r="D49" s="671">
        <v>20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6" ht="15" customHeight="1">
      <c r="A50" s="366"/>
      <c r="B50" s="670"/>
      <c r="C50" s="695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6" ht="15" customHeight="1">
      <c r="A51" s="366"/>
      <c r="B51" s="381" t="s">
        <v>236</v>
      </c>
      <c r="C51" s="673" t="s">
        <v>237</v>
      </c>
      <c r="F51" s="118">
        <f>财务附注数据!Z14*目录!$D$6</f>
        <v>0</v>
      </c>
      <c r="G51" s="118">
        <f>财务附注数据!AD14*目录!$D$6</f>
        <v>0</v>
      </c>
      <c r="H51" s="118">
        <f>财务附注数据!AH14*目录!$D$6</f>
        <v>0</v>
      </c>
      <c r="I51" s="31"/>
      <c r="J51" s="118">
        <f>H53</f>
        <v>0</v>
      </c>
      <c r="K51" s="31"/>
      <c r="L51" s="118">
        <f>H53</f>
        <v>0</v>
      </c>
      <c r="M51" s="118">
        <f>L53</f>
        <v>0</v>
      </c>
      <c r="N51" s="118">
        <f>M53</f>
        <v>0</v>
      </c>
      <c r="O51" s="118">
        <f>N53</f>
        <v>0</v>
      </c>
      <c r="P51" s="118">
        <f>O53</f>
        <v>0</v>
      </c>
      <c r="Q51" s="118">
        <f t="shared" ref="Q51:U51" si="15">P53</f>
        <v>0</v>
      </c>
      <c r="R51" s="118">
        <f t="shared" si="15"/>
        <v>0</v>
      </c>
      <c r="S51" s="118">
        <f t="shared" si="15"/>
        <v>0</v>
      </c>
      <c r="T51" s="118">
        <f t="shared" si="15"/>
        <v>0</v>
      </c>
      <c r="U51" s="118">
        <f t="shared" si="15"/>
        <v>0</v>
      </c>
    </row>
    <row r="52" spans="1:26" ht="15" customHeight="1">
      <c r="A52" s="366"/>
      <c r="B52" s="674"/>
      <c r="C52" s="673" t="s">
        <v>245</v>
      </c>
      <c r="D52" s="675"/>
      <c r="F52" s="118">
        <f>F53-F51</f>
        <v>0</v>
      </c>
      <c r="G52" s="118">
        <f>G53-G51</f>
        <v>0</v>
      </c>
      <c r="H52" s="118">
        <f>H53-H51</f>
        <v>0</v>
      </c>
      <c r="I52" s="118"/>
      <c r="J52" s="118">
        <f>IF(财务基础数据!AM4&lt;=1,0,J53-J51)</f>
        <v>0</v>
      </c>
      <c r="K52" s="31"/>
      <c r="L52" s="697"/>
      <c r="M52" s="697"/>
      <c r="N52" s="697"/>
      <c r="O52" s="697"/>
      <c r="P52" s="697"/>
      <c r="Q52" s="697"/>
      <c r="R52" s="697"/>
      <c r="S52" s="697"/>
      <c r="T52" s="697"/>
      <c r="U52" s="697"/>
      <c r="V52" s="713"/>
      <c r="Z52" s="725"/>
    </row>
    <row r="53" spans="1:26" ht="18" customHeight="1">
      <c r="A53" s="366"/>
      <c r="B53" s="674"/>
      <c r="C53" s="673" t="s">
        <v>241</v>
      </c>
      <c r="F53" s="118">
        <f>财务附注数据!AD14*目录!$D$6</f>
        <v>0</v>
      </c>
      <c r="G53" s="118">
        <f>财务附注数据!AH14*目录!$D$6</f>
        <v>0</v>
      </c>
      <c r="H53" s="118">
        <f>财务附注数据!AL14*目录!$D$6</f>
        <v>0</v>
      </c>
      <c r="I53" s="31"/>
      <c r="J53" s="118">
        <f>财务附注数据!AN14*目录!$D$6</f>
        <v>0</v>
      </c>
      <c r="K53" s="31"/>
      <c r="L53" s="118">
        <f>L51+L52</f>
        <v>0</v>
      </c>
      <c r="M53" s="118">
        <f>M51+M52</f>
        <v>0</v>
      </c>
      <c r="N53" s="118">
        <f>N51+N52</f>
        <v>0</v>
      </c>
      <c r="O53" s="118">
        <f>O51+O52</f>
        <v>0</v>
      </c>
      <c r="P53" s="118">
        <f>P51+P52</f>
        <v>0</v>
      </c>
      <c r="Q53" s="118">
        <f t="shared" ref="Q53:U53" si="16">Q51+Q52</f>
        <v>0</v>
      </c>
      <c r="R53" s="118">
        <f t="shared" si="16"/>
        <v>0</v>
      </c>
      <c r="S53" s="118">
        <f t="shared" si="16"/>
        <v>0</v>
      </c>
      <c r="T53" s="118">
        <f t="shared" si="16"/>
        <v>0</v>
      </c>
      <c r="U53" s="118">
        <f t="shared" si="16"/>
        <v>0</v>
      </c>
      <c r="W53" s="151"/>
      <c r="Y53" s="151"/>
    </row>
    <row r="54" spans="1:26" ht="18" customHeight="1">
      <c r="A54" s="366"/>
      <c r="B54" s="674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W54" s="151"/>
      <c r="Y54" s="151"/>
    </row>
    <row r="55" spans="1:26" ht="18" customHeight="1">
      <c r="A55" s="366"/>
      <c r="B55" s="673" t="s">
        <v>261</v>
      </c>
      <c r="C55" s="673"/>
      <c r="D55" s="675"/>
      <c r="F55" s="118">
        <f>财务基础数据!AD255*目录!$D$6</f>
        <v>0</v>
      </c>
      <c r="G55" s="118">
        <f>财务基础数据!AH255*目录!$D$6</f>
        <v>0</v>
      </c>
      <c r="H55" s="118">
        <f>财务基础数据!AL255*目录!$D$6</f>
        <v>0</v>
      </c>
      <c r="I55" s="118"/>
      <c r="J55" s="118">
        <f>财务基础数据!AN255*目录!$D$6</f>
        <v>0</v>
      </c>
      <c r="K55" s="31"/>
      <c r="L55" s="698">
        <f>L78</f>
        <v>0</v>
      </c>
      <c r="M55" s="698">
        <f t="shared" ref="M55:U55" si="17">M78</f>
        <v>0</v>
      </c>
      <c r="N55" s="698">
        <f t="shared" si="17"/>
        <v>0</v>
      </c>
      <c r="O55" s="698">
        <f t="shared" si="17"/>
        <v>0</v>
      </c>
      <c r="P55" s="698">
        <f t="shared" si="17"/>
        <v>0</v>
      </c>
      <c r="Q55" s="698">
        <f t="shared" si="17"/>
        <v>0</v>
      </c>
      <c r="R55" s="698">
        <f t="shared" si="17"/>
        <v>0</v>
      </c>
      <c r="S55" s="698">
        <f t="shared" si="17"/>
        <v>0</v>
      </c>
      <c r="T55" s="698">
        <f t="shared" si="17"/>
        <v>0</v>
      </c>
      <c r="U55" s="698">
        <f t="shared" si="17"/>
        <v>0</v>
      </c>
      <c r="V55" s="713"/>
      <c r="W55" s="151"/>
      <c r="Y55" s="151"/>
    </row>
    <row r="56" spans="1:26" ht="18" customHeight="1">
      <c r="A56" s="366"/>
      <c r="B56" s="673"/>
      <c r="C56" s="696" t="s">
        <v>262</v>
      </c>
      <c r="D56" s="672">
        <v>0</v>
      </c>
      <c r="F56" s="679">
        <f>IF(ISERROR(F55/F51),0,F55/F51)</f>
        <v>0</v>
      </c>
      <c r="G56" s="679">
        <f>IF(ISERROR(G55/G51),0,G55/G51)</f>
        <v>0</v>
      </c>
      <c r="H56" s="679">
        <f>IF(ISERROR(H55/H51),0,H55/H51)</f>
        <v>0</v>
      </c>
      <c r="I56" s="679"/>
      <c r="J56" s="679">
        <f>IF(ISERROR(J55/J51*2),0,J55/J51*2)</f>
        <v>0</v>
      </c>
      <c r="K56" s="31"/>
      <c r="L56" s="700">
        <f>$D$56</f>
        <v>0</v>
      </c>
      <c r="M56" s="700">
        <f>$D$56</f>
        <v>0</v>
      </c>
      <c r="N56" s="700">
        <f>$D$56</f>
        <v>0</v>
      </c>
      <c r="O56" s="700">
        <f t="shared" ref="O56:U56" si="18">$D$56</f>
        <v>0</v>
      </c>
      <c r="P56" s="700">
        <f t="shared" si="18"/>
        <v>0</v>
      </c>
      <c r="Q56" s="700">
        <f t="shared" si="18"/>
        <v>0</v>
      </c>
      <c r="R56" s="700">
        <f t="shared" si="18"/>
        <v>0</v>
      </c>
      <c r="S56" s="700">
        <f t="shared" si="18"/>
        <v>0</v>
      </c>
      <c r="T56" s="700">
        <f t="shared" si="18"/>
        <v>0</v>
      </c>
      <c r="U56" s="700">
        <f t="shared" si="18"/>
        <v>0</v>
      </c>
      <c r="V56" s="723"/>
      <c r="W56" s="723"/>
      <c r="Y56" s="151"/>
    </row>
    <row r="57" spans="1:26" ht="15" customHeight="1">
      <c r="A57" s="366"/>
      <c r="B57" s="674"/>
      <c r="F57" s="68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W57" s="151"/>
      <c r="Y57" s="151"/>
    </row>
    <row r="58" spans="1:26" ht="15" customHeight="1">
      <c r="A58" s="366"/>
      <c r="B58" s="673" t="s">
        <v>244</v>
      </c>
      <c r="C58" s="673" t="s">
        <v>237</v>
      </c>
      <c r="F58" s="118">
        <f>财务附注数据!Z16*目录!$D$6</f>
        <v>0</v>
      </c>
      <c r="G58" s="118">
        <f>财务附注数据!AD16*目录!$D$6</f>
        <v>0</v>
      </c>
      <c r="H58" s="118">
        <f>财务附注数据!AH16*目录!$D$6</f>
        <v>0</v>
      </c>
      <c r="I58" s="31"/>
      <c r="J58" s="118">
        <f>H60</f>
        <v>0</v>
      </c>
      <c r="K58" s="31"/>
      <c r="L58" s="118">
        <f>H60</f>
        <v>0</v>
      </c>
      <c r="M58" s="118">
        <f>L60</f>
        <v>0</v>
      </c>
      <c r="N58" s="118">
        <f>M60</f>
        <v>0</v>
      </c>
      <c r="O58" s="118">
        <f>N60</f>
        <v>0</v>
      </c>
      <c r="P58" s="118">
        <f>O60</f>
        <v>0</v>
      </c>
      <c r="Q58" s="118">
        <f>P60</f>
        <v>0</v>
      </c>
      <c r="R58" s="118">
        <f t="shared" ref="R58:U58" si="19">Q60</f>
        <v>0</v>
      </c>
      <c r="S58" s="118">
        <f t="shared" si="19"/>
        <v>0</v>
      </c>
      <c r="T58" s="118">
        <f t="shared" si="19"/>
        <v>0</v>
      </c>
      <c r="U58" s="118">
        <f t="shared" si="19"/>
        <v>0</v>
      </c>
      <c r="W58" s="151"/>
      <c r="Y58" s="151"/>
    </row>
    <row r="59" spans="1:26" ht="15" customHeight="1">
      <c r="A59" s="366"/>
      <c r="B59" s="680"/>
      <c r="C59" s="673" t="s">
        <v>245</v>
      </c>
      <c r="D59" s="675"/>
      <c r="F59" s="118">
        <f>F60-F58</f>
        <v>0</v>
      </c>
      <c r="G59" s="118">
        <f>G60-G58</f>
        <v>0</v>
      </c>
      <c r="H59" s="118">
        <f>H60-H58</f>
        <v>0</v>
      </c>
      <c r="I59" s="118"/>
      <c r="J59" s="118">
        <f>IF(财务基础数据!AM4&lt;=1,0,J60-J58)</f>
        <v>0</v>
      </c>
      <c r="K59" s="31"/>
      <c r="L59" s="697"/>
      <c r="M59" s="697"/>
      <c r="N59" s="697"/>
      <c r="O59" s="697"/>
      <c r="P59" s="697"/>
      <c r="Q59" s="697"/>
      <c r="R59" s="697"/>
      <c r="S59" s="697"/>
      <c r="T59" s="697"/>
      <c r="U59" s="697"/>
      <c r="V59" s="713"/>
      <c r="W59" s="151"/>
      <c r="Y59" s="151"/>
    </row>
    <row r="60" spans="1:26" ht="15" customHeight="1">
      <c r="A60" s="366"/>
      <c r="B60" s="680"/>
      <c r="C60" s="673" t="s">
        <v>241</v>
      </c>
      <c r="F60" s="118">
        <f>财务附注数据!AD16*目录!$D$6</f>
        <v>0</v>
      </c>
      <c r="G60" s="118">
        <f>财务附注数据!AH16*目录!$D$6</f>
        <v>0</v>
      </c>
      <c r="H60" s="118">
        <f>财务附注数据!AL16*目录!$D$6</f>
        <v>0</v>
      </c>
      <c r="I60" s="31"/>
      <c r="J60" s="118">
        <f>财务附注数据!AN16*目录!$D$6</f>
        <v>0</v>
      </c>
      <c r="K60" s="31"/>
      <c r="L60" s="118">
        <f t="shared" ref="L60:Q60" si="20">L58+L59</f>
        <v>0</v>
      </c>
      <c r="M60" s="118">
        <f t="shared" si="20"/>
        <v>0</v>
      </c>
      <c r="N60" s="118">
        <f t="shared" si="20"/>
        <v>0</v>
      </c>
      <c r="O60" s="118">
        <f t="shared" si="20"/>
        <v>0</v>
      </c>
      <c r="P60" s="118">
        <f t="shared" si="20"/>
        <v>0</v>
      </c>
      <c r="Q60" s="118">
        <f t="shared" si="20"/>
        <v>0</v>
      </c>
      <c r="R60" s="118">
        <f t="shared" ref="R60:U60" si="21">R58+R59</f>
        <v>0</v>
      </c>
      <c r="S60" s="118">
        <f t="shared" si="21"/>
        <v>0</v>
      </c>
      <c r="T60" s="118">
        <f t="shared" si="21"/>
        <v>0</v>
      </c>
      <c r="U60" s="118">
        <f t="shared" si="21"/>
        <v>0</v>
      </c>
      <c r="W60" s="151"/>
      <c r="Y60" s="151"/>
    </row>
    <row r="61" spans="1:26" ht="15" customHeight="1">
      <c r="A61" s="366"/>
      <c r="B61" s="680"/>
      <c r="C61" s="673"/>
      <c r="F61" s="68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W61" s="151"/>
      <c r="Y61" s="151"/>
    </row>
    <row r="62" spans="1:26" ht="15" customHeight="1">
      <c r="B62" s="150" t="s">
        <v>263</v>
      </c>
      <c r="C62" s="143"/>
      <c r="E62" s="676"/>
      <c r="F62" s="637">
        <f>资产负债表!U36</f>
        <v>0</v>
      </c>
      <c r="G62" s="637">
        <f>资产负债表!Y36</f>
        <v>0</v>
      </c>
      <c r="H62" s="637">
        <f>资产负债表!AC36</f>
        <v>0</v>
      </c>
      <c r="I62" s="31"/>
      <c r="J62" s="31"/>
      <c r="K62" s="31"/>
      <c r="L62" s="118">
        <f>H63</f>
        <v>0</v>
      </c>
      <c r="M62" s="118">
        <f>L63</f>
        <v>0</v>
      </c>
      <c r="N62" s="118">
        <f>M63</f>
        <v>0</v>
      </c>
      <c r="O62" s="118">
        <f>N63</f>
        <v>0</v>
      </c>
      <c r="P62" s="118">
        <f t="shared" ref="P62:U62" si="22">O63</f>
        <v>0</v>
      </c>
      <c r="Q62" s="118">
        <f t="shared" si="22"/>
        <v>0</v>
      </c>
      <c r="R62" s="118">
        <f t="shared" si="22"/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W62" s="151"/>
      <c r="Y62" s="151"/>
    </row>
    <row r="63" spans="1:26" ht="15" customHeight="1">
      <c r="B63" s="150" t="s">
        <v>264</v>
      </c>
      <c r="C63" s="673"/>
      <c r="E63" s="676"/>
      <c r="F63" s="637">
        <f>资产负债表!Y36</f>
        <v>0</v>
      </c>
      <c r="G63" s="637">
        <f>资产负债表!AC36</f>
        <v>0</v>
      </c>
      <c r="H63" s="637">
        <f>资产负债表!AG36</f>
        <v>0</v>
      </c>
      <c r="I63" s="637">
        <f>资产负债表!AH36</f>
        <v>0</v>
      </c>
      <c r="J63" s="637">
        <f>资产负债表!AI36</f>
        <v>0</v>
      </c>
      <c r="K63" s="637">
        <f>资产负债表!AJ36</f>
        <v>0</v>
      </c>
      <c r="L63" s="118">
        <f>H63+L52-L55-L59</f>
        <v>0</v>
      </c>
      <c r="M63" s="118">
        <f>L63+M52-M55-M59</f>
        <v>0</v>
      </c>
      <c r="N63" s="118">
        <f>M63+N52-N55-N59</f>
        <v>0</v>
      </c>
      <c r="O63" s="118">
        <f>N63+O52-O55-O59</f>
        <v>0</v>
      </c>
      <c r="P63" s="118">
        <f>O63+P52-P55-P59</f>
        <v>0</v>
      </c>
      <c r="Q63" s="118">
        <f t="shared" ref="Q63:U63" si="23">P63+Q52-Q55-Q59</f>
        <v>0</v>
      </c>
      <c r="R63" s="118">
        <f t="shared" si="23"/>
        <v>0</v>
      </c>
      <c r="S63" s="118">
        <f t="shared" si="23"/>
        <v>0</v>
      </c>
      <c r="T63" s="118">
        <f t="shared" si="23"/>
        <v>0</v>
      </c>
      <c r="U63" s="118">
        <f t="shared" si="23"/>
        <v>0</v>
      </c>
      <c r="W63" s="151"/>
      <c r="Y63" s="151"/>
    </row>
    <row r="64" spans="1:26" ht="18" customHeight="1">
      <c r="C64" s="673"/>
      <c r="E64" s="676"/>
      <c r="F64" s="637"/>
      <c r="G64" s="637"/>
      <c r="H64" s="637"/>
      <c r="I64" s="637"/>
      <c r="J64" s="637"/>
      <c r="K64" s="637"/>
      <c r="L64" s="188"/>
      <c r="M64" s="118"/>
      <c r="N64" s="118"/>
      <c r="O64" s="118"/>
      <c r="P64" s="118"/>
      <c r="Q64" s="118"/>
      <c r="R64" s="118"/>
      <c r="S64" s="118"/>
      <c r="T64" s="118"/>
      <c r="U64" s="118"/>
      <c r="W64" s="151"/>
      <c r="Y64" s="151"/>
    </row>
    <row r="65" spans="2:25" ht="18" customHeight="1" outlineLevel="1">
      <c r="C65" s="673"/>
      <c r="E65" s="676"/>
      <c r="F65" s="1166" t="s">
        <v>249</v>
      </c>
      <c r="G65" s="726" t="s">
        <v>250</v>
      </c>
      <c r="H65" s="726" t="s">
        <v>251</v>
      </c>
      <c r="I65" s="702"/>
      <c r="J65" s="702"/>
      <c r="K65" s="702"/>
      <c r="L65" s="703" t="str">
        <f>L4</f>
        <v>2024E</v>
      </c>
      <c r="M65" s="703">
        <f t="shared" ref="M65:U65" si="24">M4</f>
        <v>2025</v>
      </c>
      <c r="N65" s="703">
        <f t="shared" si="24"/>
        <v>2026</v>
      </c>
      <c r="O65" s="703">
        <f t="shared" si="24"/>
        <v>2027</v>
      </c>
      <c r="P65" s="703">
        <f t="shared" si="24"/>
        <v>2028</v>
      </c>
      <c r="Q65" s="703">
        <f t="shared" si="24"/>
        <v>2029</v>
      </c>
      <c r="R65" s="703">
        <f t="shared" si="24"/>
        <v>2030</v>
      </c>
      <c r="S65" s="703">
        <f t="shared" si="24"/>
        <v>2031</v>
      </c>
      <c r="T65" s="703">
        <f t="shared" si="24"/>
        <v>2032</v>
      </c>
      <c r="U65" s="716">
        <f t="shared" si="24"/>
        <v>2033</v>
      </c>
      <c r="V65" s="717"/>
    </row>
    <row r="66" spans="2:25" ht="18" customHeight="1" outlineLevel="1">
      <c r="C66" s="673"/>
      <c r="E66" s="676"/>
      <c r="F66" s="1167"/>
      <c r="G66" s="684">
        <f>H63</f>
        <v>0</v>
      </c>
      <c r="H66" s="684">
        <f>H53</f>
        <v>0</v>
      </c>
      <c r="I66" s="704"/>
      <c r="J66" s="704"/>
      <c r="K66" s="704"/>
      <c r="L66" s="684">
        <f>IF(SUM($K$66:K66)=$G$66,0,IF($G$66-SUM($K$66:K66)&lt;$H$66*L56,$G$66-SUM($K$66:K66),$H$66*L56))</f>
        <v>0</v>
      </c>
      <c r="M66" s="684">
        <f>IF(SUM($K$66:L66)=$G$66,0,IF($G$66-SUM($K$66:L66)&lt;$H$66*M56,$G$66-SUM($K$66:L66),$H$66*M56))</f>
        <v>0</v>
      </c>
      <c r="N66" s="684">
        <f>IF(SUM($K$66:M66)=$G$66,0,IF($G$66-SUM($K$66:M66)&lt;$H$66*N56,$G$66-SUM($K$66:M66),$H$66*N56))</f>
        <v>0</v>
      </c>
      <c r="O66" s="684">
        <f>IF(SUM($K$66:N66)=$G$66,0,IF($G$66-SUM($K$66:N66)&lt;$H$66*O56,$G$66-SUM($K$66:N66),$H$66*O56))</f>
        <v>0</v>
      </c>
      <c r="P66" s="684">
        <f>IF(SUM($K$66:O66)=$G$66,0,IF($G$66-SUM($K$66:O66)&lt;$H$66*P56,$G$66-SUM($K$66:O66),$H$66*P56))</f>
        <v>0</v>
      </c>
      <c r="Q66" s="684">
        <f>IF(SUM($K$66:P66)=$G$66,0,IF($G$66-SUM($K$66:P66)&lt;$H$66*Q56,$G$66-SUM($K$66:P66),$H$66*Q56))</f>
        <v>0</v>
      </c>
      <c r="R66" s="684">
        <f>IF(SUM($K$66:Q66)=$G$66,0,IF($G$66-SUM($K$66:Q66)&lt;$H$66*R56,$G$66-SUM($K$66:Q66),$H$66*R56))</f>
        <v>0</v>
      </c>
      <c r="S66" s="684">
        <f>IF(SUM($K$66:R66)=$G$66,0,IF($G$66-SUM($K$66:R66)&lt;$H$66*S56,$G$66-SUM($K$66:R66),$H$66*S56))</f>
        <v>0</v>
      </c>
      <c r="T66" s="684">
        <f>IF(SUM($K$66:S66)=$G$66,0,IF($G$66-SUM($K$66:S66)&lt;$H$66*T56,$G$66-SUM($K$66:S66),$H$66*T56))</f>
        <v>0</v>
      </c>
      <c r="U66" s="718">
        <f>IF(SUM($K$66:T66)=$G$66,0,IF($G$66-SUM($K$66:T66)&lt;$H$66*U56,$G$66-SUM($K$66:T66),$H$66*U56))</f>
        <v>0</v>
      </c>
      <c r="V66" s="717"/>
    </row>
    <row r="67" spans="2:25" ht="18" customHeight="1" outlineLevel="1">
      <c r="C67" s="673"/>
      <c r="E67" s="676"/>
      <c r="F67" s="685"/>
      <c r="G67" s="727" t="s">
        <v>252</v>
      </c>
      <c r="H67" s="686" t="s">
        <v>253</v>
      </c>
      <c r="I67" s="705"/>
      <c r="J67" s="705"/>
      <c r="K67" s="705"/>
      <c r="L67" s="706"/>
      <c r="M67" s="706"/>
      <c r="N67" s="706"/>
      <c r="O67" s="706"/>
      <c r="P67" s="706"/>
      <c r="Q67" s="706"/>
      <c r="R67" s="706"/>
      <c r="S67" s="706"/>
      <c r="T67" s="706"/>
      <c r="U67" s="719"/>
      <c r="V67" s="717"/>
    </row>
    <row r="68" spans="2:25" ht="18" customHeight="1" outlineLevel="1">
      <c r="C68" s="673"/>
      <c r="E68" s="676"/>
      <c r="F68" s="685" t="str">
        <f t="array" ref="F68:F77">TRANSPOSE(L4:U4)</f>
        <v>2024E</v>
      </c>
      <c r="G68" s="118">
        <f t="array" ref="G68:G77">TRANSPOSE(L52:U52)</f>
        <v>0</v>
      </c>
      <c r="H68" s="687">
        <f>$D$49</f>
        <v>20</v>
      </c>
      <c r="I68" s="707"/>
      <c r="J68" s="707"/>
      <c r="K68" s="707"/>
      <c r="L68" s="118">
        <f>IF($H68&gt;=1,$G68/$H68,"")</f>
        <v>0</v>
      </c>
      <c r="M68" s="118">
        <f>IF($H68&gt;=2,$G68/$H68,"")</f>
        <v>0</v>
      </c>
      <c r="N68" s="118">
        <f>IF($H68&gt;=3,$G68/$H68,"")</f>
        <v>0</v>
      </c>
      <c r="O68" s="118">
        <f>IF($H68&gt;=4,$G68/$H68,"")</f>
        <v>0</v>
      </c>
      <c r="P68" s="118">
        <f>IF($H68&gt;=5,$G68/$H68,"")</f>
        <v>0</v>
      </c>
      <c r="Q68" s="118">
        <f>IF($H68&gt;=6,$G68/$H68,"")</f>
        <v>0</v>
      </c>
      <c r="R68" s="118">
        <f>IF($H68&gt;=7,$G68/$H68,"")</f>
        <v>0</v>
      </c>
      <c r="S68" s="118">
        <f>IF($H68&gt;=8,$G68/$H68,"")</f>
        <v>0</v>
      </c>
      <c r="T68" s="118">
        <f>IF($H68&gt;=9,$G68/$H68,"")</f>
        <v>0</v>
      </c>
      <c r="U68" s="720">
        <f>IF($H68&gt;=10,$G68/$H68,"")</f>
        <v>0</v>
      </c>
      <c r="V68" s="717"/>
    </row>
    <row r="69" spans="2:25" ht="18" customHeight="1" outlineLevel="1">
      <c r="C69" s="673"/>
      <c r="E69" s="676"/>
      <c r="F69" s="688">
        <v>2025</v>
      </c>
      <c r="G69" s="118">
        <v>0</v>
      </c>
      <c r="H69" s="687">
        <f t="shared" ref="H69:H77" si="25">$D$49</f>
        <v>20</v>
      </c>
      <c r="I69" s="707"/>
      <c r="J69" s="707"/>
      <c r="K69" s="707"/>
      <c r="L69" s="118"/>
      <c r="M69" s="118">
        <f>IF($H69&gt;=1,$G69/$H69,"")</f>
        <v>0</v>
      </c>
      <c r="N69" s="118">
        <f>IF($H69&gt;=2,$G69/$H69,"")</f>
        <v>0</v>
      </c>
      <c r="O69" s="118">
        <f>IF($H69&gt;=3,$G69/$H69,"")</f>
        <v>0</v>
      </c>
      <c r="P69" s="118">
        <f>IF($H69&gt;=4,$G69/$H69,"")</f>
        <v>0</v>
      </c>
      <c r="Q69" s="118">
        <f>IF($H69&gt;=5,$G69/$H69,"")</f>
        <v>0</v>
      </c>
      <c r="R69" s="118">
        <f>IF($H69&gt;=6,$G69/$H69,"")</f>
        <v>0</v>
      </c>
      <c r="S69" s="118">
        <f>IF($H69&gt;=7,$G69/$H69,"")</f>
        <v>0</v>
      </c>
      <c r="T69" s="118">
        <f>IF($H69&gt;=8,$G69/$H69,"")</f>
        <v>0</v>
      </c>
      <c r="U69" s="720">
        <f>IF($H69&gt;=9,$G69/$H69,"")</f>
        <v>0</v>
      </c>
      <c r="V69" s="717"/>
    </row>
    <row r="70" spans="2:25" ht="18" customHeight="1" outlineLevel="1">
      <c r="C70" s="673"/>
      <c r="E70" s="676"/>
      <c r="F70" s="688">
        <v>2026</v>
      </c>
      <c r="G70" s="118">
        <v>0</v>
      </c>
      <c r="H70" s="687">
        <f t="shared" si="25"/>
        <v>20</v>
      </c>
      <c r="I70" s="707"/>
      <c r="J70" s="707"/>
      <c r="K70" s="707"/>
      <c r="L70" s="118"/>
      <c r="M70" s="118"/>
      <c r="N70" s="118">
        <f>IF($H70&gt;=1,$G70/$H70,"")</f>
        <v>0</v>
      </c>
      <c r="O70" s="118">
        <f>IF($H70&gt;=2,$G70/$H70,"")</f>
        <v>0</v>
      </c>
      <c r="P70" s="118">
        <f>IF($H70&gt;=3,$G70/$H70,"")</f>
        <v>0</v>
      </c>
      <c r="Q70" s="118">
        <f>IF($H70&gt;=4,$G70/$H70,"")</f>
        <v>0</v>
      </c>
      <c r="R70" s="118">
        <f>IF($H70&gt;=5,$G70/$H70,"")</f>
        <v>0</v>
      </c>
      <c r="S70" s="118">
        <f>IF($H70&gt;=6,$G70/$H70,"")</f>
        <v>0</v>
      </c>
      <c r="T70" s="118">
        <f>IF($H70&gt;=7,$G70/$H70,"")</f>
        <v>0</v>
      </c>
      <c r="U70" s="720">
        <f>IF($H70&gt;=8,$G70/$H70,"")</f>
        <v>0</v>
      </c>
      <c r="V70" s="717"/>
    </row>
    <row r="71" spans="2:25" ht="18" customHeight="1" outlineLevel="1">
      <c r="C71" s="673"/>
      <c r="E71" s="676"/>
      <c r="F71" s="688">
        <v>2027</v>
      </c>
      <c r="G71" s="118">
        <v>0</v>
      </c>
      <c r="H71" s="687">
        <f t="shared" si="25"/>
        <v>20</v>
      </c>
      <c r="I71" s="707"/>
      <c r="J71" s="707"/>
      <c r="K71" s="707"/>
      <c r="L71" s="118"/>
      <c r="M71" s="118"/>
      <c r="N71" s="118"/>
      <c r="O71" s="118">
        <f>IF($H71&gt;=1,$G71/$H71,"")</f>
        <v>0</v>
      </c>
      <c r="P71" s="118">
        <f>IF($H71&gt;=2,$G71/$H71,"")</f>
        <v>0</v>
      </c>
      <c r="Q71" s="118">
        <f>IF($H71&gt;=3,$G71/$H71,"")</f>
        <v>0</v>
      </c>
      <c r="R71" s="118">
        <f>IF($H71&gt;=4,$G71/$H71,"")</f>
        <v>0</v>
      </c>
      <c r="S71" s="118">
        <f>IF($H71&gt;=5,$G71/$H71,"")</f>
        <v>0</v>
      </c>
      <c r="T71" s="118">
        <f>IF($H71&gt;=6,$G71/$H71,"")</f>
        <v>0</v>
      </c>
      <c r="U71" s="720">
        <f>IF($H71&gt;=7,$G71/$H71,"")</f>
        <v>0</v>
      </c>
      <c r="V71" s="717"/>
    </row>
    <row r="72" spans="2:25" ht="18" customHeight="1" outlineLevel="1">
      <c r="C72" s="673"/>
      <c r="E72" s="676"/>
      <c r="F72" s="688">
        <v>2028</v>
      </c>
      <c r="G72" s="118">
        <v>0</v>
      </c>
      <c r="H72" s="687">
        <f t="shared" si="25"/>
        <v>20</v>
      </c>
      <c r="I72" s="707"/>
      <c r="J72" s="707"/>
      <c r="K72" s="707"/>
      <c r="L72" s="118"/>
      <c r="M72" s="118"/>
      <c r="N72" s="118"/>
      <c r="O72" s="118"/>
      <c r="P72" s="118">
        <f>IF($H72&gt;=1,$G72/$H72,"")</f>
        <v>0</v>
      </c>
      <c r="Q72" s="118">
        <f>IF($H72&gt;=2,$G72/$H72,"")</f>
        <v>0</v>
      </c>
      <c r="R72" s="118">
        <f>IF($H72&gt;=3,$G72/$H72,"")</f>
        <v>0</v>
      </c>
      <c r="S72" s="118">
        <f>IF($H72&gt;=4,$G72/$H72,"")</f>
        <v>0</v>
      </c>
      <c r="T72" s="118">
        <f>IF($H72&gt;=5,$G72/$H72,"")</f>
        <v>0</v>
      </c>
      <c r="U72" s="720">
        <f>IF($H72&gt;=6,$G72/$H72,"")</f>
        <v>0</v>
      </c>
      <c r="V72" s="717"/>
    </row>
    <row r="73" spans="2:25" ht="18" customHeight="1" outlineLevel="1">
      <c r="C73" s="673"/>
      <c r="E73" s="676"/>
      <c r="F73" s="688">
        <v>2029</v>
      </c>
      <c r="G73" s="118">
        <v>0</v>
      </c>
      <c r="H73" s="687">
        <f t="shared" si="25"/>
        <v>20</v>
      </c>
      <c r="I73" s="707"/>
      <c r="J73" s="707"/>
      <c r="K73" s="707"/>
      <c r="L73" s="118"/>
      <c r="M73" s="118"/>
      <c r="N73" s="118"/>
      <c r="O73" s="118"/>
      <c r="P73" s="118"/>
      <c r="Q73" s="118">
        <f>IF($H73&gt;=1,$G73/$H73,"")</f>
        <v>0</v>
      </c>
      <c r="R73" s="118">
        <f>IF($H73&gt;=2,$G73/$H73,"")</f>
        <v>0</v>
      </c>
      <c r="S73" s="118">
        <f>IF($H73&gt;=3,$G73/$H73,"")</f>
        <v>0</v>
      </c>
      <c r="T73" s="118">
        <f>IF($H73&gt;=4,$G73/$H73,"")</f>
        <v>0</v>
      </c>
      <c r="U73" s="720">
        <f>IF($H73&gt;=5,$G73/$H73,"")</f>
        <v>0</v>
      </c>
      <c r="V73" s="717"/>
    </row>
    <row r="74" spans="2:25" ht="18" customHeight="1" outlineLevel="1">
      <c r="C74" s="673"/>
      <c r="E74" s="676"/>
      <c r="F74" s="688">
        <v>2030</v>
      </c>
      <c r="G74" s="118">
        <v>0</v>
      </c>
      <c r="H74" s="687">
        <f t="shared" si="25"/>
        <v>20</v>
      </c>
      <c r="I74" s="707"/>
      <c r="J74" s="707"/>
      <c r="K74" s="707"/>
      <c r="L74" s="118"/>
      <c r="M74" s="118"/>
      <c r="N74" s="118"/>
      <c r="O74" s="118"/>
      <c r="P74" s="118"/>
      <c r="Q74" s="118"/>
      <c r="R74" s="118">
        <f>IF($H74&gt;=1,$G74/$H74,"")</f>
        <v>0</v>
      </c>
      <c r="S74" s="118">
        <f>IF($H74&gt;=2,$G74/$H74,"")</f>
        <v>0</v>
      </c>
      <c r="T74" s="118">
        <f>IF($H74&gt;=3,$G74/$H74,"")</f>
        <v>0</v>
      </c>
      <c r="U74" s="720">
        <f>IF($H74&gt;=4,$G74/$H74,"")</f>
        <v>0</v>
      </c>
      <c r="V74" s="717"/>
    </row>
    <row r="75" spans="2:25" ht="18" customHeight="1" outlineLevel="1">
      <c r="C75" s="673"/>
      <c r="E75" s="676"/>
      <c r="F75" s="688">
        <v>2031</v>
      </c>
      <c r="G75" s="118">
        <v>0</v>
      </c>
      <c r="H75" s="687">
        <f t="shared" si="25"/>
        <v>20</v>
      </c>
      <c r="I75" s="707"/>
      <c r="J75" s="707"/>
      <c r="K75" s="707"/>
      <c r="L75" s="118"/>
      <c r="M75" s="118"/>
      <c r="N75" s="118"/>
      <c r="O75" s="118"/>
      <c r="P75" s="118"/>
      <c r="Q75" s="118"/>
      <c r="R75" s="118"/>
      <c r="S75" s="118">
        <f>IF($H75&gt;=1,$G75/$H75,"")</f>
        <v>0</v>
      </c>
      <c r="T75" s="118">
        <f>IF($H75&gt;=2,$G75/$H75,"")</f>
        <v>0</v>
      </c>
      <c r="U75" s="720">
        <f>IF($H75&gt;=3,$G75/$H75,"")</f>
        <v>0</v>
      </c>
      <c r="V75" s="717"/>
    </row>
    <row r="76" spans="2:25" ht="18" customHeight="1" outlineLevel="1">
      <c r="C76" s="673"/>
      <c r="E76" s="676"/>
      <c r="F76" s="688">
        <v>2032</v>
      </c>
      <c r="G76" s="118">
        <v>0</v>
      </c>
      <c r="H76" s="687">
        <f t="shared" si="25"/>
        <v>20</v>
      </c>
      <c r="I76" s="707"/>
      <c r="J76" s="707"/>
      <c r="K76" s="707"/>
      <c r="L76" s="118"/>
      <c r="M76" s="118"/>
      <c r="N76" s="118"/>
      <c r="O76" s="118"/>
      <c r="P76" s="118"/>
      <c r="Q76" s="118"/>
      <c r="R76" s="118"/>
      <c r="S76" s="118"/>
      <c r="T76" s="118">
        <f>IF($H76&gt;=1,$G76/$H76,"")</f>
        <v>0</v>
      </c>
      <c r="U76" s="720">
        <f>IF($H76&gt;=2,$G76/$H76,"")</f>
        <v>0</v>
      </c>
      <c r="V76" s="717"/>
    </row>
    <row r="77" spans="2:25" ht="18" customHeight="1" outlineLevel="1">
      <c r="C77" s="673"/>
      <c r="E77" s="676"/>
      <c r="F77" s="689">
        <v>2033</v>
      </c>
      <c r="G77" s="135">
        <v>0</v>
      </c>
      <c r="H77" s="690">
        <f t="shared" si="25"/>
        <v>20</v>
      </c>
      <c r="I77" s="704"/>
      <c r="J77" s="704"/>
      <c r="K77" s="704"/>
      <c r="L77" s="135"/>
      <c r="M77" s="135"/>
      <c r="N77" s="135"/>
      <c r="O77" s="135"/>
      <c r="P77" s="135"/>
      <c r="Q77" s="135"/>
      <c r="R77" s="135"/>
      <c r="S77" s="135"/>
      <c r="T77" s="135"/>
      <c r="U77" s="721">
        <f>IF($H77&gt;=1,$G77/$H77,"")</f>
        <v>0</v>
      </c>
      <c r="V77" s="717"/>
    </row>
    <row r="78" spans="2:25" ht="18" customHeight="1" outlineLevel="1">
      <c r="C78" s="673"/>
      <c r="E78" s="676"/>
      <c r="F78" s="691" t="s">
        <v>254</v>
      </c>
      <c r="G78" s="692"/>
      <c r="H78" s="693"/>
      <c r="I78" s="708"/>
      <c r="J78" s="708"/>
      <c r="K78" s="708"/>
      <c r="L78" s="709">
        <f>SUM(L66:L77)</f>
        <v>0</v>
      </c>
      <c r="M78" s="709">
        <f t="shared" ref="M78:U78" si="26">SUM(M66:M77)</f>
        <v>0</v>
      </c>
      <c r="N78" s="709">
        <f t="shared" si="26"/>
        <v>0</v>
      </c>
      <c r="O78" s="709">
        <f t="shared" si="26"/>
        <v>0</v>
      </c>
      <c r="P78" s="709">
        <f t="shared" si="26"/>
        <v>0</v>
      </c>
      <c r="Q78" s="709">
        <f t="shared" si="26"/>
        <v>0</v>
      </c>
      <c r="R78" s="709">
        <f t="shared" si="26"/>
        <v>0</v>
      </c>
      <c r="S78" s="709">
        <f t="shared" si="26"/>
        <v>0</v>
      </c>
      <c r="T78" s="709">
        <f t="shared" si="26"/>
        <v>0</v>
      </c>
      <c r="U78" s="722">
        <f t="shared" si="26"/>
        <v>0</v>
      </c>
      <c r="V78" s="717"/>
    </row>
    <row r="79" spans="2:25" ht="18" customHeight="1">
      <c r="B79" s="728" t="s">
        <v>265</v>
      </c>
      <c r="C79" s="695"/>
      <c r="E79" s="676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W79" s="151"/>
      <c r="Y79" s="151"/>
    </row>
    <row r="80" spans="2:25" ht="18" customHeight="1">
      <c r="B80" s="150" t="s">
        <v>266</v>
      </c>
      <c r="C80" s="673"/>
      <c r="E80" s="676"/>
      <c r="F80" s="637">
        <f>资产负债表!U38</f>
        <v>0</v>
      </c>
      <c r="G80" s="637">
        <f>资产负债表!Y38</f>
        <v>0</v>
      </c>
      <c r="H80" s="637">
        <f>资产负债表!AC38</f>
        <v>0</v>
      </c>
      <c r="I80" s="637">
        <f>资产负债表!AG38</f>
        <v>0</v>
      </c>
      <c r="J80" s="637">
        <f>资产负债表!AH38</f>
        <v>0</v>
      </c>
      <c r="K80" s="637">
        <f>资产负债表!AI38</f>
        <v>0</v>
      </c>
      <c r="L80" s="118">
        <f>H83</f>
        <v>0</v>
      </c>
      <c r="M80" s="118">
        <f>L83</f>
        <v>0</v>
      </c>
      <c r="N80" s="118">
        <f>M83</f>
        <v>0</v>
      </c>
      <c r="O80" s="118">
        <f>N83</f>
        <v>0</v>
      </c>
      <c r="P80" s="118">
        <f>O83</f>
        <v>0</v>
      </c>
      <c r="Q80" s="118">
        <f>P83</f>
        <v>0</v>
      </c>
      <c r="R80" s="118">
        <f t="shared" ref="R80:U80" si="27">Q83</f>
        <v>0</v>
      </c>
      <c r="S80" s="118">
        <f t="shared" si="27"/>
        <v>0</v>
      </c>
      <c r="T80" s="118">
        <f t="shared" si="27"/>
        <v>0</v>
      </c>
      <c r="U80" s="118">
        <f t="shared" si="27"/>
        <v>0</v>
      </c>
      <c r="W80" s="151"/>
      <c r="Y80" s="151"/>
    </row>
    <row r="81" spans="2:22" ht="18" customHeight="1">
      <c r="B81" s="381"/>
      <c r="C81" s="673" t="s">
        <v>245</v>
      </c>
      <c r="D81" s="729"/>
      <c r="E81" s="676"/>
      <c r="F81" s="118">
        <f>F83-F80</f>
        <v>0</v>
      </c>
      <c r="G81" s="118">
        <f>G83-G80</f>
        <v>0</v>
      </c>
      <c r="H81" s="118">
        <f>H83-H80</f>
        <v>0</v>
      </c>
      <c r="I81" s="637">
        <f>IF(财务基础数据!AM4=0,0,I83-I80)</f>
        <v>0</v>
      </c>
      <c r="J81" s="637">
        <f>IF(财务基础数据!AM4&lt;=1,0,J83-J80)</f>
        <v>0</v>
      </c>
      <c r="K81" s="637">
        <f>IF(财务基础数据!AM4&lt;=2,0,K83-K80)</f>
        <v>0</v>
      </c>
      <c r="L81" s="697"/>
      <c r="M81" s="697"/>
      <c r="N81" s="697"/>
      <c r="O81" s="697"/>
      <c r="P81" s="697"/>
      <c r="Q81" s="697"/>
      <c r="R81" s="697"/>
      <c r="S81" s="697"/>
      <c r="T81" s="697"/>
      <c r="U81" s="697"/>
      <c r="V81" s="713"/>
    </row>
    <row r="82" spans="2:22" ht="18" customHeight="1">
      <c r="B82" s="673"/>
      <c r="C82" s="673" t="s">
        <v>258</v>
      </c>
      <c r="F82" s="31"/>
      <c r="G82" s="31"/>
      <c r="H82" s="31"/>
      <c r="I82" s="31"/>
      <c r="J82" s="31"/>
      <c r="K82" s="31"/>
      <c r="L82" s="697"/>
      <c r="M82" s="697"/>
      <c r="N82" s="697"/>
      <c r="O82" s="697"/>
      <c r="P82" s="697"/>
      <c r="Q82" s="697"/>
      <c r="R82" s="697"/>
      <c r="S82" s="697"/>
      <c r="T82" s="697"/>
      <c r="U82" s="697"/>
      <c r="V82" s="713"/>
    </row>
    <row r="83" spans="2:22" ht="18" customHeight="1">
      <c r="B83" s="381" t="s">
        <v>267</v>
      </c>
      <c r="C83" s="694"/>
      <c r="F83" s="637">
        <f>资产负债表!Y38</f>
        <v>0</v>
      </c>
      <c r="G83" s="637">
        <f>资产负债表!AC38</f>
        <v>0</v>
      </c>
      <c r="H83" s="637">
        <f>资产负债表!AG38</f>
        <v>0</v>
      </c>
      <c r="I83" s="637">
        <f>资产负债表!AH38</f>
        <v>0</v>
      </c>
      <c r="J83" s="637">
        <f>资产负债表!AI38</f>
        <v>0</v>
      </c>
      <c r="K83" s="637">
        <f>资产负债表!AJ38</f>
        <v>0</v>
      </c>
      <c r="L83" s="118">
        <f t="shared" ref="L83:R83" si="28">L80+L81-L82</f>
        <v>0</v>
      </c>
      <c r="M83" s="118">
        <f t="shared" si="28"/>
        <v>0</v>
      </c>
      <c r="N83" s="118">
        <f t="shared" si="28"/>
        <v>0</v>
      </c>
      <c r="O83" s="118">
        <f t="shared" si="28"/>
        <v>0</v>
      </c>
      <c r="P83" s="118">
        <f t="shared" si="28"/>
        <v>0</v>
      </c>
      <c r="Q83" s="118">
        <f t="shared" si="28"/>
        <v>0</v>
      </c>
      <c r="R83" s="118">
        <f t="shared" si="28"/>
        <v>0</v>
      </c>
      <c r="S83" s="118">
        <f t="shared" ref="S83:U83" si="29">S80+S81-S82</f>
        <v>0</v>
      </c>
      <c r="T83" s="118">
        <f t="shared" si="29"/>
        <v>0</v>
      </c>
      <c r="U83" s="118">
        <f t="shared" si="29"/>
        <v>0</v>
      </c>
    </row>
    <row r="84" spans="2:22" ht="18" customHeight="1">
      <c r="B84" s="381"/>
      <c r="C84" s="694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spans="2:22" ht="18" customHeight="1">
      <c r="B85" s="670" t="s">
        <v>268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spans="2:22" ht="18" customHeight="1">
      <c r="B86" s="150" t="s">
        <v>269</v>
      </c>
      <c r="F86" s="637">
        <f>资产负债表!U27</f>
        <v>0</v>
      </c>
      <c r="G86" s="637">
        <f>资产负债表!Y27</f>
        <v>0</v>
      </c>
      <c r="H86" s="637">
        <f>资产负债表!AC27</f>
        <v>0</v>
      </c>
      <c r="I86" s="637">
        <f>资产负债表!AG27</f>
        <v>0</v>
      </c>
      <c r="J86" s="637">
        <f>资产负债表!AH27</f>
        <v>0</v>
      </c>
      <c r="K86" s="637">
        <f>资产负债表!AI27</f>
        <v>0</v>
      </c>
      <c r="L86" s="118">
        <f>H90</f>
        <v>0</v>
      </c>
      <c r="M86" s="118">
        <f>L90</f>
        <v>0</v>
      </c>
      <c r="N86" s="118">
        <f>M90</f>
        <v>0</v>
      </c>
      <c r="O86" s="118">
        <f>N90</f>
        <v>0</v>
      </c>
      <c r="P86" s="118">
        <f>O90</f>
        <v>0</v>
      </c>
      <c r="Q86" s="118">
        <f t="shared" ref="Q86:U86" si="30">P90</f>
        <v>0</v>
      </c>
      <c r="R86" s="118">
        <f t="shared" si="30"/>
        <v>0</v>
      </c>
      <c r="S86" s="118">
        <f t="shared" si="30"/>
        <v>0</v>
      </c>
      <c r="T86" s="118">
        <f t="shared" si="30"/>
        <v>0</v>
      </c>
      <c r="U86" s="118">
        <f t="shared" si="30"/>
        <v>0</v>
      </c>
    </row>
    <row r="87" spans="2:22" ht="18" customHeight="1">
      <c r="C87" s="673" t="s">
        <v>270</v>
      </c>
      <c r="D87" s="675"/>
      <c r="F87" s="637"/>
      <c r="G87" s="637"/>
      <c r="H87" s="637"/>
      <c r="I87" s="637"/>
      <c r="J87" s="637"/>
      <c r="K87" s="637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714" t="s">
        <v>271</v>
      </c>
    </row>
    <row r="88" spans="2:22" ht="18" customHeight="1">
      <c r="C88" s="673" t="s">
        <v>272</v>
      </c>
      <c r="F88" s="118">
        <f>F90-F86</f>
        <v>0</v>
      </c>
      <c r="G88" s="118">
        <f>G90-G86</f>
        <v>0</v>
      </c>
      <c r="H88" s="118">
        <f>H90-H86</f>
        <v>0</v>
      </c>
      <c r="I88" s="637">
        <f>IF(财务基础数据!AM4=0,0,I90-I86)</f>
        <v>0</v>
      </c>
      <c r="J88" s="637">
        <f>IF(财务基础数据!AM4&lt;=1,0,J90-J86)</f>
        <v>0</v>
      </c>
      <c r="K88" s="637">
        <f>IF(财务基础数据!AM4&lt;=2,0,K90-K86)</f>
        <v>0</v>
      </c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713"/>
    </row>
    <row r="89" spans="2:22" ht="18" customHeight="1">
      <c r="C89" s="673" t="s">
        <v>258</v>
      </c>
      <c r="F89" s="31"/>
      <c r="G89" s="31"/>
      <c r="H89" s="31"/>
      <c r="I89" s="31"/>
      <c r="J89" s="31"/>
      <c r="K89" s="31"/>
      <c r="L89" s="697"/>
      <c r="M89" s="697"/>
      <c r="N89" s="697"/>
      <c r="O89" s="697"/>
      <c r="P89" s="697"/>
      <c r="Q89" s="697"/>
      <c r="R89" s="697"/>
      <c r="S89" s="697"/>
      <c r="T89" s="697"/>
      <c r="U89" s="697"/>
      <c r="V89" s="713"/>
    </row>
    <row r="90" spans="2:22" ht="18" customHeight="1">
      <c r="B90" s="150" t="s">
        <v>273</v>
      </c>
      <c r="F90" s="637">
        <f>资产负债表!Y27</f>
        <v>0</v>
      </c>
      <c r="G90" s="637">
        <f>资产负债表!AC27</f>
        <v>0</v>
      </c>
      <c r="H90" s="637">
        <f>资产负债表!AG27</f>
        <v>0</v>
      </c>
      <c r="I90" s="637">
        <f>资产负债表!AH27</f>
        <v>0</v>
      </c>
      <c r="J90" s="637">
        <f>资产负债表!AI27</f>
        <v>0</v>
      </c>
      <c r="K90" s="637">
        <f>资产负债表!AJ27</f>
        <v>0</v>
      </c>
      <c r="L90" s="118">
        <f>L86+L87+L88-L89</f>
        <v>0</v>
      </c>
      <c r="M90" s="118">
        <f>M86+M87+M88-M89</f>
        <v>0</v>
      </c>
      <c r="N90" s="118">
        <f>N86+N87+N88-N89</f>
        <v>0</v>
      </c>
      <c r="O90" s="118">
        <f>O86+O87+O88-O89</f>
        <v>0</v>
      </c>
      <c r="P90" s="118">
        <f>P86+P87+P88-P89</f>
        <v>0</v>
      </c>
      <c r="Q90" s="118">
        <f t="shared" ref="Q90:U90" si="31">Q86+Q87+Q88-Q89</f>
        <v>0</v>
      </c>
      <c r="R90" s="118">
        <f t="shared" si="31"/>
        <v>0</v>
      </c>
      <c r="S90" s="118">
        <f t="shared" si="31"/>
        <v>0</v>
      </c>
      <c r="T90" s="118">
        <f t="shared" si="31"/>
        <v>0</v>
      </c>
      <c r="U90" s="118">
        <f t="shared" si="31"/>
        <v>0</v>
      </c>
    </row>
    <row r="91" spans="2:22" ht="15.95" customHeight="1"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spans="2:22" ht="15.95" customHeight="1">
      <c r="B92" s="670" t="s">
        <v>274</v>
      </c>
      <c r="C92" s="695"/>
      <c r="F92" s="31"/>
      <c r="G92" s="699"/>
      <c r="H92" s="699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spans="2:22" ht="15.95" customHeight="1">
      <c r="B93" s="730" t="s">
        <v>275</v>
      </c>
      <c r="C93" s="695"/>
      <c r="F93" s="637">
        <f>资产负债表!U30</f>
        <v>0</v>
      </c>
      <c r="G93" s="637">
        <f>资产负债表!Y30</f>
        <v>0</v>
      </c>
      <c r="H93" s="637">
        <f>资产负债表!AC30</f>
        <v>0</v>
      </c>
      <c r="I93" s="31"/>
      <c r="J93" s="637">
        <f>H101</f>
        <v>0</v>
      </c>
      <c r="K93" s="31"/>
      <c r="L93" s="118">
        <f>H101</f>
        <v>0</v>
      </c>
      <c r="M93" s="118">
        <f>L101</f>
        <v>0</v>
      </c>
      <c r="N93" s="118">
        <f>M101</f>
        <v>0</v>
      </c>
      <c r="O93" s="118">
        <f>N101</f>
        <v>0</v>
      </c>
      <c r="P93" s="118">
        <f t="shared" ref="P93:U93" si="32">O101</f>
        <v>0</v>
      </c>
      <c r="Q93" s="118">
        <f t="shared" si="32"/>
        <v>0</v>
      </c>
      <c r="R93" s="118">
        <f t="shared" si="32"/>
        <v>0</v>
      </c>
      <c r="S93" s="118">
        <f t="shared" si="32"/>
        <v>0</v>
      </c>
      <c r="T93" s="118">
        <f t="shared" si="32"/>
        <v>0</v>
      </c>
      <c r="U93" s="118">
        <f t="shared" si="32"/>
        <v>0</v>
      </c>
    </row>
    <row r="94" spans="2:22" ht="15.95" customHeight="1">
      <c r="B94" s="731" t="s">
        <v>276</v>
      </c>
      <c r="C94" s="695"/>
      <c r="D94" s="675"/>
      <c r="F94" s="31"/>
      <c r="G94" s="699"/>
      <c r="H94" s="732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spans="2:22" ht="15.95" customHeight="1">
      <c r="B95" s="731"/>
      <c r="C95" s="150" t="s">
        <v>245</v>
      </c>
      <c r="F95" s="31"/>
      <c r="G95" s="699"/>
      <c r="H95" s="733"/>
      <c r="I95" s="31"/>
      <c r="J95" s="31"/>
      <c r="K95" s="31"/>
      <c r="L95" s="697"/>
      <c r="M95" s="697"/>
      <c r="N95" s="697"/>
      <c r="O95" s="697"/>
      <c r="P95" s="697"/>
      <c r="Q95" s="697"/>
      <c r="R95" s="697"/>
      <c r="S95" s="697"/>
      <c r="T95" s="697"/>
      <c r="U95" s="697"/>
      <c r="V95" s="713"/>
    </row>
    <row r="96" spans="2:22" ht="15.95" customHeight="1">
      <c r="B96" s="731"/>
      <c r="C96" s="150" t="s">
        <v>277</v>
      </c>
      <c r="F96" s="31"/>
      <c r="G96" s="699"/>
      <c r="H96" s="734"/>
      <c r="I96" s="31"/>
      <c r="J96" s="31"/>
      <c r="K96" s="31"/>
      <c r="L96" s="697"/>
      <c r="M96" s="697"/>
      <c r="N96" s="697"/>
      <c r="O96" s="697"/>
      <c r="P96" s="697"/>
      <c r="Q96" s="697"/>
      <c r="R96" s="697"/>
      <c r="S96" s="697"/>
      <c r="T96" s="697"/>
      <c r="U96" s="697"/>
      <c r="V96" s="713"/>
    </row>
    <row r="97" spans="1:26" ht="15.95" customHeight="1">
      <c r="B97" s="731" t="s">
        <v>278</v>
      </c>
      <c r="D97" s="675"/>
      <c r="F97" s="31"/>
      <c r="G97" s="699"/>
      <c r="H97" s="734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spans="1:26" ht="15.95" customHeight="1">
      <c r="B98" s="731"/>
      <c r="C98" s="150" t="s">
        <v>245</v>
      </c>
      <c r="F98" s="637">
        <f>F101-F93+F99+F100</f>
        <v>0</v>
      </c>
      <c r="G98" s="637">
        <f>G101-G93+G99+G100</f>
        <v>0</v>
      </c>
      <c r="H98" s="637">
        <f>H101-H93+H99+H100</f>
        <v>0</v>
      </c>
      <c r="I98" s="637"/>
      <c r="J98" s="637">
        <f>J101-J93+J99+J100</f>
        <v>0</v>
      </c>
      <c r="K98" s="31"/>
      <c r="L98" s="697"/>
      <c r="M98" s="697"/>
      <c r="N98" s="697"/>
      <c r="O98" s="697"/>
      <c r="P98" s="697"/>
      <c r="Q98" s="697"/>
      <c r="R98" s="697"/>
      <c r="S98" s="697"/>
      <c r="T98" s="697"/>
      <c r="U98" s="697"/>
      <c r="V98" s="713"/>
    </row>
    <row r="99" spans="1:26" ht="15.95" customHeight="1">
      <c r="B99" s="731"/>
      <c r="C99" s="150" t="s">
        <v>279</v>
      </c>
      <c r="F99" s="118">
        <f>(财务附注数据!AD11-财务附注数据!Z11)*目录!$D$6</f>
        <v>0</v>
      </c>
      <c r="G99" s="118">
        <f>(财务附注数据!AH11-财务附注数据!AD11)*目录!$D$6</f>
        <v>0</v>
      </c>
      <c r="H99" s="118">
        <f>(财务附注数据!AL11-财务附注数据!AH11)*目录!$D$6</f>
        <v>0</v>
      </c>
      <c r="I99" s="31"/>
      <c r="J99" s="118">
        <f>IF(财务基础数据!AM4&lt;=1,0,(财务附注数据!AN11-财务附注数据!AL11)*目录!$D$6)</f>
        <v>0</v>
      </c>
      <c r="K99" s="31"/>
      <c r="L99" s="697"/>
      <c r="M99" s="697"/>
      <c r="N99" s="697"/>
      <c r="O99" s="697"/>
      <c r="P99" s="697"/>
      <c r="Q99" s="697"/>
      <c r="R99" s="697"/>
      <c r="S99" s="697"/>
      <c r="T99" s="697"/>
      <c r="U99" s="697"/>
      <c r="V99" s="713"/>
    </row>
    <row r="100" spans="1:26" ht="15.95" customHeight="1">
      <c r="C100" s="150" t="s">
        <v>258</v>
      </c>
      <c r="F100" s="118">
        <f>(财务附注数据!AD12-财务附注数据!Z12)*目录!$D$6</f>
        <v>0</v>
      </c>
      <c r="G100" s="118">
        <f>(财务附注数据!AH12-财务附注数据!AD12)*目录!$D$6</f>
        <v>0</v>
      </c>
      <c r="H100" s="118">
        <f>(财务附注数据!AL12-财务附注数据!AH12)*目录!$D$6</f>
        <v>0</v>
      </c>
      <c r="I100" s="31"/>
      <c r="J100" s="118">
        <f>IF(财务基础数据!AM4&lt;=1,0,(财务附注数据!AN12-财务附注数据!AL12)*目录!$D$6)</f>
        <v>0</v>
      </c>
      <c r="K100" s="31"/>
      <c r="L100" s="697"/>
      <c r="M100" s="697"/>
      <c r="N100" s="697"/>
      <c r="O100" s="697"/>
      <c r="P100" s="697"/>
      <c r="Q100" s="697"/>
      <c r="R100" s="697"/>
      <c r="S100" s="697"/>
      <c r="T100" s="697"/>
      <c r="U100" s="697"/>
      <c r="V100" s="713"/>
    </row>
    <row r="101" spans="1:26" ht="15.95" customHeight="1">
      <c r="B101" s="731" t="s">
        <v>280</v>
      </c>
      <c r="C101" s="673"/>
      <c r="F101" s="637">
        <f>资产负债表!Y30</f>
        <v>0</v>
      </c>
      <c r="G101" s="637">
        <f>资产负债表!AC30</f>
        <v>0</v>
      </c>
      <c r="H101" s="637">
        <f>资产负债表!AG30</f>
        <v>0</v>
      </c>
      <c r="I101" s="637">
        <f>资产负债表!AH30</f>
        <v>0</v>
      </c>
      <c r="J101" s="637">
        <f>资产负债表!AI30</f>
        <v>0</v>
      </c>
      <c r="K101" s="637">
        <f>资产负债表!AJ30</f>
        <v>0</v>
      </c>
      <c r="L101" s="118">
        <f>L93+L95+L96+L98-L99-L100</f>
        <v>0</v>
      </c>
      <c r="M101" s="118">
        <f>M93+M95+M96+M98-M99-M100</f>
        <v>0</v>
      </c>
      <c r="N101" s="118">
        <f>N93+N95+N96+N98-N99-N100</f>
        <v>0</v>
      </c>
      <c r="O101" s="118">
        <f t="shared" ref="O101:U101" si="33">O93+O95+O96+O98-O99-O100</f>
        <v>0</v>
      </c>
      <c r="P101" s="118">
        <f t="shared" si="33"/>
        <v>0</v>
      </c>
      <c r="Q101" s="118">
        <f t="shared" si="33"/>
        <v>0</v>
      </c>
      <c r="R101" s="118">
        <f t="shared" si="33"/>
        <v>0</v>
      </c>
      <c r="S101" s="118">
        <f t="shared" si="33"/>
        <v>0</v>
      </c>
      <c r="T101" s="118">
        <f t="shared" si="33"/>
        <v>0</v>
      </c>
      <c r="U101" s="118">
        <f t="shared" si="33"/>
        <v>0</v>
      </c>
    </row>
    <row r="102" spans="1:26" ht="15.95" customHeight="1">
      <c r="F102" s="31"/>
      <c r="G102" s="699"/>
      <c r="H102" s="734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spans="1:26" ht="15.95" customHeight="1">
      <c r="B103" s="670" t="s">
        <v>281</v>
      </c>
      <c r="C103" s="695"/>
      <c r="F103" s="31"/>
      <c r="G103" s="699"/>
      <c r="H103" s="734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spans="1:26" ht="15.95" customHeight="1">
      <c r="B104" s="381" t="s">
        <v>233</v>
      </c>
      <c r="C104" s="150" t="s">
        <v>234</v>
      </c>
      <c r="D104" s="671">
        <v>5</v>
      </c>
      <c r="F104" s="31"/>
      <c r="G104" s="699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spans="1:26" ht="15.95" customHeight="1">
      <c r="B105" s="381"/>
      <c r="D105" s="675"/>
      <c r="F105" s="31"/>
      <c r="G105" s="699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spans="1:26" ht="15.95" customHeight="1">
      <c r="A106" s="366"/>
      <c r="B106" s="381" t="s">
        <v>236</v>
      </c>
      <c r="C106" s="673" t="s">
        <v>237</v>
      </c>
      <c r="D106" s="675"/>
      <c r="F106" s="118">
        <f>财务附注数据!Z18*目录!$D$6</f>
        <v>0</v>
      </c>
      <c r="G106" s="118">
        <f>财务附注数据!AD18*目录!$D$6</f>
        <v>0</v>
      </c>
      <c r="H106" s="118">
        <f>财务附注数据!AH18*目录!$D$6</f>
        <v>0</v>
      </c>
      <c r="I106" s="31"/>
      <c r="J106" s="118">
        <f>H108</f>
        <v>0</v>
      </c>
      <c r="K106" s="31"/>
      <c r="L106" s="118">
        <f>H108</f>
        <v>0</v>
      </c>
      <c r="M106" s="118">
        <f>L108</f>
        <v>0</v>
      </c>
      <c r="N106" s="118">
        <f>M108</f>
        <v>0</v>
      </c>
      <c r="O106" s="118">
        <f>N108</f>
        <v>0</v>
      </c>
      <c r="P106" s="118">
        <f>O108</f>
        <v>0</v>
      </c>
      <c r="Q106" s="118">
        <f t="shared" ref="Q106:U106" si="34">P108</f>
        <v>0</v>
      </c>
      <c r="R106" s="118">
        <f t="shared" si="34"/>
        <v>0</v>
      </c>
      <c r="S106" s="118">
        <f t="shared" si="34"/>
        <v>0</v>
      </c>
      <c r="T106" s="118">
        <f t="shared" si="34"/>
        <v>0</v>
      </c>
      <c r="U106" s="118">
        <f t="shared" si="34"/>
        <v>0</v>
      </c>
    </row>
    <row r="107" spans="1:26" ht="15.95" customHeight="1">
      <c r="A107" s="366"/>
      <c r="B107" s="674"/>
      <c r="C107" s="673" t="s">
        <v>245</v>
      </c>
      <c r="F107" s="118">
        <f>F108-F106</f>
        <v>0</v>
      </c>
      <c r="G107" s="118">
        <f>G108-G106</f>
        <v>0</v>
      </c>
      <c r="H107" s="118">
        <f>H108-H106</f>
        <v>0</v>
      </c>
      <c r="I107" s="118"/>
      <c r="J107" s="118">
        <f>IF(财务基础数据!AM4&lt;=1,0,J108-J106)</f>
        <v>0</v>
      </c>
      <c r="K107" s="31"/>
      <c r="L107" s="697"/>
      <c r="M107" s="697"/>
      <c r="N107" s="697"/>
      <c r="O107" s="697"/>
      <c r="P107" s="697"/>
      <c r="Q107" s="697"/>
      <c r="R107" s="697"/>
      <c r="S107" s="697"/>
      <c r="T107" s="697"/>
      <c r="U107" s="697"/>
      <c r="V107" s="713"/>
      <c r="Z107" s="725"/>
    </row>
    <row r="108" spans="1:26" ht="15.95" customHeight="1">
      <c r="A108" s="366"/>
      <c r="B108" s="674"/>
      <c r="C108" s="673" t="s">
        <v>241</v>
      </c>
      <c r="F108" s="118">
        <f>财务附注数据!AD18*目录!$D$6</f>
        <v>0</v>
      </c>
      <c r="G108" s="118">
        <f>财务附注数据!AH18*目录!$D$6</f>
        <v>0</v>
      </c>
      <c r="H108" s="118">
        <f>财务附注数据!AL18*目录!$D$6</f>
        <v>0</v>
      </c>
      <c r="I108" s="31"/>
      <c r="J108" s="118">
        <f>财务附注数据!AN18*目录!$D$6</f>
        <v>0</v>
      </c>
      <c r="K108" s="31"/>
      <c r="L108" s="118">
        <f>L106+L107</f>
        <v>0</v>
      </c>
      <c r="M108" s="118">
        <f>M106+M107</f>
        <v>0</v>
      </c>
      <c r="N108" s="118">
        <f>N106+N107</f>
        <v>0</v>
      </c>
      <c r="O108" s="118">
        <f>O106+O107</f>
        <v>0</v>
      </c>
      <c r="P108" s="118">
        <f>P106+P107</f>
        <v>0</v>
      </c>
      <c r="Q108" s="118">
        <f t="shared" ref="Q108:U108" si="35">Q106+Q107</f>
        <v>0</v>
      </c>
      <c r="R108" s="118">
        <f t="shared" si="35"/>
        <v>0</v>
      </c>
      <c r="S108" s="118">
        <f t="shared" si="35"/>
        <v>0</v>
      </c>
      <c r="T108" s="118">
        <f t="shared" si="35"/>
        <v>0</v>
      </c>
      <c r="U108" s="118">
        <f t="shared" si="35"/>
        <v>0</v>
      </c>
      <c r="W108" s="151"/>
      <c r="Y108" s="151"/>
    </row>
    <row r="109" spans="1:26" ht="15.95" customHeight="1">
      <c r="A109" s="366"/>
      <c r="B109" s="674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W109" s="151"/>
      <c r="Y109" s="151"/>
    </row>
    <row r="110" spans="1:26" ht="15.95" customHeight="1">
      <c r="A110" s="366"/>
      <c r="B110" s="673" t="s">
        <v>242</v>
      </c>
      <c r="C110" s="673"/>
      <c r="F110" s="118">
        <f>IF(财务基础数据!AD282=0,财务附注数据!AD19*目录!$D$6-财务附注数据!Z19*目录!$D$6,财务基础数据!AD282*目录!$D$6)</f>
        <v>0</v>
      </c>
      <c r="G110" s="118">
        <f>IF(财务基础数据!AH282=0,财务附注数据!AH19*目录!$D$6-财务附注数据!AD19*目录!$D$6,财务基础数据!AH282*目录!$D$6)</f>
        <v>0</v>
      </c>
      <c r="H110" s="118">
        <f>IF(财务基础数据!AL282=0,财务附注数据!AL19*目录!$D$6-财务附注数据!AH19*目录!$D$6,财务基础数据!AL282*目录!$D$6)</f>
        <v>0</v>
      </c>
      <c r="I110" s="118"/>
      <c r="J110" s="118">
        <f>IF(财务基础数据!AN282=0,财务附注数据!AN19*目录!$D$6-财务附注数据!AL19*目录!$D$6,财务基础数据!AN282*目录!$D$6)</f>
        <v>0</v>
      </c>
      <c r="K110" s="31"/>
      <c r="L110" s="698">
        <f>L133</f>
        <v>0</v>
      </c>
      <c r="M110" s="698">
        <f t="shared" ref="M110:Q110" si="36">M133</f>
        <v>0</v>
      </c>
      <c r="N110" s="698">
        <f t="shared" si="36"/>
        <v>0</v>
      </c>
      <c r="O110" s="698">
        <f t="shared" si="36"/>
        <v>0</v>
      </c>
      <c r="P110" s="698">
        <f t="shared" si="36"/>
        <v>0</v>
      </c>
      <c r="Q110" s="698">
        <f t="shared" si="36"/>
        <v>0</v>
      </c>
      <c r="R110" s="698">
        <f t="shared" ref="R110:U110" si="37">R133</f>
        <v>0</v>
      </c>
      <c r="S110" s="698">
        <f t="shared" si="37"/>
        <v>0</v>
      </c>
      <c r="T110" s="698">
        <f t="shared" si="37"/>
        <v>0</v>
      </c>
      <c r="U110" s="698">
        <f t="shared" si="37"/>
        <v>0</v>
      </c>
      <c r="V110" s="713"/>
      <c r="W110" s="151"/>
      <c r="Y110" s="151"/>
    </row>
    <row r="111" spans="1:26" ht="15.95" customHeight="1">
      <c r="A111" s="366"/>
      <c r="B111" s="673"/>
      <c r="C111" s="677" t="s">
        <v>243</v>
      </c>
      <c r="D111" s="672">
        <v>0</v>
      </c>
      <c r="F111" s="679">
        <f>IF(ISERROR(F110/F106),0,F110/F106)</f>
        <v>0</v>
      </c>
      <c r="G111" s="679">
        <f>IF(ISERROR(G110/G106),0,G110/G106)</f>
        <v>0</v>
      </c>
      <c r="H111" s="679">
        <f>IF(ISERROR(H110/H106),0,H110/H106)</f>
        <v>0</v>
      </c>
      <c r="I111" s="679"/>
      <c r="J111" s="679">
        <f>IF(ISERROR(J110/J106*2),0,J110/J106*2)</f>
        <v>0</v>
      </c>
      <c r="K111" s="31"/>
      <c r="L111" s="700">
        <f>$D$111</f>
        <v>0</v>
      </c>
      <c r="M111" s="700">
        <f>$D$111</f>
        <v>0</v>
      </c>
      <c r="N111" s="700">
        <f>$D$111</f>
        <v>0</v>
      </c>
      <c r="O111" s="700">
        <f t="shared" ref="O111:U111" si="38">$D$111</f>
        <v>0</v>
      </c>
      <c r="P111" s="700">
        <f t="shared" si="38"/>
        <v>0</v>
      </c>
      <c r="Q111" s="700">
        <f t="shared" si="38"/>
        <v>0</v>
      </c>
      <c r="R111" s="700">
        <f t="shared" si="38"/>
        <v>0</v>
      </c>
      <c r="S111" s="700">
        <f t="shared" si="38"/>
        <v>0</v>
      </c>
      <c r="T111" s="700">
        <f t="shared" si="38"/>
        <v>0</v>
      </c>
      <c r="U111" s="700">
        <f t="shared" si="38"/>
        <v>0</v>
      </c>
      <c r="V111" s="723"/>
      <c r="W111" s="151"/>
      <c r="Y111" s="151"/>
    </row>
    <row r="112" spans="1:26" ht="15.95" customHeight="1">
      <c r="A112" s="366"/>
      <c r="B112" s="674"/>
      <c r="C112" s="673"/>
      <c r="F112" s="118"/>
      <c r="G112" s="118"/>
      <c r="H112" s="118"/>
      <c r="I112" s="31"/>
      <c r="J112" s="118"/>
      <c r="K112" s="31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W112" s="151"/>
      <c r="Y112" s="151"/>
    </row>
    <row r="113" spans="1:25" ht="15.95" customHeight="1">
      <c r="A113" s="366"/>
      <c r="B113" s="673" t="s">
        <v>244</v>
      </c>
      <c r="C113" s="673" t="s">
        <v>237</v>
      </c>
      <c r="D113" s="675"/>
      <c r="F113" s="118">
        <f>财务附注数据!Z20*目录!$D$6</f>
        <v>0</v>
      </c>
      <c r="G113" s="118">
        <f>财务附注数据!AD20*目录!$D$6</f>
        <v>0</v>
      </c>
      <c r="H113" s="118">
        <f>财务附注数据!AH20*目录!$D$6</f>
        <v>0</v>
      </c>
      <c r="I113" s="31"/>
      <c r="J113" s="118">
        <f>H115</f>
        <v>0</v>
      </c>
      <c r="K113" s="31"/>
      <c r="L113" s="118">
        <f>H115</f>
        <v>0</v>
      </c>
      <c r="M113" s="118">
        <f t="shared" ref="M113:U113" si="39">L115</f>
        <v>0</v>
      </c>
      <c r="N113" s="118">
        <f t="shared" si="39"/>
        <v>0</v>
      </c>
      <c r="O113" s="118">
        <f t="shared" si="39"/>
        <v>0</v>
      </c>
      <c r="P113" s="118">
        <f t="shared" si="39"/>
        <v>0</v>
      </c>
      <c r="Q113" s="118">
        <f t="shared" si="39"/>
        <v>0</v>
      </c>
      <c r="R113" s="118">
        <f t="shared" si="39"/>
        <v>0</v>
      </c>
      <c r="S113" s="118">
        <f t="shared" si="39"/>
        <v>0</v>
      </c>
      <c r="T113" s="118">
        <f t="shared" si="39"/>
        <v>0</v>
      </c>
      <c r="U113" s="118">
        <f t="shared" si="39"/>
        <v>0</v>
      </c>
      <c r="W113" s="151"/>
      <c r="Y113" s="151"/>
    </row>
    <row r="114" spans="1:25" ht="15.95" customHeight="1">
      <c r="A114" s="366"/>
      <c r="B114" s="680"/>
      <c r="C114" s="673" t="s">
        <v>245</v>
      </c>
      <c r="F114" s="118">
        <f>F115-F113</f>
        <v>0</v>
      </c>
      <c r="G114" s="118">
        <f>G115-G113</f>
        <v>0</v>
      </c>
      <c r="H114" s="118">
        <f>H115-H113</f>
        <v>0</v>
      </c>
      <c r="I114" s="118"/>
      <c r="J114" s="118">
        <f>IF(财务基础数据!AM4&lt;=1,0,J115-J113)</f>
        <v>0</v>
      </c>
      <c r="K114" s="31"/>
      <c r="L114" s="697"/>
      <c r="M114" s="697"/>
      <c r="N114" s="697"/>
      <c r="O114" s="697"/>
      <c r="P114" s="697"/>
      <c r="Q114" s="697"/>
      <c r="R114" s="697"/>
      <c r="S114" s="697"/>
      <c r="T114" s="697"/>
      <c r="U114" s="697"/>
      <c r="V114" s="713"/>
      <c r="W114" s="151"/>
      <c r="Y114" s="151"/>
    </row>
    <row r="115" spans="1:25" ht="15.95" customHeight="1">
      <c r="A115" s="366"/>
      <c r="B115" s="680"/>
      <c r="C115" s="673" t="s">
        <v>241</v>
      </c>
      <c r="F115" s="118">
        <f>财务附注数据!AD20*目录!$D$6</f>
        <v>0</v>
      </c>
      <c r="G115" s="118">
        <f>财务附注数据!AH20*目录!$D$6</f>
        <v>0</v>
      </c>
      <c r="H115" s="118">
        <f>财务附注数据!AL20*目录!$D$6</f>
        <v>0</v>
      </c>
      <c r="I115" s="31"/>
      <c r="J115" s="118">
        <f>财务附注数据!AN20*目录!$D$6</f>
        <v>0</v>
      </c>
      <c r="K115" s="31"/>
      <c r="L115" s="118">
        <f t="shared" ref="L115:U115" si="40">L113+L114</f>
        <v>0</v>
      </c>
      <c r="M115" s="118">
        <f t="shared" si="40"/>
        <v>0</v>
      </c>
      <c r="N115" s="118">
        <f t="shared" si="40"/>
        <v>0</v>
      </c>
      <c r="O115" s="118">
        <f t="shared" si="40"/>
        <v>0</v>
      </c>
      <c r="P115" s="118">
        <f t="shared" si="40"/>
        <v>0</v>
      </c>
      <c r="Q115" s="118">
        <f t="shared" si="40"/>
        <v>0</v>
      </c>
      <c r="R115" s="118">
        <f t="shared" si="40"/>
        <v>0</v>
      </c>
      <c r="S115" s="118">
        <f t="shared" si="40"/>
        <v>0</v>
      </c>
      <c r="T115" s="118">
        <f t="shared" si="40"/>
        <v>0</v>
      </c>
      <c r="U115" s="118">
        <f t="shared" si="40"/>
        <v>0</v>
      </c>
      <c r="W115" s="151"/>
      <c r="Y115" s="151"/>
    </row>
    <row r="116" spans="1:25" ht="15.95" customHeight="1">
      <c r="A116" s="366"/>
      <c r="B116" s="680"/>
      <c r="C116" s="673"/>
      <c r="F116" s="68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W116" s="151"/>
      <c r="Y116" s="151"/>
    </row>
    <row r="117" spans="1:25" ht="15.95" customHeight="1">
      <c r="B117" s="150" t="s">
        <v>282</v>
      </c>
      <c r="C117" s="143"/>
      <c r="E117" s="676"/>
      <c r="F117" s="637">
        <f>资产负债表!U35</f>
        <v>0</v>
      </c>
      <c r="G117" s="637">
        <f>资产负债表!Y35</f>
        <v>0</v>
      </c>
      <c r="H117" s="637">
        <f>资产负债表!AC35</f>
        <v>0</v>
      </c>
      <c r="I117" s="31"/>
      <c r="J117" s="31"/>
      <c r="K117" s="31"/>
      <c r="L117" s="118">
        <f>H118</f>
        <v>0</v>
      </c>
      <c r="M117" s="118">
        <f>L118</f>
        <v>0</v>
      </c>
      <c r="N117" s="118">
        <f t="shared" ref="N117:U117" si="41">M118</f>
        <v>0</v>
      </c>
      <c r="O117" s="118">
        <f t="shared" si="41"/>
        <v>0</v>
      </c>
      <c r="P117" s="118">
        <f t="shared" si="41"/>
        <v>0</v>
      </c>
      <c r="Q117" s="118">
        <f t="shared" si="41"/>
        <v>0</v>
      </c>
      <c r="R117" s="118">
        <f t="shared" si="41"/>
        <v>0</v>
      </c>
      <c r="S117" s="118">
        <f t="shared" si="41"/>
        <v>0</v>
      </c>
      <c r="T117" s="118">
        <f t="shared" si="41"/>
        <v>0</v>
      </c>
      <c r="U117" s="118">
        <f t="shared" si="41"/>
        <v>0</v>
      </c>
      <c r="W117" s="151"/>
      <c r="Y117" s="151"/>
    </row>
    <row r="118" spans="1:25" ht="15.95" customHeight="1">
      <c r="B118" s="150" t="s">
        <v>283</v>
      </c>
      <c r="C118" s="673"/>
      <c r="E118" s="676"/>
      <c r="F118" s="637">
        <f>资产负债表!Y35</f>
        <v>0</v>
      </c>
      <c r="G118" s="637">
        <f>资产负债表!AC35</f>
        <v>0</v>
      </c>
      <c r="H118" s="637">
        <f>资产负债表!AG35</f>
        <v>0</v>
      </c>
      <c r="I118" s="637">
        <f>资产负债表!AH35</f>
        <v>0</v>
      </c>
      <c r="J118" s="637">
        <f>资产负债表!AI35</f>
        <v>0</v>
      </c>
      <c r="K118" s="637">
        <f>资产负债表!AJ35</f>
        <v>0</v>
      </c>
      <c r="L118" s="188">
        <f>H118+L107-L110-L114</f>
        <v>0</v>
      </c>
      <c r="M118" s="118">
        <f t="shared" ref="M118:R118" si="42">L118+M107-M110-M114</f>
        <v>0</v>
      </c>
      <c r="N118" s="118">
        <f t="shared" si="42"/>
        <v>0</v>
      </c>
      <c r="O118" s="118">
        <f t="shared" si="42"/>
        <v>0</v>
      </c>
      <c r="P118" s="118">
        <f t="shared" si="42"/>
        <v>0</v>
      </c>
      <c r="Q118" s="118">
        <f t="shared" si="42"/>
        <v>0</v>
      </c>
      <c r="R118" s="118">
        <f t="shared" si="42"/>
        <v>0</v>
      </c>
      <c r="S118" s="118">
        <f t="shared" ref="S118:U118" si="43">R118+S107-S110-S114</f>
        <v>0</v>
      </c>
      <c r="T118" s="118">
        <f t="shared" si="43"/>
        <v>0</v>
      </c>
      <c r="U118" s="118">
        <f t="shared" si="43"/>
        <v>0</v>
      </c>
      <c r="W118" s="151"/>
      <c r="Y118" s="151"/>
    </row>
    <row r="119" spans="1:25" ht="18" customHeight="1">
      <c r="C119" s="673"/>
      <c r="E119" s="676"/>
      <c r="F119" s="637"/>
      <c r="G119" s="637"/>
      <c r="H119" s="637"/>
      <c r="I119" s="637"/>
      <c r="J119" s="637"/>
      <c r="K119" s="637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W119" s="151"/>
      <c r="Y119" s="151"/>
    </row>
    <row r="120" spans="1:25" ht="18" customHeight="1" outlineLevel="1">
      <c r="C120" s="673"/>
      <c r="E120" s="676"/>
      <c r="F120" s="1166" t="s">
        <v>249</v>
      </c>
      <c r="G120" s="726" t="s">
        <v>250</v>
      </c>
      <c r="H120" s="726" t="s">
        <v>251</v>
      </c>
      <c r="I120" s="702"/>
      <c r="J120" s="702"/>
      <c r="K120" s="702"/>
      <c r="L120" s="703" t="str">
        <f>L4</f>
        <v>2024E</v>
      </c>
      <c r="M120" s="703">
        <f t="shared" ref="M120:U120" si="44">M4</f>
        <v>2025</v>
      </c>
      <c r="N120" s="703">
        <f t="shared" si="44"/>
        <v>2026</v>
      </c>
      <c r="O120" s="703">
        <f t="shared" si="44"/>
        <v>2027</v>
      </c>
      <c r="P120" s="703">
        <f t="shared" si="44"/>
        <v>2028</v>
      </c>
      <c r="Q120" s="703">
        <f t="shared" si="44"/>
        <v>2029</v>
      </c>
      <c r="R120" s="703">
        <f t="shared" si="44"/>
        <v>2030</v>
      </c>
      <c r="S120" s="703">
        <f t="shared" si="44"/>
        <v>2031</v>
      </c>
      <c r="T120" s="703">
        <f t="shared" si="44"/>
        <v>2032</v>
      </c>
      <c r="U120" s="716">
        <f t="shared" si="44"/>
        <v>2033</v>
      </c>
      <c r="V120" s="717"/>
      <c r="W120" s="151"/>
      <c r="Y120" s="151"/>
    </row>
    <row r="121" spans="1:25" ht="18" customHeight="1" outlineLevel="1">
      <c r="C121" s="673"/>
      <c r="E121" s="676"/>
      <c r="F121" s="1167"/>
      <c r="G121" s="684">
        <f>H118</f>
        <v>0</v>
      </c>
      <c r="H121" s="684">
        <f>H108</f>
        <v>0</v>
      </c>
      <c r="I121" s="704"/>
      <c r="J121" s="704"/>
      <c r="K121" s="704"/>
      <c r="L121" s="684">
        <f>IF(SUM($K$121:K121)=$G$121,0,IF($G$121-SUM($K$121:K121)&lt;$H$121*L111,$G$121-SUM($K$121:K121),$H$121*L111))</f>
        <v>0</v>
      </c>
      <c r="M121" s="684">
        <f>IF(SUM($K$121:L121)=$G$121,0,IF($G$121-SUM($K$121:L121)&lt;$H$121*M111,$G$121-SUM($K$121:L121),$H$121*M111))</f>
        <v>0</v>
      </c>
      <c r="N121" s="684">
        <f>IF(SUM($K$121:M121)=$G$121,0,IF($G$121-SUM($K$121:M121)&lt;$H$121*N111,$G$121-SUM($K$121:M121),$H$121*N111))</f>
        <v>0</v>
      </c>
      <c r="O121" s="684">
        <f>IF(SUM($K$121:N121)=$G$121,0,IF($G$121-SUM($K$121:N121)&lt;$H$121*O111,$G$121-SUM($K$121:N121),$H$121*O111))</f>
        <v>0</v>
      </c>
      <c r="P121" s="684">
        <f>IF(SUM($K$121:O121)=$G$121,0,IF($G$121-SUM($K$121:O121)&lt;$H$121*P111,$G$121-SUM($K$121:O121),$H$121*P111))</f>
        <v>0</v>
      </c>
      <c r="Q121" s="684">
        <f>IF(SUM($K$121:P121)=$G$121,0,IF($G$121-SUM($K$121:P121)&lt;$H$121*Q111,$G$121-SUM($K$121:P121),$H$121*Q111))</f>
        <v>0</v>
      </c>
      <c r="R121" s="684">
        <f>IF(SUM($K$121:Q121)=$G$121,0,IF($G$121-SUM($K$121:Q121)&lt;$H$121*R111,$G$121-SUM($K$121:Q121),$H$121*R111))</f>
        <v>0</v>
      </c>
      <c r="S121" s="684">
        <f>IF(SUM($K$121:R121)=$G$121,0,IF($G$121-SUM($K$121:R121)&lt;$H$121*S111,$G$121-SUM($K$121:R121),$H$121*S111))</f>
        <v>0</v>
      </c>
      <c r="T121" s="684">
        <f>IF(SUM($K$121:S121)=$G$121,0,IF($G$121-SUM($K$121:S121)&lt;$H$121*T111,$G$121-SUM($K$121:S121),$H$121*T111))</f>
        <v>0</v>
      </c>
      <c r="U121" s="684">
        <f>IF(SUM($K$121:T121)=$G$121,0,IF($G$121-SUM($K$121:T121)&lt;$H$121*U111,$G$121-SUM($K$121:T121),$H$121*U111))</f>
        <v>0</v>
      </c>
      <c r="V121" s="717"/>
      <c r="W121" s="151"/>
      <c r="Y121" s="151"/>
    </row>
    <row r="122" spans="1:25" ht="18" customHeight="1" outlineLevel="1">
      <c r="C122" s="673"/>
      <c r="E122" s="676"/>
      <c r="F122" s="685"/>
      <c r="G122" s="727" t="s">
        <v>252</v>
      </c>
      <c r="H122" s="686" t="s">
        <v>253</v>
      </c>
      <c r="I122" s="705"/>
      <c r="J122" s="705"/>
      <c r="K122" s="705"/>
      <c r="L122" s="706"/>
      <c r="M122" s="706"/>
      <c r="N122" s="706"/>
      <c r="O122" s="706"/>
      <c r="P122" s="706"/>
      <c r="Q122" s="706"/>
      <c r="R122" s="706"/>
      <c r="S122" s="706"/>
      <c r="T122" s="706"/>
      <c r="U122" s="719"/>
      <c r="V122" s="717"/>
      <c r="W122" s="151"/>
      <c r="Y122" s="151"/>
    </row>
    <row r="123" spans="1:25" ht="18" customHeight="1" outlineLevel="1">
      <c r="C123" s="673"/>
      <c r="E123" s="676"/>
      <c r="F123" s="685" t="str">
        <f t="array" ref="F123:F132">TRANSPOSE(L4:U4)</f>
        <v>2024E</v>
      </c>
      <c r="G123" s="118">
        <f t="array" ref="G123:G132">TRANSPOSE(L107:U107)</f>
        <v>0</v>
      </c>
      <c r="H123" s="687">
        <f>$D$104</f>
        <v>5</v>
      </c>
      <c r="I123" s="707"/>
      <c r="J123" s="707"/>
      <c r="K123" s="707"/>
      <c r="L123" s="118">
        <f>IF($H123&gt;=1,$G123/$H123,"")</f>
        <v>0</v>
      </c>
      <c r="M123" s="118">
        <f>IF($H123&gt;=2,$G123/$H123,"")</f>
        <v>0</v>
      </c>
      <c r="N123" s="118">
        <f>IF($H123&gt;=3,$G123/$H123,"")</f>
        <v>0</v>
      </c>
      <c r="O123" s="118">
        <f>IF($H123&gt;=4,$G123/$H123,"")</f>
        <v>0</v>
      </c>
      <c r="P123" s="118">
        <f>IF($H123&gt;=5,$G123/$H123,"")</f>
        <v>0</v>
      </c>
      <c r="Q123" s="118" t="str">
        <f>IF($H123&gt;=6,$G123/$H123,"")</f>
        <v/>
      </c>
      <c r="R123" s="118" t="str">
        <f>IF($H123&gt;=7,$G123/$H123,"")</f>
        <v/>
      </c>
      <c r="S123" s="118" t="str">
        <f>IF($H123&gt;=8,$G123/$H123,"")</f>
        <v/>
      </c>
      <c r="T123" s="118" t="str">
        <f>IF($H123&gt;=9,$G123/$H123,"")</f>
        <v/>
      </c>
      <c r="U123" s="720" t="str">
        <f>IF($H123&gt;=10,$G123/$H123,"")</f>
        <v/>
      </c>
      <c r="V123" s="717"/>
      <c r="W123" s="151"/>
      <c r="Y123" s="151"/>
    </row>
    <row r="124" spans="1:25" ht="18" customHeight="1" outlineLevel="1">
      <c r="C124" s="673"/>
      <c r="E124" s="676"/>
      <c r="F124" s="688">
        <v>2025</v>
      </c>
      <c r="G124" s="118">
        <v>0</v>
      </c>
      <c r="H124" s="687">
        <f t="shared" ref="H124:H132" si="45">$D$104</f>
        <v>5</v>
      </c>
      <c r="I124" s="707"/>
      <c r="J124" s="707"/>
      <c r="K124" s="707"/>
      <c r="L124" s="118"/>
      <c r="M124" s="118">
        <f>IF($H124&gt;=1,$G124/$H124,"")</f>
        <v>0</v>
      </c>
      <c r="N124" s="118">
        <f>IF($H124&gt;=2,$G124/$H124,"")</f>
        <v>0</v>
      </c>
      <c r="O124" s="118">
        <f>IF($H124&gt;=3,$G124/$H124,"")</f>
        <v>0</v>
      </c>
      <c r="P124" s="118">
        <f>IF($H124&gt;=4,$G124/$H124,"")</f>
        <v>0</v>
      </c>
      <c r="Q124" s="118">
        <f>IF($H124&gt;=5,$G124/$H124,"")</f>
        <v>0</v>
      </c>
      <c r="R124" s="118" t="str">
        <f>IF($H124&gt;=6,$G124/$H124,"")</f>
        <v/>
      </c>
      <c r="S124" s="118" t="str">
        <f>IF($H124&gt;=7,$G124/$H124,"")</f>
        <v/>
      </c>
      <c r="T124" s="118" t="str">
        <f>IF($H124&gt;=8,$G124/$H124,"")</f>
        <v/>
      </c>
      <c r="U124" s="720" t="str">
        <f>IF($H124&gt;=9,$G124/$H124,"")</f>
        <v/>
      </c>
      <c r="V124" s="717"/>
      <c r="W124" s="151"/>
      <c r="Y124" s="151"/>
    </row>
    <row r="125" spans="1:25" ht="18" customHeight="1" outlineLevel="1">
      <c r="C125" s="673"/>
      <c r="E125" s="676"/>
      <c r="F125" s="688">
        <v>2026</v>
      </c>
      <c r="G125" s="118">
        <v>0</v>
      </c>
      <c r="H125" s="687">
        <f t="shared" si="45"/>
        <v>5</v>
      </c>
      <c r="I125" s="707"/>
      <c r="J125" s="707"/>
      <c r="K125" s="707"/>
      <c r="L125" s="118"/>
      <c r="M125" s="118"/>
      <c r="N125" s="118">
        <f>IF($H125&gt;=1,$G125/$H125,"")</f>
        <v>0</v>
      </c>
      <c r="O125" s="118">
        <f>IF($H125&gt;=2,$G125/$H125,"")</f>
        <v>0</v>
      </c>
      <c r="P125" s="118">
        <f>IF($H125&gt;=3,$G125/$H125,"")</f>
        <v>0</v>
      </c>
      <c r="Q125" s="118">
        <f>IF($H125&gt;=4,$G125/$H125,"")</f>
        <v>0</v>
      </c>
      <c r="R125" s="118">
        <f>IF($H125&gt;=5,$G125/$H125,"")</f>
        <v>0</v>
      </c>
      <c r="S125" s="118" t="str">
        <f>IF($H125&gt;=6,$G125/$H125,"")</f>
        <v/>
      </c>
      <c r="T125" s="118" t="str">
        <f>IF($H125&gt;=7,$G125/$H125,"")</f>
        <v/>
      </c>
      <c r="U125" s="720" t="str">
        <f>IF($H125&gt;=8,$G125/$H125,"")</f>
        <v/>
      </c>
      <c r="V125" s="717"/>
      <c r="W125" s="151"/>
      <c r="Y125" s="151"/>
    </row>
    <row r="126" spans="1:25" ht="18" customHeight="1" outlineLevel="1">
      <c r="C126" s="673"/>
      <c r="E126" s="676"/>
      <c r="F126" s="688">
        <v>2027</v>
      </c>
      <c r="G126" s="118">
        <v>0</v>
      </c>
      <c r="H126" s="687">
        <f t="shared" si="45"/>
        <v>5</v>
      </c>
      <c r="I126" s="707"/>
      <c r="J126" s="707"/>
      <c r="K126" s="707"/>
      <c r="L126" s="118"/>
      <c r="M126" s="118"/>
      <c r="N126" s="118"/>
      <c r="O126" s="118">
        <f>IF($H126&gt;=1,$G126/$H126,"")</f>
        <v>0</v>
      </c>
      <c r="P126" s="118">
        <f>IF($H126&gt;=2,$G126/$H126,"")</f>
        <v>0</v>
      </c>
      <c r="Q126" s="118">
        <f>IF($H126&gt;=3,$G126/$H126,"")</f>
        <v>0</v>
      </c>
      <c r="R126" s="118">
        <f>IF($H126&gt;=4,$G126/$H126,"")</f>
        <v>0</v>
      </c>
      <c r="S126" s="118">
        <f>IF($H126&gt;=5,$G126/$H126,"")</f>
        <v>0</v>
      </c>
      <c r="T126" s="118" t="str">
        <f>IF($H126&gt;=6,$G126/$H126,"")</f>
        <v/>
      </c>
      <c r="U126" s="720" t="str">
        <f>IF($H126&gt;=7,$G126/$H126,"")</f>
        <v/>
      </c>
      <c r="V126" s="717"/>
      <c r="W126" s="151"/>
      <c r="Y126" s="151"/>
    </row>
    <row r="127" spans="1:25" ht="18" customHeight="1" outlineLevel="1">
      <c r="C127" s="673"/>
      <c r="E127" s="676"/>
      <c r="F127" s="688">
        <v>2028</v>
      </c>
      <c r="G127" s="118">
        <v>0</v>
      </c>
      <c r="H127" s="687">
        <f t="shared" si="45"/>
        <v>5</v>
      </c>
      <c r="I127" s="707"/>
      <c r="J127" s="707"/>
      <c r="K127" s="707"/>
      <c r="L127" s="118"/>
      <c r="M127" s="118"/>
      <c r="N127" s="118"/>
      <c r="O127" s="118"/>
      <c r="P127" s="118">
        <f>IF($H127&gt;=1,$G127/$H127,"")</f>
        <v>0</v>
      </c>
      <c r="Q127" s="118">
        <f>IF($H127&gt;=2,$G127/$H127,"")</f>
        <v>0</v>
      </c>
      <c r="R127" s="118">
        <f>IF($H127&gt;=3,$G127/$H127,"")</f>
        <v>0</v>
      </c>
      <c r="S127" s="118">
        <f>IF($H127&gt;=4,$G127/$H127,"")</f>
        <v>0</v>
      </c>
      <c r="T127" s="118">
        <f>IF($H127&gt;=5,$G127/$H127,"")</f>
        <v>0</v>
      </c>
      <c r="U127" s="720" t="str">
        <f>IF($H127&gt;=6,$G127/$H127,"")</f>
        <v/>
      </c>
      <c r="V127" s="717"/>
      <c r="W127" s="151"/>
      <c r="Y127" s="151"/>
    </row>
    <row r="128" spans="1:25" ht="18" customHeight="1" outlineLevel="1">
      <c r="C128" s="673"/>
      <c r="E128" s="676"/>
      <c r="F128" s="688">
        <v>2029</v>
      </c>
      <c r="G128" s="118">
        <v>0</v>
      </c>
      <c r="H128" s="687">
        <f t="shared" si="45"/>
        <v>5</v>
      </c>
      <c r="I128" s="707"/>
      <c r="J128" s="707"/>
      <c r="K128" s="707"/>
      <c r="L128" s="118"/>
      <c r="M128" s="118"/>
      <c r="N128" s="118"/>
      <c r="O128" s="118"/>
      <c r="P128" s="118"/>
      <c r="Q128" s="118">
        <f>IF($H128&gt;=1,$G128/$H128,"")</f>
        <v>0</v>
      </c>
      <c r="R128" s="118">
        <f>IF($H128&gt;=2,$G128/$H128,"")</f>
        <v>0</v>
      </c>
      <c r="S128" s="118">
        <f>IF($H128&gt;=3,$G128/$H128,"")</f>
        <v>0</v>
      </c>
      <c r="T128" s="118">
        <f>IF($H128&gt;=4,$G128/$H128,"")</f>
        <v>0</v>
      </c>
      <c r="U128" s="720">
        <f>IF($H128&gt;=5,$G128/$H128,"")</f>
        <v>0</v>
      </c>
      <c r="V128" s="717"/>
      <c r="W128" s="151"/>
      <c r="Y128" s="151"/>
    </row>
    <row r="129" spans="1:25" ht="18" customHeight="1" outlineLevel="1">
      <c r="C129" s="673"/>
      <c r="E129" s="676"/>
      <c r="F129" s="688">
        <v>2030</v>
      </c>
      <c r="G129" s="118">
        <v>0</v>
      </c>
      <c r="H129" s="687">
        <f t="shared" si="45"/>
        <v>5</v>
      </c>
      <c r="I129" s="707"/>
      <c r="J129" s="707"/>
      <c r="K129" s="707"/>
      <c r="L129" s="118"/>
      <c r="M129" s="118"/>
      <c r="N129" s="118"/>
      <c r="O129" s="118"/>
      <c r="P129" s="118"/>
      <c r="Q129" s="118"/>
      <c r="R129" s="118">
        <f>IF($H129&gt;=1,$G129/$H129,"")</f>
        <v>0</v>
      </c>
      <c r="S129" s="118">
        <f>IF($H129&gt;=2,$G129/$H129,"")</f>
        <v>0</v>
      </c>
      <c r="T129" s="118">
        <f>IF($H129&gt;=3,$G129/$H129,"")</f>
        <v>0</v>
      </c>
      <c r="U129" s="720">
        <f>IF($H129&gt;=4,$G129/$H129,"")</f>
        <v>0</v>
      </c>
      <c r="V129" s="717"/>
      <c r="W129" s="151"/>
      <c r="Y129" s="151"/>
    </row>
    <row r="130" spans="1:25" ht="18" customHeight="1" outlineLevel="1">
      <c r="C130" s="673"/>
      <c r="E130" s="676"/>
      <c r="F130" s="688">
        <v>2031</v>
      </c>
      <c r="G130" s="118">
        <v>0</v>
      </c>
      <c r="H130" s="687">
        <f t="shared" si="45"/>
        <v>5</v>
      </c>
      <c r="I130" s="707"/>
      <c r="J130" s="707"/>
      <c r="K130" s="707"/>
      <c r="L130" s="118"/>
      <c r="M130" s="118"/>
      <c r="N130" s="118"/>
      <c r="O130" s="118"/>
      <c r="P130" s="118"/>
      <c r="Q130" s="118"/>
      <c r="R130" s="118"/>
      <c r="S130" s="118">
        <f>IF($H130&gt;=1,$G130/$H130,"")</f>
        <v>0</v>
      </c>
      <c r="T130" s="118">
        <f>IF($H130&gt;=2,$G130/$H130,"")</f>
        <v>0</v>
      </c>
      <c r="U130" s="720">
        <f>IF($H130&gt;=3,$G130/$H130,"")</f>
        <v>0</v>
      </c>
      <c r="V130" s="717"/>
      <c r="W130" s="151"/>
      <c r="Y130" s="151"/>
    </row>
    <row r="131" spans="1:25" ht="18" customHeight="1" outlineLevel="1">
      <c r="C131" s="673"/>
      <c r="E131" s="676"/>
      <c r="F131" s="688">
        <v>2032</v>
      </c>
      <c r="G131" s="118">
        <v>0</v>
      </c>
      <c r="H131" s="687">
        <f t="shared" si="45"/>
        <v>5</v>
      </c>
      <c r="I131" s="707"/>
      <c r="J131" s="707"/>
      <c r="K131" s="707"/>
      <c r="L131" s="118"/>
      <c r="M131" s="118"/>
      <c r="N131" s="118"/>
      <c r="O131" s="118"/>
      <c r="P131" s="118"/>
      <c r="Q131" s="118"/>
      <c r="R131" s="118"/>
      <c r="S131" s="118"/>
      <c r="T131" s="118">
        <f>IF($H131&gt;=1,$G131/$H131,"")</f>
        <v>0</v>
      </c>
      <c r="U131" s="720">
        <f>IF($H131&gt;=2,$G131/$H131,"")</f>
        <v>0</v>
      </c>
      <c r="V131" s="717"/>
      <c r="W131" s="151"/>
      <c r="Y131" s="151"/>
    </row>
    <row r="132" spans="1:25" ht="18" customHeight="1" outlineLevel="1">
      <c r="C132" s="673"/>
      <c r="E132" s="676"/>
      <c r="F132" s="689">
        <v>2033</v>
      </c>
      <c r="G132" s="135">
        <v>0</v>
      </c>
      <c r="H132" s="690">
        <f t="shared" si="45"/>
        <v>5</v>
      </c>
      <c r="I132" s="704"/>
      <c r="J132" s="704"/>
      <c r="K132" s="704"/>
      <c r="L132" s="135"/>
      <c r="M132" s="135"/>
      <c r="N132" s="135"/>
      <c r="O132" s="135"/>
      <c r="P132" s="135"/>
      <c r="Q132" s="135"/>
      <c r="R132" s="135"/>
      <c r="S132" s="135"/>
      <c r="T132" s="135"/>
      <c r="U132" s="721">
        <f>IF($H132&gt;=1,$G132/$H132,"")</f>
        <v>0</v>
      </c>
      <c r="V132" s="717"/>
      <c r="W132" s="151"/>
      <c r="Y132" s="151"/>
    </row>
    <row r="133" spans="1:25" ht="18" customHeight="1" outlineLevel="1">
      <c r="C133" s="673"/>
      <c r="E133" s="676"/>
      <c r="F133" s="691" t="s">
        <v>254</v>
      </c>
      <c r="G133" s="692"/>
      <c r="H133" s="693"/>
      <c r="I133" s="708"/>
      <c r="J133" s="708"/>
      <c r="K133" s="708"/>
      <c r="L133" s="709">
        <f>SUM(L121:L132)</f>
        <v>0</v>
      </c>
      <c r="M133" s="709">
        <f>SUM(M121:M132)</f>
        <v>0</v>
      </c>
      <c r="N133" s="709">
        <f t="shared" ref="N133:U133" si="46">SUM(N121:N132)</f>
        <v>0</v>
      </c>
      <c r="O133" s="709">
        <f t="shared" si="46"/>
        <v>0</v>
      </c>
      <c r="P133" s="709">
        <f t="shared" si="46"/>
        <v>0</v>
      </c>
      <c r="Q133" s="709">
        <f t="shared" si="46"/>
        <v>0</v>
      </c>
      <c r="R133" s="709">
        <f t="shared" si="46"/>
        <v>0</v>
      </c>
      <c r="S133" s="709">
        <f t="shared" si="46"/>
        <v>0</v>
      </c>
      <c r="T133" s="709">
        <f t="shared" si="46"/>
        <v>0</v>
      </c>
      <c r="U133" s="722">
        <f t="shared" si="46"/>
        <v>0</v>
      </c>
      <c r="V133" s="717"/>
      <c r="W133" s="151"/>
      <c r="Y133" s="151"/>
    </row>
    <row r="134" spans="1:25" ht="18" customHeight="1">
      <c r="A134" s="366"/>
      <c r="F134" s="31"/>
      <c r="G134" s="699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</row>
    <row r="135" spans="1:25" ht="18" customHeight="1">
      <c r="A135" s="366"/>
      <c r="B135" s="670" t="s">
        <v>284</v>
      </c>
      <c r="C135" s="695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</row>
    <row r="136" spans="1:25" ht="18" customHeight="1">
      <c r="B136" s="730" t="s">
        <v>285</v>
      </c>
      <c r="C136" s="695"/>
      <c r="D136" s="675"/>
      <c r="F136" s="637">
        <f>资产负债表!U33</f>
        <v>0</v>
      </c>
      <c r="G136" s="637">
        <f>资产负债表!Y33</f>
        <v>0</v>
      </c>
      <c r="H136" s="637">
        <f>资产负债表!AC33</f>
        <v>0</v>
      </c>
      <c r="I136" s="31"/>
      <c r="J136" s="637">
        <f>H144</f>
        <v>0</v>
      </c>
      <c r="K136" s="31"/>
      <c r="L136" s="118">
        <f>H144</f>
        <v>0</v>
      </c>
      <c r="M136" s="118">
        <f t="shared" ref="M136:U136" si="47">L144</f>
        <v>0</v>
      </c>
      <c r="N136" s="118">
        <f t="shared" si="47"/>
        <v>0</v>
      </c>
      <c r="O136" s="118">
        <f t="shared" si="47"/>
        <v>0</v>
      </c>
      <c r="P136" s="118">
        <f t="shared" si="47"/>
        <v>0</v>
      </c>
      <c r="Q136" s="118">
        <f t="shared" si="47"/>
        <v>0</v>
      </c>
      <c r="R136" s="118">
        <f t="shared" si="47"/>
        <v>0</v>
      </c>
      <c r="S136" s="118">
        <f t="shared" si="47"/>
        <v>0</v>
      </c>
      <c r="T136" s="118">
        <f t="shared" si="47"/>
        <v>0</v>
      </c>
      <c r="U136" s="118">
        <f t="shared" si="47"/>
        <v>0</v>
      </c>
    </row>
    <row r="137" spans="1:25" ht="18" customHeight="1">
      <c r="B137" s="731" t="s">
        <v>276</v>
      </c>
      <c r="C137" s="695"/>
      <c r="F137" s="31"/>
      <c r="G137" s="699"/>
      <c r="H137" s="732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</row>
    <row r="138" spans="1:25" ht="18" customHeight="1">
      <c r="B138" s="731"/>
      <c r="C138" s="150" t="s">
        <v>245</v>
      </c>
      <c r="F138" s="31"/>
      <c r="G138" s="699"/>
      <c r="H138" s="733"/>
      <c r="I138" s="31"/>
      <c r="J138" s="31"/>
      <c r="K138" s="31"/>
      <c r="L138" s="697"/>
      <c r="M138" s="697"/>
      <c r="N138" s="697"/>
      <c r="O138" s="697"/>
      <c r="P138" s="697"/>
      <c r="Q138" s="697"/>
      <c r="R138" s="697"/>
      <c r="S138" s="697"/>
      <c r="T138" s="697"/>
      <c r="U138" s="697"/>
      <c r="V138" s="713"/>
    </row>
    <row r="139" spans="1:25" ht="18" customHeight="1">
      <c r="B139" s="731"/>
      <c r="C139" s="150" t="s">
        <v>277</v>
      </c>
      <c r="F139" s="31"/>
      <c r="G139" s="699"/>
      <c r="H139" s="734"/>
      <c r="I139" s="31"/>
      <c r="J139" s="31"/>
      <c r="K139" s="31"/>
      <c r="L139" s="697"/>
      <c r="M139" s="697"/>
      <c r="N139" s="697"/>
      <c r="O139" s="697"/>
      <c r="P139" s="697"/>
      <c r="Q139" s="697"/>
      <c r="R139" s="697"/>
      <c r="S139" s="697"/>
      <c r="T139" s="697"/>
      <c r="U139" s="697"/>
      <c r="V139" s="713"/>
    </row>
    <row r="140" spans="1:25" ht="18" customHeight="1">
      <c r="B140" s="731" t="s">
        <v>278</v>
      </c>
      <c r="D140" s="675"/>
      <c r="F140" s="31"/>
      <c r="G140" s="699"/>
      <c r="H140" s="734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</row>
    <row r="141" spans="1:25" ht="18" customHeight="1">
      <c r="B141" s="731"/>
      <c r="C141" s="150" t="s">
        <v>245</v>
      </c>
      <c r="F141" s="637">
        <f>F144-F136+F142+F143</f>
        <v>0</v>
      </c>
      <c r="G141" s="637">
        <f>G144-G136+G142+G143</f>
        <v>0</v>
      </c>
      <c r="H141" s="637">
        <f>H144-H136+H142+H143</f>
        <v>0</v>
      </c>
      <c r="I141" s="637"/>
      <c r="J141" s="637">
        <f>J144-J136+J142+J143</f>
        <v>0</v>
      </c>
      <c r="K141" s="31"/>
      <c r="L141" s="697"/>
      <c r="M141" s="697"/>
      <c r="N141" s="697"/>
      <c r="O141" s="697"/>
      <c r="P141" s="697"/>
      <c r="Q141" s="697"/>
      <c r="R141" s="697"/>
      <c r="S141" s="697"/>
      <c r="T141" s="697"/>
      <c r="U141" s="697"/>
      <c r="V141" s="713"/>
    </row>
    <row r="142" spans="1:25" ht="18" customHeight="1">
      <c r="B142" s="731"/>
      <c r="C142" s="150" t="s">
        <v>279</v>
      </c>
      <c r="F142" s="118">
        <f>(财务附注数据!AD23-财务附注数据!Z23)*目录!$D$6</f>
        <v>0</v>
      </c>
      <c r="G142" s="118">
        <f>(财务附注数据!AH23-财务附注数据!AD23)*目录!$D$6</f>
        <v>0</v>
      </c>
      <c r="H142" s="118">
        <f>(财务附注数据!AL23-财务附注数据!AH23)*目录!$D$6</f>
        <v>0</v>
      </c>
      <c r="I142" s="31"/>
      <c r="J142" s="118">
        <f>IF(财务基础数据!AM4&lt;=1,0,(财务附注数据!AN23-财务附注数据!AL23)*目录!$D$6)</f>
        <v>0</v>
      </c>
      <c r="K142" s="31"/>
      <c r="L142" s="697"/>
      <c r="M142" s="697"/>
      <c r="N142" s="697"/>
      <c r="O142" s="697"/>
      <c r="P142" s="697"/>
      <c r="Q142" s="697"/>
      <c r="R142" s="697"/>
      <c r="S142" s="697"/>
      <c r="T142" s="697"/>
      <c r="U142" s="697"/>
      <c r="V142" s="713"/>
    </row>
    <row r="143" spans="1:25" ht="18" customHeight="1">
      <c r="C143" s="150" t="s">
        <v>258</v>
      </c>
      <c r="F143" s="118">
        <f>(财务附注数据!AD24-财务附注数据!Z24)*目录!$D$6</f>
        <v>0</v>
      </c>
      <c r="G143" s="118">
        <f>(财务附注数据!AH24-财务附注数据!AD24)*目录!$D$6</f>
        <v>0</v>
      </c>
      <c r="H143" s="118">
        <f>(财务附注数据!AL24-财务附注数据!AH24)*目录!$D$6</f>
        <v>0</v>
      </c>
      <c r="I143" s="31"/>
      <c r="J143" s="118">
        <f>IF(财务基础数据!AM4&lt;=1,0,(财务附注数据!AN24-财务附注数据!AL24)*目录!$D$6)</f>
        <v>0</v>
      </c>
      <c r="K143" s="31"/>
      <c r="L143" s="697"/>
      <c r="M143" s="697"/>
      <c r="N143" s="697"/>
      <c r="O143" s="697"/>
      <c r="P143" s="697"/>
      <c r="Q143" s="697"/>
      <c r="R143" s="697"/>
      <c r="S143" s="697"/>
      <c r="T143" s="697"/>
      <c r="U143" s="697"/>
      <c r="V143" s="713"/>
    </row>
    <row r="144" spans="1:25" ht="18" customHeight="1">
      <c r="B144" s="731" t="s">
        <v>286</v>
      </c>
      <c r="C144" s="673"/>
      <c r="D144" s="675"/>
      <c r="F144" s="637">
        <f>资产负债表!Y33</f>
        <v>0</v>
      </c>
      <c r="G144" s="637">
        <f>资产负债表!AC33</f>
        <v>0</v>
      </c>
      <c r="H144" s="637">
        <f>资产负债表!AG33</f>
        <v>0</v>
      </c>
      <c r="I144" s="637">
        <f>资产负债表!AH33</f>
        <v>0</v>
      </c>
      <c r="J144" s="637">
        <f>资产负债表!AI33</f>
        <v>0</v>
      </c>
      <c r="K144" s="637">
        <f>资产负债表!AJ33</f>
        <v>0</v>
      </c>
      <c r="L144" s="118">
        <f>L136+L138+L139+L141-L142-L143</f>
        <v>0</v>
      </c>
      <c r="M144" s="118">
        <f t="shared" ref="M144:U144" si="48">M136+M138+M139+M141-M142-M143</f>
        <v>0</v>
      </c>
      <c r="N144" s="118">
        <f t="shared" si="48"/>
        <v>0</v>
      </c>
      <c r="O144" s="118">
        <f t="shared" si="48"/>
        <v>0</v>
      </c>
      <c r="P144" s="118">
        <f t="shared" si="48"/>
        <v>0</v>
      </c>
      <c r="Q144" s="118">
        <f t="shared" si="48"/>
        <v>0</v>
      </c>
      <c r="R144" s="118">
        <f t="shared" si="48"/>
        <v>0</v>
      </c>
      <c r="S144" s="118">
        <f t="shared" si="48"/>
        <v>0</v>
      </c>
      <c r="T144" s="118">
        <f t="shared" si="48"/>
        <v>0</v>
      </c>
      <c r="U144" s="118">
        <f t="shared" si="48"/>
        <v>0</v>
      </c>
    </row>
    <row r="145" spans="1:26" ht="18" customHeight="1">
      <c r="A145" s="366"/>
      <c r="F145" s="31"/>
      <c r="G145" s="699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</row>
    <row r="146" spans="1:26" ht="18" customHeight="1">
      <c r="A146" s="366"/>
      <c r="B146" s="670" t="s">
        <v>287</v>
      </c>
      <c r="C146" s="695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</row>
    <row r="147" spans="1:26" ht="18" customHeight="1">
      <c r="A147" s="366"/>
      <c r="B147" s="381" t="s">
        <v>236</v>
      </c>
      <c r="C147" s="673" t="s">
        <v>237</v>
      </c>
      <c r="F147" s="118">
        <f>财务附注数据!Z26*目录!$D$6</f>
        <v>0</v>
      </c>
      <c r="G147" s="118">
        <f>财务附注数据!AD26*目录!$D$6</f>
        <v>0</v>
      </c>
      <c r="H147" s="118">
        <f>财务附注数据!AH26*目录!$D$6</f>
        <v>0</v>
      </c>
      <c r="I147" s="31"/>
      <c r="J147" s="118">
        <f>H149</f>
        <v>0</v>
      </c>
      <c r="K147" s="31"/>
      <c r="L147" s="118">
        <f>H149</f>
        <v>0</v>
      </c>
      <c r="M147" s="118">
        <f t="shared" ref="M147:U147" si="49">L149</f>
        <v>0</v>
      </c>
      <c r="N147" s="118">
        <f t="shared" si="49"/>
        <v>0</v>
      </c>
      <c r="O147" s="118">
        <f t="shared" si="49"/>
        <v>0</v>
      </c>
      <c r="P147" s="118">
        <f t="shared" si="49"/>
        <v>0</v>
      </c>
      <c r="Q147" s="118">
        <f t="shared" si="49"/>
        <v>0</v>
      </c>
      <c r="R147" s="118">
        <f t="shared" si="49"/>
        <v>0</v>
      </c>
      <c r="S147" s="118">
        <f t="shared" si="49"/>
        <v>0</v>
      </c>
      <c r="T147" s="118">
        <f t="shared" si="49"/>
        <v>0</v>
      </c>
      <c r="U147" s="118">
        <f t="shared" si="49"/>
        <v>0</v>
      </c>
    </row>
    <row r="148" spans="1:26" ht="18" customHeight="1">
      <c r="A148" s="366"/>
      <c r="B148" s="674"/>
      <c r="C148" s="673" t="s">
        <v>245</v>
      </c>
      <c r="F148" s="118">
        <f>F149-F147</f>
        <v>0</v>
      </c>
      <c r="G148" s="118">
        <f>G149-G147</f>
        <v>0</v>
      </c>
      <c r="H148" s="118">
        <f>H149-H147</f>
        <v>0</v>
      </c>
      <c r="I148" s="118"/>
      <c r="J148" s="118">
        <f>IF(财务基础数据!AM4&lt;=1,0,J149-J147)</f>
        <v>0</v>
      </c>
      <c r="K148" s="31"/>
      <c r="L148" s="697"/>
      <c r="M148" s="697"/>
      <c r="N148" s="697"/>
      <c r="O148" s="697"/>
      <c r="P148" s="697"/>
      <c r="Q148" s="697"/>
      <c r="R148" s="697"/>
      <c r="S148" s="697"/>
      <c r="T148" s="697"/>
      <c r="U148" s="697"/>
      <c r="V148" s="713"/>
      <c r="Z148" s="725"/>
    </row>
    <row r="149" spans="1:26" ht="18" customHeight="1">
      <c r="A149" s="366"/>
      <c r="B149" s="674"/>
      <c r="C149" s="673" t="s">
        <v>241</v>
      </c>
      <c r="F149" s="118">
        <f>财务附注数据!AD26*目录!$D$6</f>
        <v>0</v>
      </c>
      <c r="G149" s="118">
        <f>财务附注数据!AH26*目录!$D$6</f>
        <v>0</v>
      </c>
      <c r="H149" s="118">
        <f>财务附注数据!AL26*目录!$D$6</f>
        <v>0</v>
      </c>
      <c r="I149" s="31"/>
      <c r="J149" s="118">
        <f>财务附注数据!AN26*目录!$D$6</f>
        <v>0</v>
      </c>
      <c r="K149" s="31"/>
      <c r="L149" s="118">
        <f t="shared" ref="L149:U149" si="50">L147+L148</f>
        <v>0</v>
      </c>
      <c r="M149" s="118">
        <f t="shared" si="50"/>
        <v>0</v>
      </c>
      <c r="N149" s="118">
        <f t="shared" si="50"/>
        <v>0</v>
      </c>
      <c r="O149" s="118">
        <f t="shared" si="50"/>
        <v>0</v>
      </c>
      <c r="P149" s="118">
        <f t="shared" si="50"/>
        <v>0</v>
      </c>
      <c r="Q149" s="118">
        <f t="shared" si="50"/>
        <v>0</v>
      </c>
      <c r="R149" s="118">
        <f t="shared" si="50"/>
        <v>0</v>
      </c>
      <c r="S149" s="118">
        <f t="shared" si="50"/>
        <v>0</v>
      </c>
      <c r="T149" s="118">
        <f t="shared" si="50"/>
        <v>0</v>
      </c>
      <c r="U149" s="118">
        <f t="shared" si="50"/>
        <v>0</v>
      </c>
      <c r="W149" s="151"/>
      <c r="Y149" s="151"/>
    </row>
    <row r="150" spans="1:26" ht="18" customHeight="1">
      <c r="A150" s="366"/>
      <c r="B150" s="674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W150" s="151"/>
      <c r="Y150" s="151"/>
    </row>
    <row r="151" spans="1:26" ht="18" customHeight="1">
      <c r="A151" s="366"/>
      <c r="B151" s="673" t="s">
        <v>288</v>
      </c>
      <c r="D151" s="675"/>
      <c r="F151" s="118">
        <f>(财务附注数据!AD27-财务附注数据!Z27)*目录!$D$6</f>
        <v>0</v>
      </c>
      <c r="G151" s="118">
        <f>(财务附注数据!AH27-财务附注数据!AD27)*目录!$D$6</f>
        <v>0</v>
      </c>
      <c r="H151" s="118">
        <f>(财务附注数据!AL27-财务附注数据!AH27)*目录!$D$6</f>
        <v>0</v>
      </c>
      <c r="I151" s="31"/>
      <c r="J151" s="118">
        <f>(财务附注数据!AN27-财务附注数据!AL27)*目录!$D$6</f>
        <v>0</v>
      </c>
      <c r="K151" s="31"/>
      <c r="L151" s="697"/>
      <c r="M151" s="697"/>
      <c r="N151" s="697"/>
      <c r="O151" s="697"/>
      <c r="P151" s="697"/>
      <c r="Q151" s="697"/>
      <c r="R151" s="697"/>
      <c r="S151" s="697"/>
      <c r="T151" s="697"/>
      <c r="U151" s="697"/>
      <c r="V151" s="713"/>
      <c r="W151" s="151"/>
      <c r="Y151" s="151"/>
    </row>
    <row r="152" spans="1:26" ht="18" customHeight="1">
      <c r="A152" s="366"/>
      <c r="B152" s="674"/>
      <c r="F152" s="68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W152" s="151"/>
      <c r="Y152" s="151"/>
    </row>
    <row r="153" spans="1:26" ht="18" customHeight="1">
      <c r="A153" s="366"/>
      <c r="B153" s="673" t="s">
        <v>244</v>
      </c>
      <c r="C153" s="673" t="s">
        <v>237</v>
      </c>
      <c r="F153" s="118">
        <f>财务附注数据!Z28*目录!$D$6</f>
        <v>0</v>
      </c>
      <c r="G153" s="118">
        <f>财务附注数据!AD28*目录!$D$6</f>
        <v>0</v>
      </c>
      <c r="H153" s="118">
        <f>财务附注数据!AH28*目录!$D$6</f>
        <v>0</v>
      </c>
      <c r="I153" s="31"/>
      <c r="J153" s="118">
        <f>H155</f>
        <v>0</v>
      </c>
      <c r="K153" s="31"/>
      <c r="L153" s="118">
        <f>H155</f>
        <v>0</v>
      </c>
      <c r="M153" s="118">
        <f t="shared" ref="M153:U153" si="51">L155</f>
        <v>0</v>
      </c>
      <c r="N153" s="118">
        <f t="shared" si="51"/>
        <v>0</v>
      </c>
      <c r="O153" s="118">
        <f t="shared" si="51"/>
        <v>0</v>
      </c>
      <c r="P153" s="118">
        <f t="shared" si="51"/>
        <v>0</v>
      </c>
      <c r="Q153" s="118">
        <f t="shared" si="51"/>
        <v>0</v>
      </c>
      <c r="R153" s="118">
        <f t="shared" si="51"/>
        <v>0</v>
      </c>
      <c r="S153" s="118">
        <f t="shared" si="51"/>
        <v>0</v>
      </c>
      <c r="T153" s="118">
        <f t="shared" si="51"/>
        <v>0</v>
      </c>
      <c r="U153" s="118">
        <f t="shared" si="51"/>
        <v>0</v>
      </c>
      <c r="W153" s="151"/>
      <c r="Y153" s="151"/>
    </row>
    <row r="154" spans="1:26" ht="18" customHeight="1">
      <c r="A154" s="366"/>
      <c r="B154" s="680"/>
      <c r="C154" s="673" t="s">
        <v>245</v>
      </c>
      <c r="D154" s="675"/>
      <c r="F154" s="118">
        <f>F155-F153</f>
        <v>0</v>
      </c>
      <c r="G154" s="118">
        <f>G155-G153</f>
        <v>0</v>
      </c>
      <c r="H154" s="118">
        <f>H155-H153</f>
        <v>0</v>
      </c>
      <c r="I154" s="118"/>
      <c r="J154" s="118">
        <f>IF(财务基础数据!AM4&lt;=1,0,J155-J153)</f>
        <v>0</v>
      </c>
      <c r="K154" s="31"/>
      <c r="L154" s="697"/>
      <c r="M154" s="697"/>
      <c r="N154" s="697"/>
      <c r="O154" s="697"/>
      <c r="P154" s="697"/>
      <c r="Q154" s="697"/>
      <c r="R154" s="697"/>
      <c r="S154" s="697"/>
      <c r="T154" s="697"/>
      <c r="U154" s="697"/>
      <c r="V154" s="713"/>
      <c r="W154" s="151"/>
      <c r="Y154" s="151"/>
    </row>
    <row r="155" spans="1:26" ht="18" customHeight="1">
      <c r="A155" s="366"/>
      <c r="B155" s="680"/>
      <c r="C155" s="673" t="s">
        <v>241</v>
      </c>
      <c r="F155" s="118">
        <f>财务附注数据!AD28*目录!$D$6</f>
        <v>0</v>
      </c>
      <c r="G155" s="118">
        <f>财务附注数据!AH28*目录!$D$6</f>
        <v>0</v>
      </c>
      <c r="H155" s="118">
        <f>财务附注数据!AL28*目录!$D$6</f>
        <v>0</v>
      </c>
      <c r="I155" s="31"/>
      <c r="J155" s="118">
        <f>财务附注数据!AN28*目录!$D$6</f>
        <v>0</v>
      </c>
      <c r="K155" s="31"/>
      <c r="L155" s="118">
        <f t="shared" ref="L155:U155" si="52">L153+L154</f>
        <v>0</v>
      </c>
      <c r="M155" s="118">
        <f t="shared" si="52"/>
        <v>0</v>
      </c>
      <c r="N155" s="118">
        <f t="shared" si="52"/>
        <v>0</v>
      </c>
      <c r="O155" s="118">
        <f t="shared" si="52"/>
        <v>0</v>
      </c>
      <c r="P155" s="118">
        <f t="shared" si="52"/>
        <v>0</v>
      </c>
      <c r="Q155" s="118">
        <f t="shared" si="52"/>
        <v>0</v>
      </c>
      <c r="R155" s="118">
        <f t="shared" si="52"/>
        <v>0</v>
      </c>
      <c r="S155" s="118">
        <f t="shared" si="52"/>
        <v>0</v>
      </c>
      <c r="T155" s="118">
        <f t="shared" si="52"/>
        <v>0</v>
      </c>
      <c r="U155" s="118">
        <f t="shared" si="52"/>
        <v>0</v>
      </c>
      <c r="W155" s="151"/>
      <c r="Y155" s="151"/>
    </row>
    <row r="156" spans="1:26" ht="18" customHeight="1">
      <c r="A156" s="366"/>
      <c r="B156" s="680"/>
      <c r="C156" s="673"/>
      <c r="F156" s="68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W156" s="151"/>
      <c r="Y156" s="151"/>
    </row>
    <row r="157" spans="1:26" ht="18" customHeight="1">
      <c r="B157" s="150" t="s">
        <v>289</v>
      </c>
      <c r="C157" s="143"/>
      <c r="E157" s="676"/>
      <c r="F157" s="637">
        <f>资产负债表!U34</f>
        <v>0</v>
      </c>
      <c r="G157" s="637">
        <f>资产负债表!Y34</f>
        <v>0</v>
      </c>
      <c r="H157" s="637">
        <f>资产负债表!AC34</f>
        <v>0</v>
      </c>
      <c r="I157" s="31"/>
      <c r="J157" s="31"/>
      <c r="K157" s="31"/>
      <c r="L157" s="118">
        <f>H158</f>
        <v>0</v>
      </c>
      <c r="M157" s="118">
        <f>L158</f>
        <v>0</v>
      </c>
      <c r="N157" s="118">
        <f>M158</f>
        <v>0</v>
      </c>
      <c r="O157" s="118">
        <f>N158</f>
        <v>0</v>
      </c>
      <c r="P157" s="118">
        <f t="shared" ref="P157:U157" si="53">O158</f>
        <v>0</v>
      </c>
      <c r="Q157" s="118">
        <f t="shared" si="53"/>
        <v>0</v>
      </c>
      <c r="R157" s="118">
        <f t="shared" si="53"/>
        <v>0</v>
      </c>
      <c r="S157" s="118">
        <f t="shared" si="53"/>
        <v>0</v>
      </c>
      <c r="T157" s="118">
        <f t="shared" si="53"/>
        <v>0</v>
      </c>
      <c r="U157" s="118">
        <f t="shared" si="53"/>
        <v>0</v>
      </c>
      <c r="W157" s="151"/>
      <c r="Y157" s="151"/>
    </row>
    <row r="158" spans="1:26" ht="18" customHeight="1">
      <c r="B158" s="150" t="s">
        <v>290</v>
      </c>
      <c r="C158" s="673"/>
      <c r="D158" s="675"/>
      <c r="E158" s="676"/>
      <c r="F158" s="637">
        <f>资产负债表!Y34</f>
        <v>0</v>
      </c>
      <c r="G158" s="637">
        <f>资产负债表!AC34</f>
        <v>0</v>
      </c>
      <c r="H158" s="637">
        <f>资产负债表!AG34</f>
        <v>0</v>
      </c>
      <c r="I158" s="637">
        <f>资产负债表!AH34</f>
        <v>0</v>
      </c>
      <c r="J158" s="637">
        <f>资产负债表!AI34</f>
        <v>0</v>
      </c>
      <c r="K158" s="637">
        <f>资产负债表!AJ34</f>
        <v>0</v>
      </c>
      <c r="L158" s="118">
        <f>H158+L148-L151-L154</f>
        <v>0</v>
      </c>
      <c r="M158" s="118">
        <f>L158+M148-M151-M154</f>
        <v>0</v>
      </c>
      <c r="N158" s="118">
        <f>M158+N148-N151-N154</f>
        <v>0</v>
      </c>
      <c r="O158" s="118">
        <f>N158+O148-O151-O154</f>
        <v>0</v>
      </c>
      <c r="P158" s="118">
        <f>O158+P148-P151-P154</f>
        <v>0</v>
      </c>
      <c r="Q158" s="118">
        <f>P158+Q148-Q151-Q154</f>
        <v>0</v>
      </c>
      <c r="R158" s="118">
        <f t="shared" ref="R158:U158" si="54">Q158+R148-R151-R154</f>
        <v>0</v>
      </c>
      <c r="S158" s="118">
        <f t="shared" si="54"/>
        <v>0</v>
      </c>
      <c r="T158" s="118">
        <f t="shared" si="54"/>
        <v>0</v>
      </c>
      <c r="U158" s="118">
        <f t="shared" si="54"/>
        <v>0</v>
      </c>
      <c r="W158" s="151"/>
      <c r="Y158" s="151"/>
    </row>
    <row r="159" spans="1:26" ht="18" customHeight="1">
      <c r="C159" s="673"/>
      <c r="D159" s="675"/>
      <c r="E159" s="676"/>
      <c r="F159" s="637"/>
      <c r="G159" s="637"/>
      <c r="H159" s="637"/>
      <c r="I159" s="637"/>
      <c r="J159" s="637"/>
      <c r="K159" s="637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W159" s="151"/>
      <c r="Y159" s="151"/>
    </row>
    <row r="160" spans="1:26" ht="18" customHeight="1">
      <c r="A160" s="366"/>
      <c r="B160" s="735" t="s">
        <v>291</v>
      </c>
      <c r="C160" s="736"/>
      <c r="D160" s="737"/>
      <c r="E160" s="737"/>
      <c r="F160" s="738">
        <f>F11+F43+F52+F81+F107+F141+F148</f>
        <v>0</v>
      </c>
      <c r="G160" s="738">
        <f>G11+G43+G52+G81+G107+G141+G148</f>
        <v>0</v>
      </c>
      <c r="H160" s="738">
        <f>H11+H43+H52+H81+H107+H141+H148</f>
        <v>0</v>
      </c>
      <c r="I160" s="738"/>
      <c r="J160" s="738"/>
      <c r="K160" s="738"/>
      <c r="L160" s="738">
        <f>L11+L43+L52+L81+L107+L138+L141+L148</f>
        <v>0</v>
      </c>
      <c r="M160" s="738">
        <f t="shared" ref="M160:U160" si="55">M11+M43+M52+M81+M107+M138+M141+M148</f>
        <v>0</v>
      </c>
      <c r="N160" s="738">
        <f t="shared" si="55"/>
        <v>0</v>
      </c>
      <c r="O160" s="738">
        <f t="shared" si="55"/>
        <v>0</v>
      </c>
      <c r="P160" s="738">
        <f t="shared" si="55"/>
        <v>0</v>
      </c>
      <c r="Q160" s="738">
        <f t="shared" si="55"/>
        <v>0</v>
      </c>
      <c r="R160" s="738">
        <f t="shared" si="55"/>
        <v>0</v>
      </c>
      <c r="S160" s="738">
        <f t="shared" si="55"/>
        <v>0</v>
      </c>
      <c r="T160" s="738">
        <f t="shared" si="55"/>
        <v>0</v>
      </c>
      <c r="U160" s="738">
        <f t="shared" si="55"/>
        <v>0</v>
      </c>
      <c r="V160" s="714" t="s">
        <v>292</v>
      </c>
    </row>
    <row r="161" spans="1:26" ht="18" customHeight="1">
      <c r="A161" s="366"/>
      <c r="B161" s="381"/>
      <c r="C161" s="694" t="s">
        <v>293</v>
      </c>
      <c r="F161" s="31"/>
      <c r="G161" s="31"/>
      <c r="H161" s="118"/>
      <c r="I161" s="118"/>
      <c r="J161" s="31"/>
      <c r="K161" s="31"/>
      <c r="L161" s="118">
        <f>L19+L45+L59+L82+L89+L100+L114+L143+L154</f>
        <v>0</v>
      </c>
      <c r="M161" s="118">
        <f>M19+M45+M59+M82+M89+M100+M114+M143+M154</f>
        <v>0</v>
      </c>
      <c r="N161" s="118">
        <f t="shared" ref="N161:U161" si="56">N19+N45+N59+N82+N89+N100+N114+N143+N154</f>
        <v>0</v>
      </c>
      <c r="O161" s="118">
        <f t="shared" si="56"/>
        <v>0</v>
      </c>
      <c r="P161" s="118">
        <f t="shared" si="56"/>
        <v>0</v>
      </c>
      <c r="Q161" s="118">
        <f t="shared" si="56"/>
        <v>0</v>
      </c>
      <c r="R161" s="118">
        <f t="shared" si="56"/>
        <v>0</v>
      </c>
      <c r="S161" s="118">
        <f t="shared" si="56"/>
        <v>0</v>
      </c>
      <c r="T161" s="118">
        <f t="shared" si="56"/>
        <v>0</v>
      </c>
      <c r="U161" s="118">
        <f t="shared" si="56"/>
        <v>0</v>
      </c>
    </row>
    <row r="162" spans="1:26" ht="18" customHeight="1"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</row>
    <row r="164" spans="1:26" s="653" customFormat="1" ht="18" customHeight="1">
      <c r="A164" s="658"/>
      <c r="B164" s="242" t="s">
        <v>294</v>
      </c>
      <c r="C164" s="660"/>
      <c r="D164" s="661"/>
      <c r="E164" s="661"/>
      <c r="F164" s="661"/>
      <c r="G164" s="661"/>
      <c r="H164" s="661"/>
      <c r="I164" s="661"/>
      <c r="J164" s="661"/>
      <c r="K164" s="661"/>
      <c r="L164" s="661"/>
      <c r="M164" s="661"/>
      <c r="N164" s="661"/>
      <c r="O164" s="661"/>
      <c r="P164" s="661"/>
      <c r="Q164" s="661"/>
      <c r="R164" s="661"/>
      <c r="S164" s="661"/>
      <c r="T164" s="661"/>
      <c r="U164" s="661"/>
      <c r="V164" s="362"/>
      <c r="W164" s="29"/>
    </row>
    <row r="165" spans="1:26" s="30" customFormat="1" ht="18" customHeight="1">
      <c r="A165" s="658"/>
      <c r="B165" s="662" t="str">
        <f>"单位：人民币"&amp;目录!D5</f>
        <v>单位：人民币百万元</v>
      </c>
      <c r="C165" s="663"/>
      <c r="D165" s="664"/>
      <c r="E165" s="664"/>
      <c r="V165" s="657"/>
      <c r="W165" s="653"/>
      <c r="Z165" s="37"/>
    </row>
    <row r="166" spans="1:26" s="654" customFormat="1" ht="18" customHeight="1">
      <c r="A166" s="665"/>
      <c r="B166" s="666" t="s">
        <v>101</v>
      </c>
      <c r="C166" s="667"/>
      <c r="D166" s="668"/>
      <c r="E166" s="668"/>
      <c r="F166" s="739">
        <f t="shared" ref="F166:U166" si="57">F4</f>
        <v>2021</v>
      </c>
      <c r="G166" s="739">
        <f t="shared" si="57"/>
        <v>2022</v>
      </c>
      <c r="H166" s="739">
        <f t="shared" si="57"/>
        <v>2023</v>
      </c>
      <c r="I166" s="739" t="str">
        <f t="shared" si="57"/>
        <v>1Q24</v>
      </c>
      <c r="J166" s="739" t="str">
        <f t="shared" si="57"/>
        <v>1H24</v>
      </c>
      <c r="K166" s="739" t="str">
        <f t="shared" si="57"/>
        <v>3Q24</v>
      </c>
      <c r="L166" s="750" t="str">
        <f t="shared" si="57"/>
        <v>2024E</v>
      </c>
      <c r="M166" s="751">
        <f t="shared" si="57"/>
        <v>2025</v>
      </c>
      <c r="N166" s="751">
        <f t="shared" si="57"/>
        <v>2026</v>
      </c>
      <c r="O166" s="751">
        <f t="shared" si="57"/>
        <v>2027</v>
      </c>
      <c r="P166" s="751">
        <f t="shared" si="57"/>
        <v>2028</v>
      </c>
      <c r="Q166" s="751">
        <f t="shared" si="57"/>
        <v>2029</v>
      </c>
      <c r="R166" s="751">
        <f t="shared" si="57"/>
        <v>2030</v>
      </c>
      <c r="S166" s="751">
        <f t="shared" si="57"/>
        <v>2031</v>
      </c>
      <c r="T166" s="751">
        <f t="shared" si="57"/>
        <v>2032</v>
      </c>
      <c r="U166" s="751">
        <f t="shared" si="57"/>
        <v>2033</v>
      </c>
      <c r="V166" s="711"/>
      <c r="W166" s="30"/>
    </row>
    <row r="167" spans="1:26" s="155" customFormat="1" ht="18" customHeight="1">
      <c r="A167" s="658"/>
      <c r="B167" s="381"/>
      <c r="C167" s="143"/>
      <c r="F167" s="740"/>
      <c r="G167" s="740"/>
      <c r="H167" s="740"/>
      <c r="I167" s="740"/>
      <c r="J167" s="740"/>
      <c r="K167" s="740"/>
      <c r="L167" s="740"/>
      <c r="M167" s="740"/>
      <c r="N167" s="740"/>
      <c r="O167" s="740"/>
      <c r="P167" s="740"/>
      <c r="Q167" s="740"/>
      <c r="R167" s="740"/>
      <c r="S167" s="740"/>
      <c r="T167" s="740"/>
      <c r="U167" s="740"/>
      <c r="V167" s="712"/>
      <c r="W167" s="734"/>
      <c r="X167" s="740"/>
      <c r="Z167" s="57"/>
    </row>
    <row r="168" spans="1:26" s="30" customFormat="1" ht="18" customHeight="1">
      <c r="A168" s="658"/>
      <c r="B168" s="381" t="s">
        <v>295</v>
      </c>
      <c r="C168" s="150"/>
      <c r="F168" s="118">
        <f>利润表!Y63</f>
        <v>0</v>
      </c>
      <c r="G168" s="462">
        <f>利润表!AC63</f>
        <v>0</v>
      </c>
      <c r="H168" s="462">
        <f>利润表!AG63</f>
        <v>0</v>
      </c>
      <c r="I168" s="462">
        <f>利润表!AH63</f>
        <v>0</v>
      </c>
      <c r="J168" s="462">
        <f>利润表!AI63</f>
        <v>0</v>
      </c>
      <c r="K168" s="462">
        <f>利润表!AJ63</f>
        <v>0</v>
      </c>
      <c r="L168" s="461">
        <f>L169-L161</f>
        <v>0</v>
      </c>
      <c r="M168" s="461">
        <f>M169-M161</f>
        <v>0</v>
      </c>
      <c r="N168" s="461">
        <f>N169-N161</f>
        <v>0</v>
      </c>
      <c r="O168" s="461">
        <f t="shared" ref="O168:U168" si="58">O169-O161</f>
        <v>0</v>
      </c>
      <c r="P168" s="461">
        <f t="shared" si="58"/>
        <v>0</v>
      </c>
      <c r="Q168" s="461">
        <f t="shared" si="58"/>
        <v>0</v>
      </c>
      <c r="R168" s="461">
        <f t="shared" si="58"/>
        <v>0</v>
      </c>
      <c r="S168" s="461">
        <f t="shared" si="58"/>
        <v>0</v>
      </c>
      <c r="T168" s="461">
        <f t="shared" si="58"/>
        <v>0</v>
      </c>
      <c r="U168" s="461">
        <f t="shared" si="58"/>
        <v>0</v>
      </c>
      <c r="V168" s="714" t="s">
        <v>296</v>
      </c>
      <c r="W168" s="740"/>
      <c r="X168" s="31"/>
      <c r="Z168" s="37"/>
    </row>
    <row r="169" spans="1:26" s="404" customFormat="1" ht="18" customHeight="1">
      <c r="A169" s="741"/>
      <c r="B169" s="381" t="s">
        <v>297</v>
      </c>
      <c r="C169" s="674"/>
      <c r="F169" s="742"/>
      <c r="G169" s="742"/>
      <c r="H169" s="742"/>
      <c r="I169" s="742"/>
      <c r="J169" s="742"/>
      <c r="K169" s="699"/>
      <c r="L169" s="118">
        <f>SUM(L171:L173)</f>
        <v>0</v>
      </c>
      <c r="M169" s="118">
        <f>SUM(M171:M173)</f>
        <v>0</v>
      </c>
      <c r="N169" s="118">
        <f>SUM(N171:N173)</f>
        <v>0</v>
      </c>
      <c r="O169" s="118">
        <f>SUM(O171:O173)</f>
        <v>0</v>
      </c>
      <c r="P169" s="118">
        <f>SUM(P171:P173)</f>
        <v>0</v>
      </c>
      <c r="Q169" s="118">
        <f t="shared" ref="Q169:U169" si="59">SUM(Q171:Q173)</f>
        <v>0</v>
      </c>
      <c r="R169" s="118">
        <f t="shared" si="59"/>
        <v>0</v>
      </c>
      <c r="S169" s="118">
        <f t="shared" si="59"/>
        <v>0</v>
      </c>
      <c r="T169" s="118">
        <f t="shared" si="59"/>
        <v>0</v>
      </c>
      <c r="U169" s="118">
        <f t="shared" si="59"/>
        <v>0</v>
      </c>
      <c r="V169" s="715"/>
      <c r="W169" s="31"/>
      <c r="X169" s="699"/>
      <c r="Z169" s="753"/>
    </row>
    <row r="170" spans="1:26" s="404" customFormat="1" ht="18" customHeight="1">
      <c r="A170" s="741"/>
      <c r="B170" s="381" t="s">
        <v>226</v>
      </c>
      <c r="C170" s="381"/>
      <c r="F170" s="742"/>
      <c r="G170" s="742"/>
      <c r="H170" s="742"/>
      <c r="I170" s="742"/>
      <c r="J170" s="742"/>
      <c r="K170" s="699"/>
      <c r="L170" s="699"/>
      <c r="M170" s="699"/>
      <c r="N170" s="699"/>
      <c r="O170" s="699"/>
      <c r="P170" s="699"/>
      <c r="Q170" s="699"/>
      <c r="R170" s="699"/>
      <c r="S170" s="699"/>
      <c r="T170" s="699"/>
      <c r="U170" s="699"/>
      <c r="V170" s="715"/>
      <c r="W170" s="699"/>
      <c r="X170" s="699"/>
      <c r="Z170" s="753"/>
    </row>
    <row r="171" spans="1:26" s="404" customFormat="1" ht="18" customHeight="1">
      <c r="A171" s="743" t="s">
        <v>133</v>
      </c>
      <c r="B171" s="381"/>
      <c r="C171" s="381" t="s">
        <v>115</v>
      </c>
      <c r="D171" s="155"/>
      <c r="E171" s="744"/>
      <c r="F171" s="742"/>
      <c r="G171" s="742"/>
      <c r="H171" s="742"/>
      <c r="I171" s="742"/>
      <c r="J171" s="742"/>
      <c r="K171" s="699"/>
      <c r="L171" s="697"/>
      <c r="M171" s="697"/>
      <c r="N171" s="697"/>
      <c r="O171" s="697"/>
      <c r="P171" s="697"/>
      <c r="Q171" s="697"/>
      <c r="R171" s="697"/>
      <c r="S171" s="697"/>
      <c r="T171" s="697"/>
      <c r="U171" s="697"/>
      <c r="V171" s="713"/>
      <c r="W171" s="699"/>
      <c r="X171" s="699"/>
      <c r="Z171" s="753"/>
    </row>
    <row r="172" spans="1:26" s="30" customFormat="1" ht="18" customHeight="1">
      <c r="A172" s="743"/>
      <c r="B172" s="381"/>
      <c r="C172" s="673" t="s">
        <v>118</v>
      </c>
      <c r="D172" s="404"/>
      <c r="E172" s="744"/>
      <c r="F172" s="745"/>
      <c r="G172" s="745"/>
      <c r="H172" s="745"/>
      <c r="I172" s="118"/>
      <c r="J172" s="118"/>
      <c r="K172" s="31"/>
      <c r="L172" s="697"/>
      <c r="M172" s="697"/>
      <c r="N172" s="697"/>
      <c r="O172" s="697"/>
      <c r="P172" s="697"/>
      <c r="Q172" s="697"/>
      <c r="R172" s="697"/>
      <c r="S172" s="697"/>
      <c r="T172" s="697"/>
      <c r="U172" s="697"/>
      <c r="V172" s="752"/>
      <c r="W172" s="699"/>
      <c r="X172" s="31"/>
      <c r="Z172" s="37"/>
    </row>
    <row r="173" spans="1:26" s="404" customFormat="1" ht="18" customHeight="1">
      <c r="A173" s="743"/>
      <c r="B173" s="381"/>
      <c r="C173" s="381" t="s">
        <v>298</v>
      </c>
      <c r="D173" s="30"/>
      <c r="E173" s="744"/>
      <c r="F173" s="742"/>
      <c r="G173" s="742"/>
      <c r="H173" s="742"/>
      <c r="I173" s="742"/>
      <c r="J173" s="742"/>
      <c r="K173" s="699"/>
      <c r="L173" s="697"/>
      <c r="M173" s="697"/>
      <c r="N173" s="697"/>
      <c r="O173" s="697"/>
      <c r="P173" s="697"/>
      <c r="Q173" s="697"/>
      <c r="R173" s="697"/>
      <c r="S173" s="697"/>
      <c r="T173" s="697"/>
      <c r="U173" s="697"/>
      <c r="V173" s="713"/>
      <c r="W173" s="699"/>
      <c r="X173" s="699"/>
      <c r="Z173" s="753"/>
    </row>
    <row r="174" spans="1:26" s="404" customFormat="1" ht="18" customHeight="1">
      <c r="A174" s="741"/>
      <c r="B174" s="381"/>
      <c r="C174" s="746"/>
      <c r="F174" s="742"/>
      <c r="G174" s="742"/>
      <c r="H174" s="742"/>
      <c r="I174" s="742"/>
      <c r="J174" s="742"/>
      <c r="K174" s="699"/>
      <c r="L174" s="699"/>
      <c r="M174" s="699"/>
      <c r="N174" s="699"/>
      <c r="O174" s="699"/>
      <c r="P174" s="699"/>
      <c r="Q174" s="699"/>
      <c r="R174" s="699"/>
      <c r="S174" s="699"/>
      <c r="T174" s="699"/>
      <c r="U174" s="699"/>
      <c r="V174" s="715"/>
      <c r="W174" s="699"/>
      <c r="X174" s="699"/>
      <c r="Z174" s="753"/>
    </row>
    <row r="175" spans="1:26" s="404" customFormat="1" ht="18" customHeight="1">
      <c r="A175" s="741"/>
      <c r="B175" s="381" t="s">
        <v>299</v>
      </c>
      <c r="C175" s="746"/>
      <c r="F175" s="118">
        <f>利润表!Y60</f>
        <v>0</v>
      </c>
      <c r="G175" s="462">
        <f>利润表!AC60</f>
        <v>0</v>
      </c>
      <c r="H175" s="462">
        <f>利润表!AG60</f>
        <v>0</v>
      </c>
      <c r="I175" s="462">
        <f>利润表!AH60</f>
        <v>0</v>
      </c>
      <c r="J175" s="462">
        <f>利润表!AI60</f>
        <v>0</v>
      </c>
      <c r="K175" s="462">
        <f>利润表!AJ60</f>
        <v>0</v>
      </c>
      <c r="L175" s="461">
        <f>SUM(L177:L183)</f>
        <v>0</v>
      </c>
      <c r="M175" s="461">
        <f>SUM(M177:M183)</f>
        <v>0</v>
      </c>
      <c r="N175" s="461">
        <f>SUM(N177:N183)</f>
        <v>0</v>
      </c>
      <c r="O175" s="461">
        <f t="shared" ref="O175:U175" si="60">SUM(O177:O183)</f>
        <v>0</v>
      </c>
      <c r="P175" s="461">
        <f t="shared" si="60"/>
        <v>0</v>
      </c>
      <c r="Q175" s="461">
        <f t="shared" si="60"/>
        <v>0</v>
      </c>
      <c r="R175" s="461">
        <f t="shared" si="60"/>
        <v>0</v>
      </c>
      <c r="S175" s="461">
        <f t="shared" si="60"/>
        <v>0</v>
      </c>
      <c r="T175" s="461">
        <f t="shared" si="60"/>
        <v>0</v>
      </c>
      <c r="U175" s="461">
        <f t="shared" si="60"/>
        <v>0</v>
      </c>
      <c r="V175" s="714" t="s">
        <v>300</v>
      </c>
      <c r="W175" s="699"/>
      <c r="X175" s="699"/>
      <c r="Z175" s="753"/>
    </row>
    <row r="176" spans="1:26" s="404" customFormat="1" ht="18" customHeight="1">
      <c r="A176" s="741"/>
      <c r="B176" s="381" t="s">
        <v>226</v>
      </c>
      <c r="C176" s="381"/>
      <c r="F176" s="742"/>
      <c r="G176" s="742"/>
      <c r="H176" s="742"/>
      <c r="I176" s="742"/>
      <c r="J176" s="742"/>
      <c r="K176" s="699"/>
      <c r="L176" s="699"/>
      <c r="M176" s="699"/>
      <c r="N176" s="699"/>
      <c r="O176" s="699"/>
      <c r="P176" s="699"/>
      <c r="Q176" s="699"/>
      <c r="R176" s="699"/>
      <c r="S176" s="699"/>
      <c r="T176" s="699"/>
      <c r="U176" s="699"/>
      <c r="V176" s="715"/>
      <c r="W176" s="699"/>
      <c r="X176" s="699"/>
      <c r="Z176" s="753"/>
    </row>
    <row r="177" spans="1:26" s="656" customFormat="1" ht="17.25" customHeight="1">
      <c r="A177" s="747"/>
      <c r="B177" s="381"/>
      <c r="C177" s="381" t="s">
        <v>107</v>
      </c>
      <c r="D177" s="404"/>
      <c r="F177" s="748"/>
      <c r="G177" s="748"/>
      <c r="H177" s="748"/>
      <c r="I177" s="748"/>
      <c r="J177" s="748"/>
      <c r="K177" s="748"/>
      <c r="L177" s="697"/>
      <c r="M177" s="697"/>
      <c r="N177" s="697"/>
      <c r="O177" s="697"/>
      <c r="P177" s="697"/>
      <c r="Q177" s="697"/>
      <c r="R177" s="697"/>
      <c r="S177" s="697"/>
      <c r="T177" s="697"/>
      <c r="U177" s="697"/>
      <c r="V177" s="713"/>
      <c r="W177" s="699"/>
      <c r="X177" s="748"/>
      <c r="Z177" s="754"/>
    </row>
    <row r="178" spans="1:26" s="656" customFormat="1" ht="17.25" customHeight="1">
      <c r="A178" s="747"/>
      <c r="B178" s="381"/>
      <c r="C178" s="381" t="s">
        <v>104</v>
      </c>
      <c r="D178" s="404"/>
      <c r="F178" s="748"/>
      <c r="G178" s="748"/>
      <c r="H178" s="748"/>
      <c r="I178" s="748"/>
      <c r="J178" s="748"/>
      <c r="K178" s="748"/>
      <c r="L178" s="697"/>
      <c r="M178" s="697"/>
      <c r="N178" s="697"/>
      <c r="O178" s="697"/>
      <c r="P178" s="697"/>
      <c r="Q178" s="697"/>
      <c r="R178" s="697"/>
      <c r="S178" s="697"/>
      <c r="T178" s="697"/>
      <c r="U178" s="697"/>
      <c r="V178" s="713"/>
      <c r="W178" s="699"/>
      <c r="X178" s="748"/>
      <c r="Z178" s="754"/>
    </row>
    <row r="179" spans="1:26" s="404" customFormat="1" ht="18" customHeight="1">
      <c r="A179" s="741"/>
      <c r="B179" s="381"/>
      <c r="C179" s="381" t="s">
        <v>113</v>
      </c>
      <c r="F179" s="118"/>
      <c r="G179" s="462"/>
      <c r="H179" s="462"/>
      <c r="I179" s="462"/>
      <c r="J179" s="462"/>
      <c r="K179" s="699"/>
      <c r="L179" s="697"/>
      <c r="M179" s="697"/>
      <c r="N179" s="697"/>
      <c r="O179" s="697"/>
      <c r="P179" s="697"/>
      <c r="Q179" s="697"/>
      <c r="R179" s="697"/>
      <c r="S179" s="697"/>
      <c r="T179" s="697"/>
      <c r="U179" s="697"/>
      <c r="V179" s="713"/>
      <c r="W179" s="748"/>
      <c r="X179" s="699"/>
      <c r="Z179" s="753"/>
    </row>
    <row r="180" spans="1:26" s="30" customFormat="1" ht="18" customHeight="1">
      <c r="A180" s="743" t="s">
        <v>133</v>
      </c>
      <c r="B180" s="381"/>
      <c r="C180" s="673" t="s">
        <v>148</v>
      </c>
      <c r="D180" s="404"/>
      <c r="E180" s="744"/>
      <c r="F180" s="745"/>
      <c r="G180" s="745"/>
      <c r="H180" s="745"/>
      <c r="I180" s="118"/>
      <c r="J180" s="118"/>
      <c r="K180" s="31"/>
      <c r="L180" s="697"/>
      <c r="M180" s="697"/>
      <c r="N180" s="697"/>
      <c r="O180" s="697"/>
      <c r="P180" s="697"/>
      <c r="Q180" s="697"/>
      <c r="R180" s="697"/>
      <c r="S180" s="697"/>
      <c r="T180" s="697"/>
      <c r="U180" s="697"/>
      <c r="V180" s="713"/>
      <c r="W180" s="699"/>
      <c r="X180" s="31"/>
      <c r="Z180" s="37"/>
    </row>
    <row r="181" spans="1:26" s="30" customFormat="1" ht="18" customHeight="1">
      <c r="A181" s="743"/>
      <c r="B181" s="381"/>
      <c r="C181" s="673" t="s">
        <v>145</v>
      </c>
      <c r="D181" s="656"/>
      <c r="E181" s="744"/>
      <c r="F181" s="745"/>
      <c r="G181" s="745"/>
      <c r="H181" s="745"/>
      <c r="I181" s="118"/>
      <c r="J181" s="118"/>
      <c r="K181" s="31"/>
      <c r="L181" s="697"/>
      <c r="M181" s="697"/>
      <c r="N181" s="697"/>
      <c r="O181" s="697"/>
      <c r="P181" s="697"/>
      <c r="Q181" s="697"/>
      <c r="R181" s="697"/>
      <c r="S181" s="697"/>
      <c r="T181" s="697"/>
      <c r="U181" s="697"/>
      <c r="V181" s="713"/>
      <c r="W181" s="699"/>
      <c r="X181" s="31"/>
      <c r="Z181" s="37"/>
    </row>
    <row r="182" spans="1:26" s="30" customFormat="1" ht="18" customHeight="1">
      <c r="A182" s="743"/>
      <c r="B182" s="381"/>
      <c r="C182" s="673" t="s">
        <v>147</v>
      </c>
      <c r="D182" s="656"/>
      <c r="E182" s="744"/>
      <c r="F182" s="745"/>
      <c r="G182" s="745"/>
      <c r="H182" s="745"/>
      <c r="I182" s="118"/>
      <c r="J182" s="118"/>
      <c r="K182" s="31"/>
      <c r="L182" s="697"/>
      <c r="M182" s="697"/>
      <c r="N182" s="697"/>
      <c r="O182" s="697"/>
      <c r="P182" s="697"/>
      <c r="Q182" s="697"/>
      <c r="R182" s="697"/>
      <c r="S182" s="697"/>
      <c r="T182" s="697"/>
      <c r="U182" s="697"/>
      <c r="V182" s="713"/>
      <c r="W182" s="699"/>
      <c r="X182" s="31"/>
      <c r="Z182" s="37"/>
    </row>
    <row r="183" spans="1:26" ht="18" customHeight="1">
      <c r="B183" s="381"/>
      <c r="C183" s="749" t="s">
        <v>298</v>
      </c>
      <c r="D183" s="404"/>
      <c r="F183" s="31"/>
      <c r="G183" s="31"/>
      <c r="H183" s="31"/>
      <c r="I183" s="31"/>
      <c r="J183" s="31"/>
      <c r="K183" s="31"/>
      <c r="L183" s="697"/>
      <c r="M183" s="697"/>
      <c r="N183" s="697"/>
      <c r="O183" s="697"/>
      <c r="P183" s="697"/>
      <c r="Q183" s="697"/>
      <c r="R183" s="697"/>
      <c r="S183" s="697"/>
      <c r="T183" s="697"/>
      <c r="U183" s="697"/>
      <c r="V183" s="713"/>
      <c r="W183" s="31"/>
      <c r="X183" s="249"/>
    </row>
    <row r="184" spans="1:26" ht="18" customHeight="1">
      <c r="D184" s="30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W184" s="249"/>
      <c r="X184" s="249"/>
    </row>
    <row r="185" spans="1:26" ht="18" customHeight="1">
      <c r="D185" s="30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W185" s="249"/>
      <c r="X185" s="249"/>
    </row>
    <row r="186" spans="1:26" ht="18" customHeight="1">
      <c r="D186" s="30"/>
    </row>
  </sheetData>
  <protectedRanges>
    <protectedRange sqref="L168:U168 L175:U175 L81:U82 L88:U89 L95:U96 L98:U100 L107:N107 L114:N114 L138:U139 L141:U143 L148:N148 L151:N151 L154:N154 L111:N111 L110:U110" name="区域16"/>
    <protectedRange sqref="L44:U44" name="区域1_1"/>
  </protectedRanges>
  <mergeCells count="3">
    <mergeCell ref="F26:F27"/>
    <mergeCell ref="F65:F66"/>
    <mergeCell ref="F120:F121"/>
  </mergeCells>
  <phoneticPr fontId="140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32"/>
  <sheetViews>
    <sheetView showGridLines="0" workbookViewId="0">
      <selection activeCell="I5" sqref="I5"/>
    </sheetView>
  </sheetViews>
  <sheetFormatPr defaultColWidth="7.75" defaultRowHeight="17.25"/>
  <cols>
    <col min="1" max="1" width="3.75" style="96" customWidth="1"/>
    <col min="2" max="2" width="22.125" style="97" customWidth="1"/>
    <col min="3" max="8" width="13.25" style="96" customWidth="1"/>
    <col min="9" max="9" width="13.5" style="96" customWidth="1"/>
    <col min="10" max="10" width="11.75" style="96" customWidth="1"/>
    <col min="11" max="14" width="8.25" style="96" customWidth="1"/>
    <col min="15" max="16" width="8.25" style="206" customWidth="1"/>
    <col min="17" max="17" width="14.5" style="206" customWidth="1"/>
    <col min="18" max="22" width="7.625" style="206" customWidth="1"/>
    <col min="23" max="66" width="7.625" style="96" customWidth="1"/>
    <col min="67" max="70" width="9.125" style="96" customWidth="1"/>
    <col min="71" max="16384" width="7.75" style="96"/>
  </cols>
  <sheetData>
    <row r="1" spans="2:66" ht="18" customHeight="1">
      <c r="B1" s="627" t="str">
        <f>财务基础数据!C4</f>
        <v>XXXX</v>
      </c>
      <c r="C1" s="628" t="str">
        <f>财务基础数据!A4</f>
        <v>XXXX</v>
      </c>
      <c r="D1" s="629"/>
      <c r="G1" s="142" t="s">
        <v>301</v>
      </c>
      <c r="H1" s="630">
        <v>1</v>
      </c>
      <c r="I1" s="629"/>
      <c r="Q1" s="647"/>
    </row>
    <row r="2" spans="2:66" ht="15" customHeight="1">
      <c r="B2" s="631" t="s">
        <v>302</v>
      </c>
      <c r="C2" s="632"/>
      <c r="D2" s="632"/>
      <c r="E2" s="632"/>
      <c r="F2" s="632"/>
      <c r="G2" s="632"/>
      <c r="H2" s="632"/>
      <c r="K2" s="161"/>
      <c r="V2" s="648"/>
      <c r="W2" s="648"/>
      <c r="X2" s="648"/>
      <c r="Y2" s="648"/>
      <c r="Z2" s="648"/>
    </row>
    <row r="3" spans="2:66" ht="15" customHeight="1">
      <c r="B3" s="633" t="s">
        <v>303</v>
      </c>
      <c r="C3" s="634">
        <f>资产负债表!Y4</f>
        <v>2021</v>
      </c>
      <c r="D3" s="634">
        <f>资产负债表!AC4</f>
        <v>2022</v>
      </c>
      <c r="E3" s="634">
        <f>资产负债表!AG4</f>
        <v>2023</v>
      </c>
      <c r="F3" s="635" t="str">
        <f>资产负债表!AK4</f>
        <v>2024E</v>
      </c>
      <c r="G3" s="635" t="str">
        <f>资产负债表!AL4&amp;"E"</f>
        <v>2025E</v>
      </c>
      <c r="H3" s="635" t="str">
        <f>资产负债表!AM4&amp;"E"</f>
        <v>2026E</v>
      </c>
    </row>
    <row r="4" spans="2:66" ht="15" customHeight="1">
      <c r="B4" s="636" t="str">
        <f>"股本（"&amp;目录!$D$8&amp;"）"</f>
        <v>股本（百万）</v>
      </c>
      <c r="C4" s="118">
        <f>IF(ISERROR(财务基础数据!AD290*目录!D6),目录!F7*1000000*目录!D6,财务基础数据!AD290*目录!D6)</f>
        <v>0</v>
      </c>
      <c r="D4" s="118">
        <f>IF(ISERROR(财务基础数据!AH290*目录!D6),目录!F7*1000000*目录!D6,财务基础数据!AH290*目录!D6)</f>
        <v>0</v>
      </c>
      <c r="E4" s="118">
        <f>IF(ISERROR(财务基础数据!AL290*目录!D6),目录!F7*1000000*目录!D6,财务基础数据!AL290*目录!D6)</f>
        <v>0</v>
      </c>
      <c r="F4" s="118" t="str">
        <f>IF(ISERROR(目录!F7*1000000*目录!D6),"—",目录!F7*1000000*目录!D6)</f>
        <v>—</v>
      </c>
      <c r="G4" s="118" t="str">
        <f>F4</f>
        <v>—</v>
      </c>
      <c r="H4" s="118" t="str">
        <f>G4</f>
        <v>—</v>
      </c>
      <c r="I4" s="644"/>
      <c r="O4" s="96"/>
      <c r="P4" s="96"/>
    </row>
    <row r="5" spans="2:66" ht="15" customHeight="1">
      <c r="B5" s="636" t="s">
        <v>304</v>
      </c>
      <c r="C5" s="630"/>
      <c r="D5" s="630"/>
      <c r="E5" s="630"/>
      <c r="F5" s="637" t="str">
        <f>目录!F6</f>
        <v>XXXX</v>
      </c>
      <c r="G5" s="637" t="str">
        <f>F5</f>
        <v>XXXX</v>
      </c>
      <c r="H5" s="637" t="str">
        <f>G5</f>
        <v>XXXX</v>
      </c>
      <c r="I5" s="387"/>
      <c r="O5" s="96"/>
      <c r="P5" s="96"/>
    </row>
    <row r="6" spans="2:66" ht="15" customHeight="1">
      <c r="B6" s="525" t="s">
        <v>305</v>
      </c>
      <c r="C6" s="638" t="str">
        <f>IF(ISERROR(((C4*C5)+资产负债表!$Y$103-资产负债表!$Y$8)/利润表!Y42),"—",((C4*C5)+资产负债表!$Y$103-资产负债表!$Y$8)/利润表!Y42)</f>
        <v>—</v>
      </c>
      <c r="D6" s="638" t="str">
        <f>IF(ISERROR(((D4*D5)+资产负债表!$AC$103-资产负债表!$AC$8)/利润表!AC42),"—",((D4*D5)+资产负债表!$AC$103-资产负债表!$AC$8)/利润表!AC42)</f>
        <v>—</v>
      </c>
      <c r="E6" s="638" t="str">
        <f>IF(ISERROR(((E4*E5)+资产负债表!$AG$103-资产负债表!$AG$8)/利润表!AG42),"—",((E4*E5)+资产负债表!$AG$103-资产负债表!$AG$8)/利润表!AG42)</f>
        <v>—</v>
      </c>
      <c r="F6" s="638" t="str">
        <f>IF(ISERROR(((F4*F5)+资产负债表!$AK$103-资产负债表!$AK$8)/利润表!AK42),"—",((F4*F5)+资产负债表!$AK$103-资产负债表!$AK$8)/利润表!AK42)</f>
        <v>—</v>
      </c>
      <c r="G6" s="638" t="str">
        <f>IF(ISERROR(((G4*G5)+资产负债表!$AL$103-资产负债表!$AL$8)/利润表!AL42),"—",((G4*G5)+资产负债表!$AL$103-资产负债表!$AL$8)/利润表!AL42)</f>
        <v>—</v>
      </c>
      <c r="H6" s="638" t="str">
        <f>IF(ISERROR(((H4*H5)+资产负债表!$AM$103-资产负债表!$AM$8)/利润表!AM42),"—",((H4*H5)+资产负债表!$AM$103-资产负债表!$AM$8)/利润表!AM42)</f>
        <v>—</v>
      </c>
      <c r="I6" s="387"/>
      <c r="O6" s="96"/>
      <c r="P6" s="96"/>
    </row>
    <row r="7" spans="2:66" ht="15" customHeight="1">
      <c r="B7" s="514" t="s">
        <v>306</v>
      </c>
      <c r="C7" s="638" t="str">
        <f>IF(ISERROR(((C4*C5)+资产负债表!$Y$103-资产负债表!$Y$8)/利润表!Y8),"—",((C4*C5)+资产负债表!$Y$103-资产负债表!$Y$8)/利润表!Y8)</f>
        <v>—</v>
      </c>
      <c r="D7" s="638" t="str">
        <f>IF(ISERROR(((D4*D5)+资产负债表!$AC$103-资产负债表!$AC$8)/利润表!AC8),"—",((D4*D5)+资产负债表!$AC$103-资产负债表!$AC$8)/利润表!AC8)</f>
        <v>—</v>
      </c>
      <c r="E7" s="638" t="str">
        <f>IF(ISERROR(((E4*E5)+资产负债表!$AG$103-资产负债表!$AG$8)/利润表!AG8),"—",((E4*E5)+资产负债表!$AG$103-资产负债表!$AG$8)/利润表!AG8)</f>
        <v>—</v>
      </c>
      <c r="F7" s="638" t="str">
        <f>IF(ISERROR(((F4*F5)+资产负债表!$AK$103-资产负债表!$AK$8)/利润表!AK8),"—",((F4*F5)+资产负债表!$AK$103-资产负债表!$AK$8)/利润表!AK8)</f>
        <v>—</v>
      </c>
      <c r="G7" s="638" t="str">
        <f>IF(ISERROR(((G4*G5)+资产负债表!$AL$103-资产负债表!$AL$8)/利润表!AL8),"—",((G4*G5)+资产负债表!$AL$103-资产负债表!$AL$8)/利润表!AL8)</f>
        <v>—</v>
      </c>
      <c r="H7" s="638" t="str">
        <f>IF(ISERROR(((H4*H5)+资产负债表!$AM$103-资产负债表!$AM$8)/利润表!AM8),"—",((H4*H5)+资产负债表!$AM$103-资产负债表!$AM$8)/利润表!AM8)</f>
        <v>—</v>
      </c>
      <c r="I7" s="387"/>
      <c r="O7" s="96"/>
      <c r="P7" s="96"/>
    </row>
    <row r="8" spans="2:66" ht="15" customHeight="1">
      <c r="B8" s="514" t="s">
        <v>307</v>
      </c>
      <c r="C8" s="639" t="str">
        <f>利润表!Y7</f>
        <v>—</v>
      </c>
      <c r="D8" s="639" t="str">
        <f>利润表!AC7</f>
        <v>—</v>
      </c>
      <c r="E8" s="639" t="str">
        <f>利润表!AG7</f>
        <v>—</v>
      </c>
      <c r="F8" s="639" t="str">
        <f>利润表!AK7</f>
        <v>—</v>
      </c>
      <c r="G8" s="639" t="str">
        <f>利润表!AL7</f>
        <v>—</v>
      </c>
      <c r="H8" s="639" t="str">
        <f>利润表!AM7</f>
        <v>—</v>
      </c>
      <c r="I8" s="387"/>
      <c r="O8" s="96"/>
      <c r="P8" s="96"/>
    </row>
    <row r="9" spans="2:66" ht="15" customHeight="1">
      <c r="B9" s="514" t="s">
        <v>308</v>
      </c>
      <c r="C9" s="639" t="str">
        <f>利润表!Y96</f>
        <v>—</v>
      </c>
      <c r="D9" s="639" t="str">
        <f>利润表!AC96</f>
        <v>—</v>
      </c>
      <c r="E9" s="639" t="str">
        <f>利润表!AG96</f>
        <v>—</v>
      </c>
      <c r="F9" s="639" t="str">
        <f>利润表!AK96</f>
        <v>—</v>
      </c>
      <c r="G9" s="639" t="str">
        <f>利润表!AL96</f>
        <v>—</v>
      </c>
      <c r="H9" s="639" t="str">
        <f>利润表!AM96</f>
        <v>—</v>
      </c>
      <c r="I9" s="641"/>
      <c r="P9" s="96"/>
      <c r="Q9" s="96"/>
      <c r="R9" s="649"/>
      <c r="S9" s="649"/>
      <c r="T9" s="649"/>
      <c r="U9" s="649"/>
      <c r="V9" s="649"/>
      <c r="W9" s="649"/>
      <c r="X9" s="649"/>
      <c r="Y9" s="649"/>
      <c r="Z9" s="649"/>
      <c r="AA9" s="649"/>
      <c r="AB9" s="649"/>
      <c r="AC9" s="649"/>
      <c r="AD9" s="652"/>
      <c r="AE9" s="652"/>
      <c r="AF9" s="652"/>
      <c r="AG9" s="652"/>
      <c r="AH9" s="652"/>
      <c r="AI9" s="652"/>
      <c r="AJ9" s="652"/>
      <c r="AK9" s="652"/>
      <c r="AL9" s="652"/>
      <c r="AM9" s="652"/>
      <c r="AN9" s="652"/>
      <c r="AO9" s="652"/>
      <c r="AP9" s="652"/>
      <c r="AQ9" s="652"/>
      <c r="AR9" s="652"/>
      <c r="AS9" s="652"/>
      <c r="AT9" s="652"/>
      <c r="AU9" s="652"/>
      <c r="AV9" s="652"/>
      <c r="AW9" s="652"/>
      <c r="AX9" s="652"/>
      <c r="AY9" s="652"/>
      <c r="AZ9" s="652"/>
      <c r="BA9" s="652"/>
      <c r="BB9" s="652"/>
      <c r="BC9" s="652"/>
      <c r="BD9" s="652"/>
      <c r="BE9" s="652"/>
      <c r="BF9" s="652"/>
      <c r="BG9" s="652"/>
      <c r="BH9" s="652"/>
      <c r="BI9" s="652"/>
      <c r="BJ9" s="652"/>
      <c r="BK9" s="652"/>
      <c r="BL9" s="652"/>
      <c r="BM9" s="652"/>
      <c r="BN9" s="652"/>
    </row>
    <row r="10" spans="2:66" ht="15" customHeight="1">
      <c r="B10" s="514" t="s">
        <v>309</v>
      </c>
      <c r="C10" s="640" t="str">
        <f>财务分析!E5</f>
        <v>—</v>
      </c>
      <c r="D10" s="640" t="str">
        <f>财务分析!F5</f>
        <v>—</v>
      </c>
      <c r="E10" s="640" t="str">
        <f>财务分析!G5</f>
        <v>—</v>
      </c>
      <c r="F10" s="640" t="str">
        <f>财务分析!H5</f>
        <v>—</v>
      </c>
      <c r="G10" s="640" t="str">
        <f>财务分析!I5</f>
        <v>—</v>
      </c>
      <c r="H10" s="640" t="str">
        <f>财务分析!J5</f>
        <v>—</v>
      </c>
      <c r="I10" s="387"/>
      <c r="O10" s="96"/>
      <c r="P10" s="96"/>
      <c r="Q10" s="557"/>
    </row>
    <row r="11" spans="2:66" ht="15" customHeight="1">
      <c r="B11" s="514" t="s">
        <v>310</v>
      </c>
      <c r="C11" s="640" t="str">
        <f>财务分析!E7</f>
        <v>—</v>
      </c>
      <c r="D11" s="640" t="str">
        <f>财务分析!F7</f>
        <v>—</v>
      </c>
      <c r="E11" s="640" t="str">
        <f>财务分析!G7</f>
        <v>—</v>
      </c>
      <c r="F11" s="640" t="str">
        <f>财务分析!H7</f>
        <v>—</v>
      </c>
      <c r="G11" s="640" t="str">
        <f>财务分析!I7</f>
        <v>—</v>
      </c>
      <c r="H11" s="640" t="str">
        <f>财务分析!J7</f>
        <v>—</v>
      </c>
      <c r="I11" s="387"/>
      <c r="O11" s="96"/>
      <c r="P11" s="96"/>
    </row>
    <row r="12" spans="2:66" ht="15" customHeight="1">
      <c r="C12" s="188"/>
      <c r="D12" s="188"/>
      <c r="E12" s="188"/>
      <c r="F12" s="641"/>
      <c r="G12" s="188"/>
      <c r="H12" s="188"/>
      <c r="I12" s="387"/>
      <c r="O12" s="96"/>
      <c r="P12" s="96"/>
    </row>
    <row r="13" spans="2:66" ht="15" customHeight="1">
      <c r="B13" s="631" t="s">
        <v>311</v>
      </c>
      <c r="C13" s="632"/>
      <c r="D13" s="632"/>
      <c r="E13" s="632"/>
      <c r="F13" s="632"/>
      <c r="G13" s="632"/>
      <c r="H13" s="632"/>
      <c r="I13" s="387"/>
      <c r="O13" s="96"/>
      <c r="P13" s="96"/>
    </row>
    <row r="14" spans="2:66" ht="15" customHeight="1">
      <c r="B14" s="525" t="s">
        <v>312</v>
      </c>
      <c r="C14" s="118">
        <f>IF(ISERROR(财务基础数据!AD41),"—",财务基础数据!AD41)</f>
        <v>0</v>
      </c>
      <c r="D14" s="118">
        <f>IF(ISERROR(财务基础数据!AH41),"—",财务基础数据!AH41)</f>
        <v>0</v>
      </c>
      <c r="E14" s="118">
        <f>IF(ISERROR(财务基础数据!AL41),"—",财务基础数据!AL41)</f>
        <v>0</v>
      </c>
      <c r="F14" s="118" t="str">
        <f>IF(ISERROR(利润表!AK94/F4),"—",利润表!AK94/F4)</f>
        <v>—</v>
      </c>
      <c r="G14" s="118" t="str">
        <f>IF(ISERROR(利润表!AL94/G4),"—",利润表!AL94/G4)</f>
        <v>—</v>
      </c>
      <c r="H14" s="118" t="str">
        <f>IF(ISERROR(利润表!AM94/H4),"—",利润表!AM94/H4)</f>
        <v>—</v>
      </c>
      <c r="O14" s="645"/>
      <c r="P14" s="96"/>
      <c r="Q14" s="96"/>
      <c r="R14" s="649"/>
      <c r="S14" s="649"/>
      <c r="T14" s="649"/>
      <c r="U14" s="649"/>
      <c r="V14" s="649"/>
      <c r="W14" s="649"/>
      <c r="X14" s="649"/>
      <c r="Y14" s="649"/>
      <c r="Z14" s="649"/>
      <c r="AA14" s="649"/>
      <c r="AB14" s="649"/>
      <c r="AC14" s="649"/>
      <c r="AD14" s="652"/>
      <c r="AE14" s="652"/>
      <c r="AF14" s="652"/>
      <c r="AG14" s="652"/>
      <c r="AH14" s="652"/>
      <c r="AI14" s="652"/>
      <c r="AJ14" s="652"/>
      <c r="AK14" s="652"/>
      <c r="AL14" s="652"/>
      <c r="AM14" s="652"/>
      <c r="AN14" s="652"/>
      <c r="AO14" s="652"/>
      <c r="AP14" s="652"/>
      <c r="AQ14" s="652"/>
      <c r="AR14" s="652"/>
      <c r="AS14" s="652"/>
      <c r="AT14" s="652"/>
      <c r="AU14" s="652"/>
      <c r="AV14" s="652"/>
      <c r="AW14" s="652"/>
      <c r="AX14" s="652"/>
      <c r="AY14" s="652"/>
      <c r="AZ14" s="652"/>
      <c r="BA14" s="652"/>
      <c r="BB14" s="652"/>
      <c r="BC14" s="652"/>
      <c r="BD14" s="652"/>
      <c r="BE14" s="652"/>
      <c r="BF14" s="652"/>
      <c r="BG14" s="652"/>
      <c r="BH14" s="652"/>
      <c r="BI14" s="652"/>
      <c r="BJ14" s="652"/>
      <c r="BK14" s="652"/>
      <c r="BL14" s="652"/>
      <c r="BM14" s="652"/>
      <c r="BN14" s="652"/>
    </row>
    <row r="15" spans="2:66" ht="15" customHeight="1">
      <c r="B15" s="525" t="s">
        <v>313</v>
      </c>
      <c r="C15" s="118" t="str">
        <f>IF(ISERROR(资产负债表!Y89/C4),"—",资产负债表!Y89/C4)</f>
        <v>—</v>
      </c>
      <c r="D15" s="118" t="str">
        <f>IF(ISERROR(资产负债表!AC89/D4),"—",资产负债表!AC89/D4)</f>
        <v>—</v>
      </c>
      <c r="E15" s="118" t="str">
        <f>IF(ISERROR(资产负债表!AG89/E4),"—",资产负债表!AG89/E4)</f>
        <v>—</v>
      </c>
      <c r="F15" s="118" t="str">
        <f>IF(ISERROR(资产负债表!AK89/F4),"—",资产负债表!AK89/F4)</f>
        <v>—</v>
      </c>
      <c r="G15" s="118" t="str">
        <f>IF(ISERROR(资产负债表!AL89/G4),"—",资产负债表!AL89/G4)</f>
        <v>—</v>
      </c>
      <c r="H15" s="118" t="str">
        <f>IF(ISERROR(资产负债表!AM89/H4),"—",资产负债表!AM89/H4)</f>
        <v>—</v>
      </c>
      <c r="I15" s="646"/>
      <c r="O15" s="96"/>
      <c r="Q15" s="557"/>
      <c r="R15" s="650"/>
      <c r="S15" s="650"/>
      <c r="T15" s="650"/>
      <c r="U15" s="650"/>
      <c r="V15" s="650"/>
    </row>
    <row r="16" spans="2:66" ht="15" customHeight="1">
      <c r="B16" s="525" t="s">
        <v>314</v>
      </c>
      <c r="C16" s="9" t="str">
        <f>IF(OR(ISERROR(C5/C14*$H$1),C14&lt;0),"—",C5/C14*$H$1)</f>
        <v>—</v>
      </c>
      <c r="D16" s="9" t="str">
        <f t="shared" ref="D16:H16" si="0">IF(OR(ISERROR(D5/D14*$H$1),D14&lt;0),"—",D5/D14*$H$1)</f>
        <v>—</v>
      </c>
      <c r="E16" s="9" t="str">
        <f t="shared" si="0"/>
        <v>—</v>
      </c>
      <c r="F16" s="9" t="str">
        <f t="shared" si="0"/>
        <v>—</v>
      </c>
      <c r="G16" s="9" t="str">
        <f t="shared" si="0"/>
        <v>—</v>
      </c>
      <c r="H16" s="9" t="str">
        <f t="shared" si="0"/>
        <v>—</v>
      </c>
      <c r="I16" s="387"/>
      <c r="O16" s="96"/>
      <c r="P16" s="96"/>
      <c r="Q16" s="557"/>
      <c r="R16" s="651"/>
      <c r="S16" s="651"/>
      <c r="T16" s="651"/>
      <c r="U16" s="651"/>
      <c r="V16" s="202"/>
    </row>
    <row r="17" spans="1:66" ht="15" customHeight="1">
      <c r="B17" s="525" t="s">
        <v>315</v>
      </c>
      <c r="C17" s="118" t="str">
        <f t="shared" ref="C17:H17" si="1">IF(ISERROR(C5/C15*$H$1),"—",C5/C15*$H$1)</f>
        <v>—</v>
      </c>
      <c r="D17" s="118" t="str">
        <f t="shared" si="1"/>
        <v>—</v>
      </c>
      <c r="E17" s="118" t="str">
        <f t="shared" si="1"/>
        <v>—</v>
      </c>
      <c r="F17" s="118" t="str">
        <f t="shared" si="1"/>
        <v>—</v>
      </c>
      <c r="G17" s="118" t="str">
        <f t="shared" si="1"/>
        <v>—</v>
      </c>
      <c r="H17" s="118" t="str">
        <f t="shared" si="1"/>
        <v>—</v>
      </c>
      <c r="I17" s="646"/>
      <c r="O17" s="96"/>
      <c r="P17" s="96"/>
    </row>
    <row r="18" spans="1:66" ht="15" customHeight="1">
      <c r="B18" s="525" t="s">
        <v>316</v>
      </c>
      <c r="C18" s="118" t="str">
        <f t="shared" ref="C18:H18" si="2">IF(OR(ISERROR(C16/(C9*100)),C9&lt;0),"—",C16/(C9*100))</f>
        <v>—</v>
      </c>
      <c r="D18" s="118" t="str">
        <f t="shared" si="2"/>
        <v>—</v>
      </c>
      <c r="E18" s="118" t="str">
        <f t="shared" si="2"/>
        <v>—</v>
      </c>
      <c r="F18" s="118" t="str">
        <f t="shared" si="2"/>
        <v>—</v>
      </c>
      <c r="G18" s="118" t="str">
        <f t="shared" si="2"/>
        <v>—</v>
      </c>
      <c r="H18" s="118" t="str">
        <f t="shared" si="2"/>
        <v>—</v>
      </c>
      <c r="I18" s="387"/>
      <c r="O18" s="96"/>
      <c r="P18" s="96"/>
      <c r="R18" s="188"/>
      <c r="S18" s="188"/>
      <c r="T18" s="188"/>
    </row>
    <row r="19" spans="1:66" ht="15" customHeight="1">
      <c r="B19" s="525" t="s">
        <v>317</v>
      </c>
      <c r="C19" s="118" t="str">
        <f>IF(ISERROR(现金流量表!Y36/C4),"—",现金流量表!Y36/C4)</f>
        <v>—</v>
      </c>
      <c r="D19" s="118" t="str">
        <f>IF(ISERROR(现金流量表!AC36/D4),"—",现金流量表!AC36/D4)</f>
        <v>—</v>
      </c>
      <c r="E19" s="118" t="str">
        <f>IF(ISERROR(现金流量表!AG36/E4),"—",现金流量表!AG36/E4)</f>
        <v>—</v>
      </c>
      <c r="F19" s="118" t="str">
        <f>IF(ISERROR(现金流量表!AK36/F4),"—",现金流量表!AK36/F4)</f>
        <v>—</v>
      </c>
      <c r="G19" s="118" t="str">
        <f>IF(ISERROR(现金流量表!AL36/G4),"—",现金流量表!AL36/G4)</f>
        <v>—</v>
      </c>
      <c r="H19" s="118" t="str">
        <f>IF(ISERROR(现金流量表!AM36/H4),"—",现金流量表!AM36/H4)</f>
        <v>—</v>
      </c>
      <c r="I19" s="387"/>
      <c r="O19" s="96"/>
      <c r="P19" s="96"/>
    </row>
    <row r="20" spans="1:66" ht="15" customHeight="1">
      <c r="B20" s="525" t="s">
        <v>318</v>
      </c>
      <c r="C20" s="118" t="str">
        <f>IF(ISERROR(C4*C5/利润表!Y8*$H$1),"—",C4*C5/利润表!Y8*$H$1)</f>
        <v>—</v>
      </c>
      <c r="D20" s="118" t="str">
        <f>IF(ISERROR(D4*D5/利润表!AC8*$H$1),"—",D4*D5/利润表!AC8*$H$1)</f>
        <v>—</v>
      </c>
      <c r="E20" s="118" t="str">
        <f>IF(ISERROR(E4*E5/利润表!AG8*$H$1),"—",E4*E5/利润表!AG8*$H$1)</f>
        <v>—</v>
      </c>
      <c r="F20" s="118" t="str">
        <f>IF(ISERROR(F4*F5/利润表!AK8*$H$1),"—",F4*F5/利润表!AK8*$H$1)</f>
        <v>—</v>
      </c>
      <c r="G20" s="118" t="str">
        <f>IF(ISERROR(G4*G5/利润表!AL8*$H$1),"—",G4*G5/利润表!AL8*$H$1)</f>
        <v>—</v>
      </c>
      <c r="H20" s="118" t="str">
        <f>IF(ISERROR(H4*H5/利润表!AM8*$H$1),"—",H4*H5/利润表!AM8*$H$1)</f>
        <v>—</v>
      </c>
      <c r="I20" s="387"/>
      <c r="O20" s="96"/>
      <c r="P20" s="96"/>
    </row>
    <row r="21" spans="1:66" ht="15" customHeight="1">
      <c r="B21" s="525"/>
      <c r="C21" s="118"/>
      <c r="D21" s="118"/>
      <c r="E21" s="118"/>
      <c r="F21" s="118"/>
      <c r="G21" s="118"/>
      <c r="H21" s="118"/>
      <c r="I21" s="387"/>
      <c r="O21" s="96"/>
      <c r="P21" s="96"/>
    </row>
    <row r="22" spans="1:66" ht="15" customHeight="1">
      <c r="B22" s="631" t="s">
        <v>319</v>
      </c>
      <c r="C22" s="642"/>
      <c r="D22" s="642"/>
      <c r="E22" s="642"/>
      <c r="F22" s="642"/>
      <c r="G22" s="642"/>
      <c r="H22" s="642"/>
      <c r="I22" s="36"/>
      <c r="O22" s="96"/>
      <c r="P22" s="96"/>
    </row>
    <row r="23" spans="1:66" ht="15" customHeight="1">
      <c r="B23" s="525" t="s">
        <v>312</v>
      </c>
      <c r="C23" s="118" t="str">
        <f>IF(ISERROR(利润表!Y94/F4),"—",利润表!Y94/F4)</f>
        <v>—</v>
      </c>
      <c r="D23" s="118" t="str">
        <f>IF(ISERROR(利润表!AC94/F4),"—",利润表!AC94/F4)</f>
        <v>—</v>
      </c>
      <c r="E23" s="118" t="str">
        <f>IF(ISERROR(利润表!AG94/F4),"—",利润表!AG94/F4)</f>
        <v>—</v>
      </c>
      <c r="F23" s="118" t="str">
        <f>IF(ISERROR(利润表!AK94/F4),"—",利润表!AK94/F4)</f>
        <v>—</v>
      </c>
      <c r="G23" s="118" t="str">
        <f>IF(ISERROR(利润表!AL94/G4),"—",利润表!AL94/G4)</f>
        <v>—</v>
      </c>
      <c r="H23" s="118" t="str">
        <f>IF(ISERROR(利润表!AM94/H4),"—",利润表!AM94/H4)</f>
        <v>—</v>
      </c>
      <c r="O23" s="645"/>
      <c r="P23" s="96"/>
      <c r="Q23" s="96"/>
      <c r="R23" s="649"/>
      <c r="S23" s="649"/>
      <c r="T23" s="649"/>
      <c r="U23" s="649"/>
      <c r="V23" s="649"/>
      <c r="W23" s="649"/>
      <c r="X23" s="649"/>
      <c r="Y23" s="649"/>
      <c r="Z23" s="649"/>
      <c r="AA23" s="649"/>
      <c r="AB23" s="649"/>
      <c r="AC23" s="649"/>
      <c r="AD23" s="652"/>
      <c r="AE23" s="652"/>
      <c r="AF23" s="652"/>
      <c r="AG23" s="652"/>
      <c r="AH23" s="652"/>
      <c r="AI23" s="652"/>
      <c r="AJ23" s="652"/>
      <c r="AK23" s="652"/>
      <c r="AL23" s="652"/>
      <c r="AM23" s="652"/>
      <c r="AN23" s="652"/>
      <c r="AO23" s="652"/>
      <c r="AP23" s="652"/>
      <c r="AQ23" s="652"/>
      <c r="AR23" s="652"/>
      <c r="AS23" s="652"/>
      <c r="AT23" s="652"/>
      <c r="AU23" s="652"/>
      <c r="AV23" s="652"/>
      <c r="AW23" s="652"/>
      <c r="AX23" s="652"/>
      <c r="AY23" s="652"/>
      <c r="AZ23" s="652"/>
      <c r="BA23" s="652"/>
      <c r="BB23" s="652"/>
      <c r="BC23" s="652"/>
      <c r="BD23" s="652"/>
      <c r="BE23" s="652"/>
      <c r="BF23" s="652"/>
      <c r="BG23" s="652"/>
      <c r="BH23" s="652"/>
      <c r="BI23" s="652"/>
      <c r="BJ23" s="652"/>
      <c r="BK23" s="652"/>
      <c r="BL23" s="652"/>
      <c r="BM23" s="652"/>
      <c r="BN23" s="652"/>
    </row>
    <row r="24" spans="1:66" ht="15" customHeight="1">
      <c r="B24" s="525" t="s">
        <v>313</v>
      </c>
      <c r="C24" s="118" t="str">
        <f>IF(ISERROR(资产负债表!Y89/F4),"—",资产负债表!Y89/F4)</f>
        <v>—</v>
      </c>
      <c r="D24" s="118" t="str">
        <f>IF(ISERROR(资产负债表!AC89/F4),"—",资产负债表!AC89/F4)</f>
        <v>—</v>
      </c>
      <c r="E24" s="118" t="str">
        <f>IF(ISERROR(资产负债表!AG89/F4),"—",资产负债表!AG89/F4)</f>
        <v>—</v>
      </c>
      <c r="F24" s="118" t="str">
        <f>IF(ISERROR(资产负债表!AK89/F4),"—",资产负债表!AK89/F4)</f>
        <v>—</v>
      </c>
      <c r="G24" s="118" t="str">
        <f>IF(ISERROR(资产负债表!AL89/G4),"—",资产负债表!AL89/G4)</f>
        <v>—</v>
      </c>
      <c r="H24" s="118" t="str">
        <f>IF(ISERROR(资产负债表!AM89/H4),"—",资产负债表!AM89/H4)</f>
        <v>—</v>
      </c>
      <c r="I24" s="646"/>
      <c r="O24" s="96"/>
      <c r="Q24" s="557"/>
      <c r="R24" s="650"/>
      <c r="S24" s="650"/>
      <c r="T24" s="650"/>
      <c r="U24" s="650"/>
      <c r="V24" s="650"/>
    </row>
    <row r="25" spans="1:66" ht="15" customHeight="1">
      <c r="B25" s="525" t="s">
        <v>314</v>
      </c>
      <c r="C25" s="9" t="str">
        <f>IF(OR(ISERROR(目录!$F$6/C23*$H$1),C23&lt;0),"—",目录!$F$6/C23*$H$1)</f>
        <v>—</v>
      </c>
      <c r="D25" s="9" t="str">
        <f>IF(OR(ISERROR(目录!$F$6/D23*$H$1),D23&lt;0),"—",目录!$F$6/D23*$H$1)</f>
        <v>—</v>
      </c>
      <c r="E25" s="9" t="str">
        <f>IF(OR(ISERROR(目录!$F$6/E23*$H$1),E23&lt;0),"—",目录!$F$6/E23*$H$1)</f>
        <v>—</v>
      </c>
      <c r="F25" s="9" t="str">
        <f>IF(OR(ISERROR(目录!$F$6/F23*$H$1),F23&lt;0),"—",目录!$F$6/F23*$H$1)</f>
        <v>—</v>
      </c>
      <c r="G25" s="9" t="str">
        <f>IF(OR(ISERROR(目录!$F$6/G23*$H$1),G23&lt;0),"—",目录!$F$6/G23*$H$1)</f>
        <v>—</v>
      </c>
      <c r="H25" s="9" t="str">
        <f>IF(OR(ISERROR(目录!$F$6/H23*$H$1),H23&lt;0),"—",目录!$F$6/H23*$H$1)</f>
        <v>—</v>
      </c>
      <c r="I25" s="37"/>
      <c r="O25" s="96"/>
      <c r="P25" s="96"/>
      <c r="Q25" s="557"/>
      <c r="R25" s="651"/>
      <c r="S25" s="651"/>
      <c r="T25" s="651"/>
      <c r="U25" s="651"/>
      <c r="V25" s="202"/>
    </row>
    <row r="26" spans="1:66" ht="15" customHeight="1">
      <c r="B26" s="525" t="s">
        <v>315</v>
      </c>
      <c r="C26" s="9" t="str">
        <f>IF(ISERROR(目录!$F$6/C24*$H$1),"—",目录!$F$6/C24*$H$1)</f>
        <v>—</v>
      </c>
      <c r="D26" s="9" t="str">
        <f>IF(ISERROR(目录!$F$6/D24*$H$1),"—",目录!$F$6/D24*$H$1)</f>
        <v>—</v>
      </c>
      <c r="E26" s="9" t="str">
        <f>IF(ISERROR(目录!$F$6/E24*$H$1),"—",目录!$F$6/E24*$H$1)</f>
        <v>—</v>
      </c>
      <c r="F26" s="9" t="str">
        <f>IF(ISERROR(目录!$F$6/F24*$H$1),"—",目录!$F$6/F24*$H$1)</f>
        <v>—</v>
      </c>
      <c r="G26" s="9" t="str">
        <f>IF(ISERROR(目录!$F$6/G24*$H$1),"—",目录!$F$6/G24*$H$1)</f>
        <v>—</v>
      </c>
      <c r="H26" s="9" t="str">
        <f>IF(ISERROR(目录!$F$6/H24*$H$1),"—",目录!$F$6/H24*$H$1)</f>
        <v>—</v>
      </c>
      <c r="I26" s="36"/>
      <c r="O26" s="96"/>
      <c r="P26" s="96"/>
    </row>
    <row r="27" spans="1:66" ht="15" customHeight="1">
      <c r="B27" s="525" t="s">
        <v>316</v>
      </c>
      <c r="C27" s="118" t="str">
        <f t="shared" ref="C27:H27" si="3">IF(OR(ISERROR(C25/(C9*100)),C9&lt;0),"—",C25/(C9*100))</f>
        <v>—</v>
      </c>
      <c r="D27" s="118" t="str">
        <f t="shared" si="3"/>
        <v>—</v>
      </c>
      <c r="E27" s="118" t="str">
        <f t="shared" si="3"/>
        <v>—</v>
      </c>
      <c r="F27" s="118" t="str">
        <f t="shared" si="3"/>
        <v>—</v>
      </c>
      <c r="G27" s="118" t="str">
        <f t="shared" si="3"/>
        <v>—</v>
      </c>
      <c r="H27" s="118" t="str">
        <f t="shared" si="3"/>
        <v>—</v>
      </c>
      <c r="I27" s="37"/>
      <c r="O27" s="96"/>
      <c r="P27" s="96"/>
      <c r="R27" s="188"/>
      <c r="S27" s="188"/>
      <c r="T27" s="188"/>
    </row>
    <row r="28" spans="1:66" ht="15" customHeight="1">
      <c r="B28" s="525" t="s">
        <v>317</v>
      </c>
      <c r="C28" s="118" t="str">
        <f>IF(ISERROR(现金流量表!Y36/F4),"—",现金流量表!Y36/F4)</f>
        <v>—</v>
      </c>
      <c r="D28" s="118" t="str">
        <f>IF(ISERROR(现金流量表!AC36/F4),"—",现金流量表!AC36/F4)</f>
        <v>—</v>
      </c>
      <c r="E28" s="118" t="str">
        <f>IF(ISERROR(现金流量表!AG36/F4),"—",现金流量表!AG36/F4)</f>
        <v>—</v>
      </c>
      <c r="F28" s="118" t="str">
        <f>IF(ISERROR(现金流量表!AK36/F4),"—",现金流量表!AK36/F4)</f>
        <v>—</v>
      </c>
      <c r="G28" s="118" t="str">
        <f>IF(ISERROR(现金流量表!AL36/G4),"—",现金流量表!AL36/G4)</f>
        <v>—</v>
      </c>
      <c r="H28" s="118" t="str">
        <f>IF(ISERROR(现金流量表!AM36/H4),"—",现金流量表!AM36/H4)</f>
        <v>—</v>
      </c>
      <c r="I28" s="37"/>
      <c r="O28" s="96"/>
      <c r="P28" s="96"/>
    </row>
    <row r="29" spans="1:66" ht="15" customHeight="1">
      <c r="B29" s="525" t="s">
        <v>318</v>
      </c>
      <c r="C29" s="118" t="str">
        <f>IF(ISERROR($F$4*$F$5/利润表!Y8*$H$1),"—",$F$4*$F$5/利润表!Y8*$H$1)</f>
        <v>—</v>
      </c>
      <c r="D29" s="118" t="str">
        <f>IF(ISERROR($F$4*$F$5/利润表!AC8*$H$1),"—",$F$4*$F$5/利润表!AC8*$H$1)</f>
        <v>—</v>
      </c>
      <c r="E29" s="118" t="str">
        <f>IF(ISERROR($F$4*$F$5/利润表!AG8*$H$1),"—",$F$4*$F$5/利润表!AG8*$H$1)</f>
        <v>—</v>
      </c>
      <c r="F29" s="118" t="str">
        <f>IF(ISERROR($F$4*$F$5/利润表!AK8*$H$1),"—",$F$4*$F$5/利润表!AK8*$H$1)</f>
        <v>—</v>
      </c>
      <c r="G29" s="118" t="str">
        <f>IF(ISERROR($F$4*$F$5/利润表!AL8*$H$1),"—",$F$4*$F$5/利润表!AL8*$H$1)</f>
        <v>—</v>
      </c>
      <c r="H29" s="118" t="str">
        <f>IF(ISERROR($F$4*$F$5/利润表!AM8*$H$1),"—",$F$4*$F$5/利润表!AM8*$H$1)</f>
        <v>—</v>
      </c>
      <c r="I29" s="37"/>
      <c r="O29" s="96"/>
      <c r="P29" s="96"/>
    </row>
    <row r="30" spans="1:66" ht="15.75">
      <c r="B30" s="643"/>
      <c r="C30" s="30"/>
      <c r="D30" s="30"/>
      <c r="E30" s="30"/>
      <c r="F30" s="30"/>
      <c r="G30" s="30"/>
      <c r="H30" s="30"/>
    </row>
    <row r="32" spans="1:66">
      <c r="A32" s="241"/>
    </row>
  </sheetData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65"/>
  <sheetViews>
    <sheetView showGridLines="0" workbookViewId="0">
      <selection activeCell="C1" sqref="C1"/>
    </sheetView>
  </sheetViews>
  <sheetFormatPr defaultColWidth="9" defaultRowHeight="15" customHeight="1"/>
  <cols>
    <col min="1" max="1" width="4" customWidth="1"/>
    <col min="2" max="2" width="23.5" style="595" customWidth="1"/>
    <col min="3" max="8" width="9.875" customWidth="1"/>
    <col min="10" max="10" width="24.25" style="595" customWidth="1"/>
    <col min="11" max="16" width="10.25" customWidth="1"/>
    <col min="17" max="17" width="13.5" customWidth="1"/>
  </cols>
  <sheetData>
    <row r="2" spans="2:16" ht="15" customHeight="1">
      <c r="B2" s="596" t="str">
        <f>"利润表(人民币"&amp;目录!$D$5&amp;")"</f>
        <v>利润表(人民币百万元)</v>
      </c>
      <c r="C2" s="597">
        <f>资产负债表!Y4</f>
        <v>2021</v>
      </c>
      <c r="D2" s="597">
        <f>资产负债表!AC4</f>
        <v>2022</v>
      </c>
      <c r="E2" s="597">
        <f>资产负债表!AG4</f>
        <v>2023</v>
      </c>
      <c r="F2" s="598" t="str">
        <f>资产负债表!AK4</f>
        <v>2024E</v>
      </c>
      <c r="G2" s="598">
        <f>资产负债表!AL4</f>
        <v>2025</v>
      </c>
      <c r="H2" s="598">
        <f>资产负债表!AM4</f>
        <v>2026</v>
      </c>
      <c r="J2" s="596" t="str">
        <f>"资产负债表(人民币"&amp;目录!$D$5&amp;")"</f>
        <v>资产负债表(人民币百万元)</v>
      </c>
      <c r="K2" s="597">
        <f t="shared" ref="K2:P2" si="0">C2</f>
        <v>2021</v>
      </c>
      <c r="L2" s="597">
        <f t="shared" si="0"/>
        <v>2022</v>
      </c>
      <c r="M2" s="597">
        <f t="shared" si="0"/>
        <v>2023</v>
      </c>
      <c r="N2" s="598" t="str">
        <f t="shared" si="0"/>
        <v>2024E</v>
      </c>
      <c r="O2" s="598">
        <f t="shared" si="0"/>
        <v>2025</v>
      </c>
      <c r="P2" s="598">
        <f t="shared" si="0"/>
        <v>2026</v>
      </c>
    </row>
    <row r="3" spans="2:16" ht="15" customHeight="1">
      <c r="B3" s="97" t="s">
        <v>71</v>
      </c>
      <c r="C3" s="599">
        <f>IF(ISERROR(利润表!Y6),"—",利润表!Y6)</f>
        <v>0</v>
      </c>
      <c r="D3" s="599">
        <f>IF(ISERROR(利润表!AC6),"—",利润表!AC6)</f>
        <v>0</v>
      </c>
      <c r="E3" s="599">
        <f>IF(ISERROR(利润表!AG6),"—",利润表!AG6)</f>
        <v>0</v>
      </c>
      <c r="F3" s="599">
        <f>IF(ISERROR(利润表!AK6),"—",利润表!AK6)</f>
        <v>0</v>
      </c>
      <c r="G3" s="599">
        <f>IF(ISERROR(利润表!AL6),"—",利润表!AL6)</f>
        <v>0</v>
      </c>
      <c r="H3" s="599">
        <f>IF(ISERROR(利润表!AM6),"—",利润表!AM6)</f>
        <v>0</v>
      </c>
      <c r="J3" s="97" t="s">
        <v>320</v>
      </c>
      <c r="K3" s="601">
        <f>IF(ISERROR(资产负债表!Y8),"—",资产负债表!Y8)</f>
        <v>0</v>
      </c>
      <c r="L3" s="601">
        <f>IF(ISERROR(资产负债表!AC8),"—",资产负债表!AC8)</f>
        <v>0</v>
      </c>
      <c r="M3" s="601">
        <f>IF(ISERROR(资产负债表!AG8),"—",资产负债表!AG8)</f>
        <v>0</v>
      </c>
      <c r="N3" s="601">
        <f>IF(ISERROR(资产负债表!AK8),"—",资产负债表!AK8)</f>
        <v>0</v>
      </c>
      <c r="O3" s="601">
        <f>IF(ISERROR(资产负债表!AL8),"—",资产负债表!AL8)</f>
        <v>0</v>
      </c>
      <c r="P3" s="601">
        <f>IF(ISERROR(资产负债表!AM8),"—",资产负债表!AM8)</f>
        <v>0</v>
      </c>
    </row>
    <row r="4" spans="2:16" ht="15" customHeight="1">
      <c r="B4" s="425" t="s">
        <v>321</v>
      </c>
      <c r="C4" s="600" t="str">
        <f>IF(ISERROR(利润表!Y7),"—",利润表!Y7)</f>
        <v>—</v>
      </c>
      <c r="D4" s="600" t="str">
        <f>IF(ISERROR(利润表!AC7),"—",利润表!AC7)</f>
        <v>—</v>
      </c>
      <c r="E4" s="600" t="str">
        <f>IF(ISERROR(利润表!AG7),"—",利润表!AG7)</f>
        <v>—</v>
      </c>
      <c r="F4" s="600" t="str">
        <f>IF(ISERROR(利润表!AK7),"—",利润表!AK7)</f>
        <v>—</v>
      </c>
      <c r="G4" s="600" t="str">
        <f>IF(ISERROR(利润表!AL7),"—",利润表!AL7)</f>
        <v>—</v>
      </c>
      <c r="H4" s="600" t="str">
        <f>IF(ISERROR(利润表!AM7),"—",利润表!AM7)</f>
        <v>—</v>
      </c>
      <c r="I4" s="96"/>
      <c r="J4" s="97" t="s">
        <v>104</v>
      </c>
      <c r="K4" s="601">
        <f>IF(ISERROR(资产负债表!Y11),"—",资产负债表!Y11)</f>
        <v>0</v>
      </c>
      <c r="L4" s="601">
        <f>IF(ISERROR(资产负债表!AC11),"—",资产负债表!AC11)</f>
        <v>0</v>
      </c>
      <c r="M4" s="601">
        <f>IF(ISERROR(资产负债表!AG11),"—",资产负债表!AG11)</f>
        <v>0</v>
      </c>
      <c r="N4" s="601">
        <f>IF(ISERROR(资产负债表!AK11),"—",资产负债表!AK11)</f>
        <v>0</v>
      </c>
      <c r="O4" s="601">
        <f>IF(ISERROR(资产负债表!AL11),"—",资产负债表!AL11)</f>
        <v>0</v>
      </c>
      <c r="P4" s="601">
        <f>IF(ISERROR(资产负债表!AM11),"—",资产负债表!AM11)</f>
        <v>0</v>
      </c>
    </row>
    <row r="5" spans="2:16" ht="15" customHeight="1">
      <c r="B5" s="150" t="s">
        <v>64</v>
      </c>
      <c r="C5" s="601">
        <f>IF(ISERROR(利润表!Y15+利润表!Y19),"—",利润表!Y15+利润表!Y19)</f>
        <v>0</v>
      </c>
      <c r="D5" s="601">
        <f>IF(ISERROR(利润表!AC15+利润表!AC19),"—",利润表!AC15+利润表!AC19)</f>
        <v>0</v>
      </c>
      <c r="E5" s="601">
        <f>IF(ISERROR(利润表!AG15+利润表!AG19),"—",利润表!AG15+利润表!AG19)</f>
        <v>0</v>
      </c>
      <c r="F5" s="601">
        <f>IF(ISERROR(利润表!AK15+利润表!AK19),"—",利润表!AK15+利润表!AK19)</f>
        <v>0</v>
      </c>
      <c r="G5" s="601">
        <f>IF(ISERROR(利润表!AL15+利润表!AL19),"—",利润表!AL15+利润表!AL19)</f>
        <v>0</v>
      </c>
      <c r="H5" s="601">
        <f>IF(ISERROR(利润表!AM15+利润表!AM19),"—",利润表!AM15+利润表!AM19)</f>
        <v>0</v>
      </c>
      <c r="I5" s="96"/>
      <c r="J5" s="97" t="s">
        <v>107</v>
      </c>
      <c r="K5" s="601">
        <f>IF(ISERROR(资产负债表!Y12),"—",资产负债表!Y12)</f>
        <v>0</v>
      </c>
      <c r="L5" s="601">
        <f>IF(ISERROR(资产负债表!AC12),"—",资产负债表!AC12)</f>
        <v>0</v>
      </c>
      <c r="M5" s="601">
        <f>IF(ISERROR(资产负债表!AG12),"—",资产负债表!AG12)</f>
        <v>0</v>
      </c>
      <c r="N5" s="601">
        <f>IF(ISERROR(资产负债表!AK12),"—",资产负债表!AK12)</f>
        <v>0</v>
      </c>
      <c r="O5" s="601">
        <f>IF(ISERROR(资产负债表!AL12),"—",资产负债表!AL12)</f>
        <v>0</v>
      </c>
      <c r="P5" s="601">
        <f>IF(ISERROR(资产负债表!AM12),"—",资产负债表!AM12)</f>
        <v>0</v>
      </c>
    </row>
    <row r="6" spans="2:16" ht="15" customHeight="1">
      <c r="B6" s="425" t="s">
        <v>322</v>
      </c>
      <c r="C6" s="602" t="str">
        <f>IF(ISERROR(利润表!Y17+利润表!Y20),"—",利润表!Y17+利润表!Y20)</f>
        <v>—</v>
      </c>
      <c r="D6" s="602" t="str">
        <f>IF(ISERROR(利润表!AC17+利润表!AC20),"—",利润表!AC17+利润表!AC20)</f>
        <v>—</v>
      </c>
      <c r="E6" s="602" t="str">
        <f>IF(ISERROR(利润表!AG17+利润表!AG20),"—",利润表!AG17+利润表!AG20)</f>
        <v>—</v>
      </c>
      <c r="F6" s="602" t="str">
        <f>IF(ISERROR(利润表!AK17+利润表!AK20),"—",利润表!AK17+利润表!AK20)</f>
        <v>—</v>
      </c>
      <c r="G6" s="602" t="str">
        <f>IF(ISERROR(利润表!AL17+利润表!AL20),"—",利润表!AL17+利润表!AL20)</f>
        <v>—</v>
      </c>
      <c r="H6" s="602" t="str">
        <f>IF(ISERROR(利润表!AM17+利润表!AM20),"—",利润表!AM17+利润表!AM20)</f>
        <v>—</v>
      </c>
      <c r="I6" s="96"/>
      <c r="J6" s="97" t="s">
        <v>113</v>
      </c>
      <c r="K6" s="601">
        <f>IF(ISERROR(资产负债表!Y15),"—",资产负债表!Y15)</f>
        <v>0</v>
      </c>
      <c r="L6" s="601">
        <f>IF(ISERROR(资产负债表!AC15),"—",资产负债表!AC15)</f>
        <v>0</v>
      </c>
      <c r="M6" s="601">
        <f>IF(ISERROR(资产负债表!AG15),"—",资产负债表!AG15)</f>
        <v>0</v>
      </c>
      <c r="N6" s="601">
        <f>IF(ISERROR(资产负债表!AK15),"—",资产负债表!AK15)</f>
        <v>0</v>
      </c>
      <c r="O6" s="601">
        <f>IF(ISERROR(资产负债表!AL15),"—",资产负债表!AL15)</f>
        <v>0</v>
      </c>
      <c r="P6" s="601">
        <f>IF(ISERROR(资产负债表!AM15),"—",资产负债表!AM15)</f>
        <v>0</v>
      </c>
    </row>
    <row r="7" spans="2:16" ht="15" customHeight="1">
      <c r="B7" s="162" t="s">
        <v>65</v>
      </c>
      <c r="C7" s="603">
        <f>IF(ISERROR(利润表!Y22),"—",利润表!Y22)</f>
        <v>0</v>
      </c>
      <c r="D7" s="603">
        <f>IF(ISERROR(利润表!AC22),"—",利润表!AC22)</f>
        <v>0</v>
      </c>
      <c r="E7" s="603">
        <f>IF(ISERROR(利润表!AG22),"—",利润表!AG22)</f>
        <v>0</v>
      </c>
      <c r="F7" s="603">
        <f>IF(ISERROR(利润表!AK22),"—",利润表!AK22)</f>
        <v>0</v>
      </c>
      <c r="G7" s="603">
        <f>IF(ISERROR(利润表!AL22),"—",利润表!AL22)</f>
        <v>0</v>
      </c>
      <c r="H7" s="603">
        <f>IF(ISERROR(利润表!AM22),"—",利润表!AM22)</f>
        <v>0</v>
      </c>
      <c r="I7" s="96"/>
      <c r="J7" s="97" t="s">
        <v>115</v>
      </c>
      <c r="K7" s="601">
        <f>IF(ISERROR(资产负债表!Y16),"—",资产负债表!Y16)</f>
        <v>0</v>
      </c>
      <c r="L7" s="601">
        <f>IF(ISERROR(资产负债表!AC16),"—",资产负债表!AC16)</f>
        <v>0</v>
      </c>
      <c r="M7" s="601">
        <f>IF(ISERROR(资产负债表!AG16),"—",资产负债表!AG16)</f>
        <v>0</v>
      </c>
      <c r="N7" s="601">
        <f>IF(ISERROR(资产负债表!AK16),"—",资产负债表!AK16)</f>
        <v>0</v>
      </c>
      <c r="O7" s="601">
        <f>IF(ISERROR(资产负债表!AL16),"—",资产负债表!AL16)</f>
        <v>0</v>
      </c>
      <c r="P7" s="601">
        <f>IF(ISERROR(资产负债表!AM16),"—",资产负债表!AM16)</f>
        <v>0</v>
      </c>
    </row>
    <row r="8" spans="2:16" ht="15" customHeight="1">
      <c r="B8" s="425" t="s">
        <v>322</v>
      </c>
      <c r="C8" s="600" t="str">
        <f>IF(ISERROR(利润表!Y23),"—",利润表!Y23)</f>
        <v>—</v>
      </c>
      <c r="D8" s="600" t="str">
        <f>IF(ISERROR(利润表!AC23),"—",利润表!AC23)</f>
        <v>—</v>
      </c>
      <c r="E8" s="600" t="str">
        <f>IF(ISERROR(利润表!AG23),"—",利润表!AG23)</f>
        <v>—</v>
      </c>
      <c r="F8" s="600" t="str">
        <f>IF(ISERROR(利润表!AK23),"—",利润表!AK23)</f>
        <v>—</v>
      </c>
      <c r="G8" s="600" t="str">
        <f>IF(ISERROR(利润表!AL23),"—",利润表!AL23)</f>
        <v>—</v>
      </c>
      <c r="H8" s="600" t="str">
        <f>IF(ISERROR(利润表!AM23),"—",利润表!AM23)</f>
        <v>—</v>
      </c>
      <c r="I8" s="96"/>
      <c r="J8" s="97" t="s">
        <v>137</v>
      </c>
      <c r="K8" s="601">
        <f t="shared" ref="K8:P8" si="1">IF(ISERROR(K9-K3-K4-K5-K6-K7),"—",K9-K3-K4-K5-K6-K7)</f>
        <v>0</v>
      </c>
      <c r="L8" s="601">
        <f t="shared" si="1"/>
        <v>0</v>
      </c>
      <c r="M8" s="601">
        <f t="shared" si="1"/>
        <v>0</v>
      </c>
      <c r="N8" s="601">
        <f t="shared" si="1"/>
        <v>0</v>
      </c>
      <c r="O8" s="601">
        <f t="shared" si="1"/>
        <v>0</v>
      </c>
      <c r="P8" s="601">
        <f t="shared" si="1"/>
        <v>0</v>
      </c>
    </row>
    <row r="9" spans="2:16" ht="15" customHeight="1">
      <c r="B9" s="97" t="s">
        <v>77</v>
      </c>
      <c r="C9" s="601">
        <f>IF(ISERROR(利润表!Y27),"—",利润表!Y27)</f>
        <v>0</v>
      </c>
      <c r="D9" s="601">
        <f>IF(ISERROR(利润表!AC27),"—",利润表!AC27)</f>
        <v>0</v>
      </c>
      <c r="E9" s="601">
        <f>IF(ISERROR(利润表!AG27),"—",利润表!AG27)</f>
        <v>0</v>
      </c>
      <c r="F9" s="601">
        <f>IF(ISERROR(利润表!AK27),"—",利润表!AK27)</f>
        <v>0</v>
      </c>
      <c r="G9" s="601">
        <f>IF(ISERROR(利润表!AL27),"—",利润表!AL27)</f>
        <v>0</v>
      </c>
      <c r="H9" s="601">
        <f>IF(ISERROR(利润表!AM27),"—",利润表!AM27)</f>
        <v>0</v>
      </c>
      <c r="I9" s="96"/>
      <c r="J9" s="162" t="s">
        <v>102</v>
      </c>
      <c r="K9" s="603">
        <f>IF(ISERROR(资产负债表!Y21),"—",资产负债表!Y21)</f>
        <v>0</v>
      </c>
      <c r="L9" s="603">
        <f>IF(ISERROR(资产负债表!AC21),"—",资产负债表!AC21)</f>
        <v>0</v>
      </c>
      <c r="M9" s="603">
        <f>IF(ISERROR(资产负债表!AG21),"—",资产负债表!AG21)</f>
        <v>0</v>
      </c>
      <c r="N9" s="603">
        <f>IF(ISERROR(资产负债表!AK21),"—",资产负债表!AK21)</f>
        <v>0</v>
      </c>
      <c r="O9" s="603">
        <f>IF(ISERROR(资产负债表!AL21),"—",资产负债表!AL21)</f>
        <v>0</v>
      </c>
      <c r="P9" s="603">
        <f>IF(ISERROR(资产负债表!AM21),"—",资产负债表!AM21)</f>
        <v>0</v>
      </c>
    </row>
    <row r="10" spans="2:16" ht="15" customHeight="1">
      <c r="B10" s="425" t="s">
        <v>322</v>
      </c>
      <c r="C10" s="604" t="str">
        <f>IF(ISERROR(利润表!Y28),"—",利润表!Y28)</f>
        <v>—</v>
      </c>
      <c r="D10" s="604" t="str">
        <f>IF(ISERROR(利润表!AC28),"—",利润表!AC28)</f>
        <v>—</v>
      </c>
      <c r="E10" s="604" t="str">
        <f>IF(ISERROR(利润表!AG28),"—",利润表!AG28)</f>
        <v>—</v>
      </c>
      <c r="F10" s="604" t="str">
        <f>IF(ISERROR(利润表!AK28),"—",利润表!AK28)</f>
        <v>—</v>
      </c>
      <c r="G10" s="604" t="str">
        <f>IF(ISERROR(利润表!AL28),"—",利润表!AL28)</f>
        <v>—</v>
      </c>
      <c r="H10" s="604" t="str">
        <f>IF(ISERROR(利润表!AM28),"—",利润表!AM28)</f>
        <v>—</v>
      </c>
      <c r="I10" s="96"/>
      <c r="J10" s="97" t="s">
        <v>323</v>
      </c>
      <c r="K10" s="601">
        <f>IF(ISERROR(资产负债表!Y27),"—",资产负债表!Y27)</f>
        <v>0</v>
      </c>
      <c r="L10" s="601">
        <f>IF(ISERROR(资产负债表!AC27),"—",资产负债表!AC27)</f>
        <v>0</v>
      </c>
      <c r="M10" s="601">
        <f>IF(ISERROR(资产负债表!AG27),"—",资产负债表!AG27)</f>
        <v>0</v>
      </c>
      <c r="N10" s="601">
        <f>IF(ISERROR(资产负债表!AK27),"—",资产负债表!AK27)</f>
        <v>0</v>
      </c>
      <c r="O10" s="601">
        <f>IF(ISERROR(资产负债表!AL27),"—",资产负债表!AL27)</f>
        <v>0</v>
      </c>
      <c r="P10" s="601">
        <f>IF(ISERROR(资产负债表!AM27),"—",资产负债表!AM27)</f>
        <v>0</v>
      </c>
    </row>
    <row r="11" spans="2:16" ht="15" customHeight="1">
      <c r="B11" s="97" t="s">
        <v>79</v>
      </c>
      <c r="C11" s="601">
        <f>IF(ISERROR(利润表!Y29),"—",利润表!Y29)</f>
        <v>0</v>
      </c>
      <c r="D11" s="601">
        <f>IF(ISERROR(利润表!AC29),"—",利润表!AC29)</f>
        <v>0</v>
      </c>
      <c r="E11" s="601">
        <f>IF(ISERROR(利润表!AG29),"—",利润表!AG29)</f>
        <v>0</v>
      </c>
      <c r="F11" s="601">
        <f>IF(ISERROR(利润表!AK29),"—",利润表!AK29)</f>
        <v>0</v>
      </c>
      <c r="G11" s="601">
        <f>IF(ISERROR(利润表!AL29),"—",利润表!AL29)</f>
        <v>0</v>
      </c>
      <c r="H11" s="601">
        <f>IF(ISERROR(利润表!AM29),"—",利润表!AM29)</f>
        <v>0</v>
      </c>
      <c r="I11" s="96"/>
      <c r="J11" s="97" t="s">
        <v>324</v>
      </c>
      <c r="K11" s="601">
        <f>IF(ISERROR(资产负债表!Y31),"—",资产负债表!Y31)</f>
        <v>0</v>
      </c>
      <c r="L11" s="601">
        <f>IF(ISERROR(资产负债表!AC31),"—",资产负债表!AC31)</f>
        <v>0</v>
      </c>
      <c r="M11" s="601">
        <f>IF(ISERROR(资产负债表!AG31),"—",资产负债表!AG31)</f>
        <v>0</v>
      </c>
      <c r="N11" s="601">
        <f>IF(ISERROR(资产负债表!AK31),"—",资产负债表!AK31)</f>
        <v>0</v>
      </c>
      <c r="O11" s="601">
        <f>IF(ISERROR(资产负债表!AL31),"—",资产负债表!AL31)</f>
        <v>0</v>
      </c>
      <c r="P11" s="601">
        <f>IF(ISERROR(资产负债表!AM31),"—",资产负债表!AM31)</f>
        <v>0</v>
      </c>
    </row>
    <row r="12" spans="2:16" ht="15" customHeight="1">
      <c r="B12" s="425" t="s">
        <v>322</v>
      </c>
      <c r="C12" s="604" t="str">
        <f>IF(ISERROR(利润表!Y30),"—",利润表!Y30)</f>
        <v>—</v>
      </c>
      <c r="D12" s="604" t="str">
        <f>IF(ISERROR(利润表!AC30),"—",利润表!AC30)</f>
        <v>—</v>
      </c>
      <c r="E12" s="604" t="str">
        <f>IF(ISERROR(利润表!AG30),"—",利润表!AG30)</f>
        <v>—</v>
      </c>
      <c r="F12" s="604" t="str">
        <f>IF(ISERROR(利润表!AK30),"—",利润表!AK30)</f>
        <v>—</v>
      </c>
      <c r="G12" s="604" t="str">
        <f>IF(ISERROR(利润表!AL30),"—",利润表!AL30)</f>
        <v>—</v>
      </c>
      <c r="H12" s="604" t="str">
        <f>IF(ISERROR(利润表!AM30),"—",利润表!AM30)</f>
        <v>—</v>
      </c>
      <c r="I12" s="96"/>
      <c r="J12" s="97" t="s">
        <v>325</v>
      </c>
      <c r="K12" s="601">
        <f>IF(ISERROR(资产负债表!Y32),"—",资产负债表!Y32)</f>
        <v>0</v>
      </c>
      <c r="L12" s="601">
        <f>IF(ISERROR(资产负债表!AC32),"—",资产负债表!AC32)</f>
        <v>0</v>
      </c>
      <c r="M12" s="601">
        <f>IF(ISERROR(资产负债表!AG32),"—",资产负债表!AG32)</f>
        <v>0</v>
      </c>
      <c r="N12" s="601">
        <f>IF(ISERROR(资产负债表!AK32),"—",资产负债表!AK32)</f>
        <v>0</v>
      </c>
      <c r="O12" s="601">
        <f>IF(ISERROR(资产负债表!AL32),"—",资产负债表!AL32)</f>
        <v>0</v>
      </c>
      <c r="P12" s="601">
        <f>IF(ISERROR(资产负债表!AM32),"—",资产负债表!AM32)</f>
        <v>0</v>
      </c>
    </row>
    <row r="13" spans="2:16" ht="15" customHeight="1">
      <c r="B13" s="97" t="s">
        <v>81</v>
      </c>
      <c r="C13" s="601">
        <f>IF(ISERROR(利润表!Y31),"—",利润表!Y31)</f>
        <v>0</v>
      </c>
      <c r="D13" s="601">
        <f>IF(ISERROR(利润表!AC31),"—",利润表!AC31)</f>
        <v>0</v>
      </c>
      <c r="E13" s="601">
        <f>IF(ISERROR(利润表!AG31),"—",利润表!AG31)</f>
        <v>0</v>
      </c>
      <c r="F13" s="601">
        <f>IF(ISERROR(利润表!AK31),"—",利润表!AK31)</f>
        <v>0</v>
      </c>
      <c r="G13" s="601">
        <f>IF(ISERROR(利润表!AL31),"—",利润表!AL31)</f>
        <v>0</v>
      </c>
      <c r="H13" s="601">
        <f>IF(ISERROR(利润表!AM31),"—",利润表!AM31)</f>
        <v>0</v>
      </c>
      <c r="I13" s="96"/>
      <c r="J13" s="97" t="s">
        <v>326</v>
      </c>
      <c r="K13" s="601">
        <f>IF(ISERROR(资产负债表!Y36),"—",资产负债表!Y36)</f>
        <v>0</v>
      </c>
      <c r="L13" s="601">
        <f>IF(ISERROR(资产负债表!AC36),"—",资产负债表!AC36)</f>
        <v>0</v>
      </c>
      <c r="M13" s="601">
        <f>IF(ISERROR(资产负债表!AG36),"—",资产负债表!AG36)</f>
        <v>0</v>
      </c>
      <c r="N13" s="601">
        <f>IF(ISERROR(资产负债表!AK36),"—",资产负债表!AK36)</f>
        <v>0</v>
      </c>
      <c r="O13" s="601">
        <f>IF(ISERROR(资产负债表!AL36),"—",资产负债表!AL36)</f>
        <v>0</v>
      </c>
      <c r="P13" s="601">
        <f>IF(ISERROR(资产负债表!AM36),"—",资产负债表!AM36)</f>
        <v>0</v>
      </c>
    </row>
    <row r="14" spans="2:16" ht="15" customHeight="1">
      <c r="B14" s="425" t="s">
        <v>322</v>
      </c>
      <c r="C14" s="604" t="str">
        <f>IF(ISERROR(利润表!Y32),"—",利润表!Y32)</f>
        <v>—</v>
      </c>
      <c r="D14" s="604" t="str">
        <f>IF(ISERROR(利润表!AC32),"—",利润表!AC32)</f>
        <v>—</v>
      </c>
      <c r="E14" s="604" t="str">
        <f>IF(ISERROR(利润表!AG32),"—",利润表!AG32)</f>
        <v>—</v>
      </c>
      <c r="F14" s="604" t="str">
        <f>IF(ISERROR(利润表!AK32),"—",利润表!AK32)</f>
        <v>—</v>
      </c>
      <c r="G14" s="604" t="str">
        <f>IF(ISERROR(利润表!AL32),"—",利润表!AL32)</f>
        <v>—</v>
      </c>
      <c r="H14" s="604" t="str">
        <f>IF(ISERROR(利润表!AM32),"—",利润表!AM32)</f>
        <v>—</v>
      </c>
      <c r="I14" s="96"/>
      <c r="J14" s="97" t="s">
        <v>327</v>
      </c>
      <c r="K14" s="601">
        <f>IF(ISERROR(资产负债表!Y38),"—",资产负债表!Y38)</f>
        <v>0</v>
      </c>
      <c r="L14" s="601">
        <f>IF(ISERROR(资产负债表!AC38),"—",资产负债表!AC38)</f>
        <v>0</v>
      </c>
      <c r="M14" s="601">
        <f>IF(ISERROR(资产负债表!AG38),"—",资产负债表!AG38)</f>
        <v>0</v>
      </c>
      <c r="N14" s="601">
        <f>IF(ISERROR(资产负债表!AK38),"—",资产负债表!AK38)</f>
        <v>0</v>
      </c>
      <c r="O14" s="601">
        <f>IF(ISERROR(资产负债表!AL38),"—",资产负债表!AL38)</f>
        <v>0</v>
      </c>
      <c r="P14" s="601">
        <f>IF(ISERROR(资产负债表!AM38),"—",资产负债表!AM38)</f>
        <v>0</v>
      </c>
    </row>
    <row r="15" spans="2:16" ht="15" customHeight="1">
      <c r="B15" s="97" t="s">
        <v>83</v>
      </c>
      <c r="C15" s="601">
        <f>IF(ISERROR(利润表!Y33),"—",利润表!Y33)</f>
        <v>0</v>
      </c>
      <c r="D15" s="601">
        <f>IF(ISERROR(利润表!AC33),"—",利润表!AC33)</f>
        <v>0</v>
      </c>
      <c r="E15" s="601">
        <f>IF(ISERROR(利润表!AG33),"—",利润表!AG33)</f>
        <v>0</v>
      </c>
      <c r="F15" s="601">
        <f>IF(ISERROR(利润表!AK33),"—",利润表!AK33)</f>
        <v>0</v>
      </c>
      <c r="G15" s="601">
        <f>IF(ISERROR(利润表!AL33),"—",利润表!AL33)</f>
        <v>0</v>
      </c>
      <c r="H15" s="601">
        <f>IF(ISERROR(利润表!AM33),"—",利润表!AM33)</f>
        <v>0</v>
      </c>
      <c r="I15" s="96"/>
      <c r="J15" s="97" t="s">
        <v>328</v>
      </c>
      <c r="K15" s="601">
        <f t="shared" ref="K15:P15" si="2">IF(ISERROR(K16-K10-K11-K12-K13-K14),"—",K16-K10-K11-K12-K13-K14)</f>
        <v>0</v>
      </c>
      <c r="L15" s="601">
        <f t="shared" si="2"/>
        <v>0</v>
      </c>
      <c r="M15" s="601">
        <f t="shared" si="2"/>
        <v>0</v>
      </c>
      <c r="N15" s="601">
        <f t="shared" si="2"/>
        <v>0</v>
      </c>
      <c r="O15" s="601">
        <f t="shared" si="2"/>
        <v>0</v>
      </c>
      <c r="P15" s="601">
        <f t="shared" si="2"/>
        <v>0</v>
      </c>
    </row>
    <row r="16" spans="2:16" ht="15" customHeight="1">
      <c r="B16" s="425" t="s">
        <v>322</v>
      </c>
      <c r="C16" s="604" t="str">
        <f>IF(ISERROR(利润表!Y34),"—",利润表!Y34)</f>
        <v xml:space="preserve"> —</v>
      </c>
      <c r="D16" s="604" t="str">
        <f>IF(ISERROR(利润表!AC34),"—",利润表!AC34)</f>
        <v xml:space="preserve"> —</v>
      </c>
      <c r="E16" s="604" t="str">
        <f>IF(ISERROR(利润表!AG34),"—",利润表!AG34)</f>
        <v xml:space="preserve"> —</v>
      </c>
      <c r="F16" s="604" t="str">
        <f>IF(ISERROR(利润表!AK34),"—",利润表!AK34)</f>
        <v xml:space="preserve"> —</v>
      </c>
      <c r="G16" s="604" t="str">
        <f>IF(ISERROR(利润表!AL34),"—",利润表!AL34)</f>
        <v xml:space="preserve"> —</v>
      </c>
      <c r="H16" s="604" t="str">
        <f>IF(ISERROR(利润表!AM34),"—",利润表!AM34)</f>
        <v xml:space="preserve"> —</v>
      </c>
      <c r="I16" s="96"/>
      <c r="J16" s="186" t="s">
        <v>329</v>
      </c>
      <c r="K16" s="615">
        <f>IF(ISERROR(资产负债表!Y42),"—",资产负债表!Y42)</f>
        <v>0</v>
      </c>
      <c r="L16" s="615">
        <f>IF(ISERROR(资产负债表!AC42),"—",资产负债表!AC42)</f>
        <v>0</v>
      </c>
      <c r="M16" s="615">
        <f>IF(ISERROR((资产负债表!AG42)),"—",(资产负债表!AG42))</f>
        <v>0</v>
      </c>
      <c r="N16" s="615">
        <f>IF(ISERROR((资产负债表!AK42)),"—",(资产负债表!AK42))</f>
        <v>0</v>
      </c>
      <c r="O16" s="615">
        <f>IF(ISERROR((资产负债表!AL42)),"—",(资产负债表!AL42))</f>
        <v>0</v>
      </c>
      <c r="P16" s="615">
        <f>IF(ISERROR((资产负债表!AM42)),"—",(资产负债表!AM42))</f>
        <v>0</v>
      </c>
    </row>
    <row r="17" spans="1:16" ht="15" customHeight="1">
      <c r="B17" s="97" t="s">
        <v>330</v>
      </c>
      <c r="C17" s="601">
        <f>IF(ISERROR(利润表!Y36),"—",利润表!Y36)</f>
        <v>0</v>
      </c>
      <c r="D17" s="601">
        <f>IF(ISERROR(利润表!AC36),"—",利润表!AC36)</f>
        <v>0</v>
      </c>
      <c r="E17" s="601">
        <f>IF(ISERROR(利润表!AG36),"—",利润表!AG36)</f>
        <v>0</v>
      </c>
      <c r="F17" s="601">
        <f>IF(ISERROR(利润表!AK36),"—",利润表!AK36)</f>
        <v>0</v>
      </c>
      <c r="G17" s="601">
        <f>IF(ISERROR(利润表!AL36),"—",利润表!AL36)</f>
        <v>0</v>
      </c>
      <c r="H17" s="601">
        <f>IF(ISERROR(利润表!AM36),"—",利润表!AM36)</f>
        <v>0</v>
      </c>
      <c r="I17" s="96"/>
      <c r="J17" s="162" t="s">
        <v>331</v>
      </c>
      <c r="K17" s="603">
        <f>IF(ISERROR(资产负债表!Y45),"—",资产负债表!Y45)</f>
        <v>0</v>
      </c>
      <c r="L17" s="603">
        <f>IF(ISERROR(资产负债表!AC45),"—",资产负债表!AC45)</f>
        <v>0</v>
      </c>
      <c r="M17" s="603">
        <f>IF(ISERROR(资产负债表!AG45),"—",资产负债表!AG45)</f>
        <v>0</v>
      </c>
      <c r="N17" s="603">
        <f>IF(ISERROR(资产负债表!AK45),"—",资产负债表!AK45)</f>
        <v>0</v>
      </c>
      <c r="O17" s="603">
        <f>IF(ISERROR(资产负债表!AL45),"—",资产负债表!AL45)</f>
        <v>0</v>
      </c>
      <c r="P17" s="603">
        <f>IF(ISERROR(资产负债表!AM45),"—",资产负债表!AM45)</f>
        <v>0</v>
      </c>
    </row>
    <row r="18" spans="1:16" ht="15" customHeight="1">
      <c r="B18" s="605" t="s">
        <v>322</v>
      </c>
      <c r="C18" s="606" t="str">
        <f>IF(ISERROR(利润表!Y37),"—",利润表!Y37)</f>
        <v>—</v>
      </c>
      <c r="D18" s="606" t="str">
        <f>IF(ISERROR(利润表!AC37),"—",利润表!AC37)</f>
        <v>—</v>
      </c>
      <c r="E18" s="606" t="str">
        <f>IF(ISERROR(利润表!AG37),"—",利润表!AG37)</f>
        <v>—</v>
      </c>
      <c r="F18" s="606" t="str">
        <f>IF(ISERROR(利润表!AK37),"—",利润表!AK37)</f>
        <v>—</v>
      </c>
      <c r="G18" s="606" t="str">
        <f>IF(ISERROR(利润表!AL37),"—",利润表!AL37)</f>
        <v>—</v>
      </c>
      <c r="H18" s="606" t="str">
        <f>IF(ISERROR(利润表!AM37),"—",利润表!AM37)</f>
        <v>—</v>
      </c>
      <c r="I18" s="96"/>
      <c r="J18" s="97" t="s">
        <v>332</v>
      </c>
      <c r="K18" s="601">
        <f>IF(ISERROR((资产负债表!Y49)),"—",(资产负债表!Y49))</f>
        <v>0</v>
      </c>
      <c r="L18" s="601">
        <f>IF(ISERROR((资产负债表!AC49)),"—",(资产负债表!AC49))</f>
        <v>0</v>
      </c>
      <c r="M18" s="601">
        <f>IF(ISERROR((资产负债表!AG49)),"—",(资产负债表!AG49))</f>
        <v>0</v>
      </c>
      <c r="N18" s="601">
        <f>IF(ISERROR((资产负债表!AK49)),"—",(资产负债表!AK49))</f>
        <v>0</v>
      </c>
      <c r="O18" s="601">
        <f>IF(ISERROR((资产负债表!AL49)),"—",(资产负债表!AL49))</f>
        <v>0</v>
      </c>
      <c r="P18" s="601">
        <f>IF(ISERROR((资产负债表!AM49)),"—",(资产负债表!AM49))</f>
        <v>0</v>
      </c>
    </row>
    <row r="19" spans="1:16" ht="15" customHeight="1">
      <c r="A19" s="53"/>
      <c r="B19" s="131" t="s">
        <v>333</v>
      </c>
      <c r="C19" s="603">
        <f>IF(ISERROR(利润表!Y45),"—",利润表!Y45)</f>
        <v>0</v>
      </c>
      <c r="D19" s="603">
        <f>IF(ISERROR(利润表!AC45),"—",利润表!AC45)</f>
        <v>0</v>
      </c>
      <c r="E19" s="603">
        <f>IF(ISERROR(利润表!AG45),"—",利润表!AG45)</f>
        <v>0</v>
      </c>
      <c r="F19" s="603">
        <f>IF(ISERROR(利润表!AK45),"—",利润表!AK45)</f>
        <v>0</v>
      </c>
      <c r="G19" s="603">
        <f>IF(ISERROR(利润表!AL45),"—",利润表!AL45)</f>
        <v>0</v>
      </c>
      <c r="H19" s="603">
        <f>IF(ISERROR(利润表!AM45),"—",利润表!AM45)</f>
        <v>0</v>
      </c>
      <c r="I19" s="96"/>
      <c r="J19" s="97" t="s">
        <v>120</v>
      </c>
      <c r="K19" s="601">
        <f>IF(ISERROR(资产负债表!Y52),"—",资产负债表!Y52)</f>
        <v>0</v>
      </c>
      <c r="L19" s="601">
        <f>IF(ISERROR(资产负债表!AC52),"—",资产负债表!AC52)</f>
        <v>0</v>
      </c>
      <c r="M19" s="601">
        <f>IF(ISERROR((资产负债表!AG52)),"—",(资产负债表!AG52))</f>
        <v>0</v>
      </c>
      <c r="N19" s="601">
        <f>IF(ISERROR((资产负债表!AK52)),"—",(资产负债表!AK52))</f>
        <v>0</v>
      </c>
      <c r="O19" s="601">
        <f>IF(ISERROR((资产负债表!AL52)),"—",(资产负债表!AL52))</f>
        <v>0</v>
      </c>
      <c r="P19" s="601">
        <f>IF(ISERROR((资产负债表!AM52)),"—",(资产负债表!AM52))</f>
        <v>0</v>
      </c>
    </row>
    <row r="20" spans="1:16" ht="15" customHeight="1">
      <c r="A20" s="53"/>
      <c r="B20" s="425" t="s">
        <v>322</v>
      </c>
      <c r="C20" s="604" t="str">
        <f>IF(ISERROR(利润表!Y46),"—",利润表!Y46)</f>
        <v>—</v>
      </c>
      <c r="D20" s="604" t="str">
        <f>IF(ISERROR(利润表!AC46),"—",利润表!AC46)</f>
        <v>—</v>
      </c>
      <c r="E20" s="604" t="str">
        <f>IF(ISERROR(利润表!AG46),"—",利润表!AG46)</f>
        <v>—</v>
      </c>
      <c r="F20" s="604" t="str">
        <f>IF(ISERROR(利润表!AK46),"—",利润表!AK46)</f>
        <v>—</v>
      </c>
      <c r="G20" s="604" t="str">
        <f>IF(ISERROR(利润表!AL46),"—",利润表!AL46)</f>
        <v>—</v>
      </c>
      <c r="H20" s="604" t="str">
        <f>IF(ISERROR(利润表!AM46),"—",利润表!AM46)</f>
        <v>—</v>
      </c>
      <c r="I20" s="96"/>
      <c r="J20" s="97" t="s">
        <v>122</v>
      </c>
      <c r="K20" s="601">
        <f>IF(ISERROR(资产负债表!Y53),"—",资产负债表!Y53)</f>
        <v>0</v>
      </c>
      <c r="L20" s="601">
        <f>IF(ISERROR(资产负债表!AC53),"—",资产负债表!AC53)</f>
        <v>0</v>
      </c>
      <c r="M20" s="601">
        <f>IF(ISERROR((资产负债表!AG53)),"—",(资产负债表!AG53))</f>
        <v>0</v>
      </c>
      <c r="N20" s="601">
        <f>IF(ISERROR((资产负债表!AK53)),"—",(资产负债表!AK53))</f>
        <v>0</v>
      </c>
      <c r="O20" s="601">
        <f>IF(ISERROR((资产负债表!AL53)),"—",(资产负债表!AL53))</f>
        <v>0</v>
      </c>
      <c r="P20" s="601">
        <f>IF(ISERROR((资产负债表!AM53)),"—",(资产负债表!AM53))</f>
        <v>0</v>
      </c>
    </row>
    <row r="21" spans="1:16" ht="15" customHeight="1">
      <c r="A21" s="53"/>
      <c r="B21" s="426" t="s">
        <v>85</v>
      </c>
      <c r="C21" s="601">
        <f>IF(ISERROR(利润表!Y49),"—",利润表!Y49)</f>
        <v>0</v>
      </c>
      <c r="D21" s="601">
        <f>IF(ISERROR(利润表!AC49),"—",利润表!AC49)</f>
        <v>0</v>
      </c>
      <c r="E21" s="601">
        <f>IF(ISERROR(利润表!AG49),"—",利润表!AG49)</f>
        <v>0</v>
      </c>
      <c r="F21" s="601">
        <f>IF(ISERROR(利润表!AK49),"—",利润表!AK49)</f>
        <v>0</v>
      </c>
      <c r="G21" s="601">
        <f>IF(ISERROR(利润表!AL49),"—",利润表!AL49)</f>
        <v>0</v>
      </c>
      <c r="H21" s="601">
        <f>IF(ISERROR(利润表!AM49),"—",利润表!AM49)</f>
        <v>0</v>
      </c>
      <c r="I21" s="96"/>
      <c r="J21" s="97" t="s">
        <v>128</v>
      </c>
      <c r="K21" s="601">
        <f>IF(ISERROR(资产负债表!Y58),"—",资产负债表!Y58)</f>
        <v>0</v>
      </c>
      <c r="L21" s="601">
        <f>IF(ISERROR(资产负债表!AC58),"—",资产负债表!AC58)</f>
        <v>0</v>
      </c>
      <c r="M21" s="601">
        <f>IF(ISERROR((资产负债表!AG58)),"—",(资产负债表!AG58))</f>
        <v>0</v>
      </c>
      <c r="N21" s="601">
        <f>IF(ISERROR((资产负债表!AK58)),"—",(资产负债表!AK58))</f>
        <v>0</v>
      </c>
      <c r="O21" s="601">
        <f>IF(ISERROR((资产负债表!AL58)),"—",(资产负债表!AL58))</f>
        <v>0</v>
      </c>
      <c r="P21" s="601">
        <f>IF(ISERROR((资产负债表!AM58)),"—",(资产负债表!AM58))</f>
        <v>0</v>
      </c>
    </row>
    <row r="22" spans="1:16" ht="15" customHeight="1">
      <c r="A22" s="53"/>
      <c r="B22" s="426" t="s">
        <v>87</v>
      </c>
      <c r="C22" s="601">
        <f>IF(ISERROR(利润表!Y51),"—",利润表!Y51)</f>
        <v>0</v>
      </c>
      <c r="D22" s="601">
        <f>IF(ISERROR(利润表!AC51),"—",利润表!AC51)</f>
        <v>0</v>
      </c>
      <c r="E22" s="601">
        <f>IF(ISERROR(利润表!AG51),"—",利润表!AG51)</f>
        <v>0</v>
      </c>
      <c r="F22" s="601">
        <f>IF(ISERROR(利润表!AK51),"—",利润表!AK51)</f>
        <v>0</v>
      </c>
      <c r="G22" s="601">
        <f>IF(ISERROR(利润表!AL51),"—",利润表!AL51)</f>
        <v>0</v>
      </c>
      <c r="H22" s="601">
        <f>IF(ISERROR(利润表!AM51),"—",利润表!AM51)</f>
        <v>0</v>
      </c>
      <c r="I22" s="96"/>
      <c r="J22" s="97" t="s">
        <v>142</v>
      </c>
      <c r="K22" s="601">
        <f t="shared" ref="K22:P22" si="3">IF(ISERROR(K23-K18-K19-K20-K21),"—",K23-K18-K19-K20-K21)</f>
        <v>0</v>
      </c>
      <c r="L22" s="601">
        <f t="shared" si="3"/>
        <v>0</v>
      </c>
      <c r="M22" s="601">
        <f t="shared" si="3"/>
        <v>0</v>
      </c>
      <c r="N22" s="601">
        <f t="shared" si="3"/>
        <v>0</v>
      </c>
      <c r="O22" s="601">
        <f t="shared" si="3"/>
        <v>0</v>
      </c>
      <c r="P22" s="601">
        <f t="shared" si="3"/>
        <v>0</v>
      </c>
    </row>
    <row r="23" spans="1:16" ht="15" customHeight="1">
      <c r="A23" s="53"/>
      <c r="B23" s="426" t="s">
        <v>334</v>
      </c>
      <c r="C23" s="601">
        <f>IF(ISERROR(利润表!Y54),"—",利润表!Y54)</f>
        <v>0</v>
      </c>
      <c r="D23" s="601">
        <f>IF(ISERROR(利润表!AC54),"—",利润表!AC54)</f>
        <v>0</v>
      </c>
      <c r="E23" s="601">
        <f>IF(ISERROR(利润表!AG54),"—",利润表!AG54)</f>
        <v>0</v>
      </c>
      <c r="F23" s="601">
        <f>IF(ISERROR(利润表!AK54),"—",利润表!AK54)</f>
        <v>0</v>
      </c>
      <c r="G23" s="601">
        <f>IF(ISERROR(利润表!AL54),"—",利润表!AL54)</f>
        <v>0</v>
      </c>
      <c r="H23" s="601">
        <f>IF(ISERROR(利润表!AM54),"—",利润表!AM54)</f>
        <v>0</v>
      </c>
      <c r="I23" s="96"/>
      <c r="J23" s="162" t="s">
        <v>119</v>
      </c>
      <c r="K23" s="603">
        <f>IF(ISERROR(资产负债表!Y62),"—",资产负债表!Y62)</f>
        <v>0</v>
      </c>
      <c r="L23" s="603">
        <f>IF(ISERROR(资产负债表!AC62),"—",资产负债表!AC62)</f>
        <v>0</v>
      </c>
      <c r="M23" s="603">
        <f>IF(ISERROR((资产负债表!AG62)),"—",(资产负债表!AG62))</f>
        <v>0</v>
      </c>
      <c r="N23" s="603">
        <f>IF(ISERROR((资产负债表!AK62)),"—",(资产负债表!AK62))</f>
        <v>0</v>
      </c>
      <c r="O23" s="603">
        <f>IF(ISERROR((资产负债表!AL62)),"—",(资产负债表!AL62))</f>
        <v>0</v>
      </c>
      <c r="P23" s="603">
        <f>IF(ISERROR((资产负债表!AM62)),"—",(资产负债表!AM62))</f>
        <v>0</v>
      </c>
    </row>
    <row r="24" spans="1:16" ht="15" customHeight="1">
      <c r="A24" s="53"/>
      <c r="B24" s="426" t="s">
        <v>335</v>
      </c>
      <c r="C24" s="601">
        <f>IF(ISERROR(利润表!Y57),"—",利润表!Y57)</f>
        <v>0</v>
      </c>
      <c r="D24" s="601">
        <f>IF(ISERROR(利润表!AC57),"—",利润表!AC57)</f>
        <v>0</v>
      </c>
      <c r="E24" s="601">
        <f>IF(ISERROR(利润表!AG57),"—",利润表!AG57)</f>
        <v>0</v>
      </c>
      <c r="F24" s="601">
        <f>IF(ISERROR(利润表!AK57),"—",利润表!AK57)</f>
        <v>0</v>
      </c>
      <c r="G24" s="601">
        <f>IF(ISERROR(利润表!AL57),"—",利润表!AL57)</f>
        <v>0</v>
      </c>
      <c r="H24" s="601">
        <f>IF(ISERROR(利润表!AM57),"—",利润表!AM57)</f>
        <v>0</v>
      </c>
      <c r="I24" s="96"/>
      <c r="J24" s="97" t="s">
        <v>336</v>
      </c>
      <c r="K24" s="601">
        <f>IF(ISERROR(资产负债表!Y65),"—",资产负债表!Y65)</f>
        <v>0</v>
      </c>
      <c r="L24" s="601">
        <f>IF(ISERROR(资产负债表!AC65),"—",资产负债表!AC65)</f>
        <v>0</v>
      </c>
      <c r="M24" s="601">
        <f>IF(ISERROR(资产负债表!AG65),"—",资产负债表!AG65)</f>
        <v>0</v>
      </c>
      <c r="N24" s="601">
        <f>IF(ISERROR(资产负债表!AK65),"—",资产负债表!AK65)</f>
        <v>0</v>
      </c>
      <c r="O24" s="601">
        <f>IF(ISERROR(资产负债表!AL65),"—",资产负债表!AL65)</f>
        <v>0</v>
      </c>
      <c r="P24" s="601">
        <f>IF(ISERROR(资产负债表!AM65),"—",资产负债表!AM65)</f>
        <v>0</v>
      </c>
    </row>
    <row r="25" spans="1:16" ht="15" customHeight="1">
      <c r="A25" s="53"/>
      <c r="B25" s="426" t="s">
        <v>337</v>
      </c>
      <c r="C25" s="601">
        <f>IF(ISERROR(利润表!Y60),"—",利润表!Y60)</f>
        <v>0</v>
      </c>
      <c r="D25" s="601">
        <f>IF(ISERROR(利润表!AC60),"—",利润表!AC60)</f>
        <v>0</v>
      </c>
      <c r="E25" s="601">
        <f>IF(ISERROR(利润表!AG60),"—",利润表!AG60)</f>
        <v>0</v>
      </c>
      <c r="F25" s="601">
        <f>IF(ISERROR(利润表!AK60),"—",利润表!AK60)</f>
        <v>0</v>
      </c>
      <c r="G25" s="601">
        <f>IF(ISERROR(利润表!AL60),"—",利润表!AL60)</f>
        <v>0</v>
      </c>
      <c r="H25" s="601">
        <f>IF(ISERROR(利润表!AM60),"—",利润表!AM60)</f>
        <v>0</v>
      </c>
      <c r="I25" s="161"/>
      <c r="J25" s="97" t="s">
        <v>338</v>
      </c>
      <c r="K25" s="601">
        <f>IF(ISERROR(资产负债表!Y66),"—",资产负债表!Y66)</f>
        <v>0</v>
      </c>
      <c r="L25" s="601">
        <f>IF(ISERROR(资产负债表!AC66),"—",资产负债表!AC66)</f>
        <v>0</v>
      </c>
      <c r="M25" s="601">
        <f>IF(ISERROR(资产负债表!AG66),"—",资产负债表!AG66)</f>
        <v>0</v>
      </c>
      <c r="N25" s="601">
        <f>IF(ISERROR(资产负债表!AK66),"—",资产负债表!AK66)</f>
        <v>0</v>
      </c>
      <c r="O25" s="601">
        <f>IF(ISERROR(资产负债表!AL66),"—",资产负债表!AL66)</f>
        <v>0</v>
      </c>
      <c r="P25" s="601">
        <f>IF(ISERROR(资产负债表!AM66),"—",资产负债表!AM66)</f>
        <v>0</v>
      </c>
    </row>
    <row r="26" spans="1:16" ht="15" customHeight="1">
      <c r="A26" s="53"/>
      <c r="B26" s="426" t="s">
        <v>339</v>
      </c>
      <c r="C26" s="601">
        <f>IF(ISERROR(利润表!Y63),"—",利润表!Y63)</f>
        <v>0</v>
      </c>
      <c r="D26" s="601">
        <f>IF(ISERROR(利润表!AC63),"—",利润表!AC63)</f>
        <v>0</v>
      </c>
      <c r="E26" s="601">
        <f>IF(ISERROR(利润表!AG63),"—",利润表!AG63)</f>
        <v>0</v>
      </c>
      <c r="F26" s="601">
        <f>IF(ISERROR(利润表!AK63),"—",利润表!AK63)</f>
        <v>0</v>
      </c>
      <c r="G26" s="601">
        <f>IF(ISERROR(利润表!AL63),"—",利润表!AL63)</f>
        <v>0</v>
      </c>
      <c r="H26" s="601">
        <f>IF(ISERROR(利润表!AM63),"—",利润表!AM63)</f>
        <v>0</v>
      </c>
      <c r="I26" s="161"/>
      <c r="J26" s="97" t="s">
        <v>340</v>
      </c>
      <c r="K26" s="601">
        <f>IF(ISERROR(资产负债表!Y68),"—",资产负债表!Y68)</f>
        <v>0</v>
      </c>
      <c r="L26" s="601">
        <f>IF(ISERROR(资产负债表!AC68),"—",资产负债表!AC68)</f>
        <v>0</v>
      </c>
      <c r="M26" s="601">
        <f>IF(ISERROR(资产负债表!AG68),"—",资产负债表!AG68)</f>
        <v>0</v>
      </c>
      <c r="N26" s="601">
        <f>IF(ISERROR(资产负债表!AK68),"—",资产负债表!AK68)</f>
        <v>0</v>
      </c>
      <c r="O26" s="601">
        <f>IF(ISERROR(资产负债表!AL68),"—",资产负债表!AL68)</f>
        <v>0</v>
      </c>
      <c r="P26" s="601">
        <f>IF(ISERROR(资产负债表!AM68),"—",资产负债表!AM68)</f>
        <v>0</v>
      </c>
    </row>
    <row r="27" spans="1:16" ht="15" customHeight="1">
      <c r="A27" s="53"/>
      <c r="B27" s="426" t="s">
        <v>89</v>
      </c>
      <c r="C27" s="601">
        <f>IF(ISERROR(利润表!Y66),"—",利润表!Y66)</f>
        <v>0</v>
      </c>
      <c r="D27" s="601">
        <f>IF(ISERROR(利润表!AC66),"—",利润表!AC66)</f>
        <v>0</v>
      </c>
      <c r="E27" s="601">
        <f>IF(ISERROR(利润表!AG66),"—",利润表!AG66)</f>
        <v>0</v>
      </c>
      <c r="F27" s="601">
        <f>IF(ISERROR(利润表!AK66),"—",利润表!AK66)</f>
        <v>0</v>
      </c>
      <c r="G27" s="601">
        <f>IF(ISERROR(利润表!AL66),"—",利润表!AL66)</f>
        <v>0</v>
      </c>
      <c r="H27" s="601">
        <f>IF(ISERROR(利润表!AM66),"—",利润表!AM66)</f>
        <v>0</v>
      </c>
      <c r="I27" s="161"/>
      <c r="J27" s="97" t="s">
        <v>341</v>
      </c>
      <c r="K27" s="601">
        <f t="shared" ref="K27:P27" si="4">IF(ISERROR(K28-K24-K25-K26),"—",K28-K24-K25-K26)</f>
        <v>0</v>
      </c>
      <c r="L27" s="601">
        <f t="shared" si="4"/>
        <v>0</v>
      </c>
      <c r="M27" s="601">
        <f t="shared" si="4"/>
        <v>0</v>
      </c>
      <c r="N27" s="601">
        <f t="shared" si="4"/>
        <v>0</v>
      </c>
      <c r="O27" s="601">
        <f t="shared" si="4"/>
        <v>0</v>
      </c>
      <c r="P27" s="601">
        <f t="shared" si="4"/>
        <v>0</v>
      </c>
    </row>
    <row r="28" spans="1:16" ht="15" customHeight="1">
      <c r="A28" s="53"/>
      <c r="B28" s="134" t="s">
        <v>342</v>
      </c>
      <c r="C28" s="607">
        <f>IF(ISERROR(利润表!Y69),"—",利润表!Y69)</f>
        <v>0</v>
      </c>
      <c r="D28" s="607">
        <f>IF(ISERROR(利润表!AC69),"—",利润表!AC69)</f>
        <v>0</v>
      </c>
      <c r="E28" s="607">
        <f>IF(ISERROR(利润表!AG69),"—",利润表!AG69)</f>
        <v>0</v>
      </c>
      <c r="F28" s="607">
        <f>IF(ISERROR(利润表!AK69),"—",利润表!AK69)</f>
        <v>0</v>
      </c>
      <c r="G28" s="607">
        <f>IF(ISERROR(利润表!AL69),"—",利润表!AL69)</f>
        <v>0</v>
      </c>
      <c r="H28" s="607">
        <f>IF(ISERROR(利润表!AM69),"—",利润表!AM69)</f>
        <v>0</v>
      </c>
      <c r="I28" s="96"/>
      <c r="J28" s="186" t="s">
        <v>343</v>
      </c>
      <c r="K28" s="615">
        <f>IF(ISERROR(资产负债表!Y73),"—",资产负债表!Y73)</f>
        <v>0</v>
      </c>
      <c r="L28" s="615">
        <f>IF(ISERROR(资产负债表!AC73),"—",资产负债表!AC73)</f>
        <v>0</v>
      </c>
      <c r="M28" s="615">
        <f>IF(ISERROR(资产负债表!AG73),"—",资产负债表!AG73)</f>
        <v>0</v>
      </c>
      <c r="N28" s="615">
        <f>IF(ISERROR(资产负债表!AK73),"—",资产负债表!AK73)</f>
        <v>0</v>
      </c>
      <c r="O28" s="615">
        <f>IF(ISERROR(资产负债表!AL73),"—",资产负债表!AL73)</f>
        <v>0</v>
      </c>
      <c r="P28" s="615">
        <f>IF(ISERROR(资产负债表!AM73),"—",资产负债表!AM73)</f>
        <v>0</v>
      </c>
    </row>
    <row r="29" spans="1:16" ht="15" customHeight="1">
      <c r="A29" s="53"/>
      <c r="B29" s="143" t="s">
        <v>344</v>
      </c>
      <c r="C29" s="603">
        <f>IF(ISERROR(利润表!Y73),"—",利润表!Y73)</f>
        <v>0</v>
      </c>
      <c r="D29" s="603">
        <f>IF(ISERROR(利润表!AC73),"—",利润表!AC73)</f>
        <v>0</v>
      </c>
      <c r="E29" s="603">
        <f>IF(ISERROR(利润表!AG73),"—",利润表!AG73)</f>
        <v>0</v>
      </c>
      <c r="F29" s="603">
        <f>IF(ISERROR(利润表!AK73),"—",利润表!AK73)</f>
        <v>0</v>
      </c>
      <c r="G29" s="603">
        <f>IF(ISERROR(利润表!AL73),"—",利润表!AL73)</f>
        <v>0</v>
      </c>
      <c r="H29" s="603">
        <f>IF(ISERROR(利润表!AM73),"—",利润表!AM73)</f>
        <v>0</v>
      </c>
      <c r="I29" s="161"/>
      <c r="J29" s="162" t="s">
        <v>345</v>
      </c>
      <c r="K29" s="603">
        <f>IF(ISERROR(资产负债表!Y76),"—",资产负债表!Y76)</f>
        <v>0</v>
      </c>
      <c r="L29" s="603">
        <f>IF(ISERROR(资产负债表!AC76),"—",资产负债表!AC76)</f>
        <v>0</v>
      </c>
      <c r="M29" s="603">
        <f>IF(ISERROR(资产负债表!AG76),"—",资产负债表!AG76)</f>
        <v>0</v>
      </c>
      <c r="N29" s="603">
        <f>IF(ISERROR(资产负债表!AK76),"—",资产负债表!AK76)</f>
        <v>0</v>
      </c>
      <c r="O29" s="603">
        <f>IF(ISERROR(资产负债表!AL76),"—",资产负债表!AL76)</f>
        <v>0</v>
      </c>
      <c r="P29" s="603">
        <f>IF(ISERROR(资产负债表!AM76),"—",资产负债表!AM76)</f>
        <v>0</v>
      </c>
    </row>
    <row r="30" spans="1:16" ht="15" customHeight="1">
      <c r="A30" s="53"/>
      <c r="B30" s="451" t="s">
        <v>321</v>
      </c>
      <c r="C30" s="608" t="str">
        <f>IF(ISERROR(利润表!Y75),"—",利润表!Y75)</f>
        <v>—</v>
      </c>
      <c r="D30" s="608" t="str">
        <f>IF(ISERROR(利润表!AC75),"—",利润表!AC75)</f>
        <v>—</v>
      </c>
      <c r="E30" s="608" t="str">
        <f>IF(ISERROR(利润表!AG75),"—",利润表!AG75)</f>
        <v>—</v>
      </c>
      <c r="F30" s="608" t="str">
        <f>IF(ISERROR(利润表!AK75),"—",利润表!AK75)</f>
        <v>—</v>
      </c>
      <c r="G30" s="608" t="str">
        <f>IF(ISERROR(利润表!AL75),"—",利润表!AL75)</f>
        <v>—</v>
      </c>
      <c r="H30" s="608" t="str">
        <f>IF(ISERROR(利润表!AM75),"—",利润表!AM75)</f>
        <v>—</v>
      </c>
      <c r="I30" s="161"/>
      <c r="J30" s="97" t="s">
        <v>346</v>
      </c>
      <c r="K30" s="601">
        <f>IF(ISERROR(资产负债表!Y78),"—",资产负债表!Y78)</f>
        <v>0</v>
      </c>
      <c r="L30" s="601">
        <f>IF(ISERROR(资产负债表!AC78),"—",资产负债表!AC78)</f>
        <v>0</v>
      </c>
      <c r="M30" s="601">
        <f>IF(ISERROR(资产负债表!AG78),"—",资产负债表!AG78)</f>
        <v>0</v>
      </c>
      <c r="N30" s="601">
        <f>IF(ISERROR(资产负债表!AK78),"—",资产负债表!AK78)</f>
        <v>0</v>
      </c>
      <c r="O30" s="601">
        <f>IF(ISERROR(资产负债表!AL78),"—",资产负债表!AL78)</f>
        <v>0</v>
      </c>
      <c r="P30" s="601">
        <f>IF(ISERROR(资产负债表!AM78),"—",资产负债表!AM78)</f>
        <v>0</v>
      </c>
    </row>
    <row r="31" spans="1:16" ht="15" customHeight="1">
      <c r="A31" s="53"/>
      <c r="B31" s="150" t="s">
        <v>93</v>
      </c>
      <c r="C31" s="609">
        <f>IF(ISERROR(利润表!Y81),"—",利润表!Y81)</f>
        <v>0</v>
      </c>
      <c r="D31" s="601">
        <f>IF(ISERROR(利润表!AC81),"—",利润表!AC81)</f>
        <v>0</v>
      </c>
      <c r="E31" s="601">
        <f>IF(ISERROR((利润表!AG81)),"—",(利润表!AG81))</f>
        <v>0</v>
      </c>
      <c r="F31" s="601">
        <f>IF(ISERROR(利润表!AK81),"—",利润表!AK81)</f>
        <v>0</v>
      </c>
      <c r="G31" s="601">
        <f>IF(ISERROR(利润表!AL81),"—",利润表!AL81)</f>
        <v>0</v>
      </c>
      <c r="H31" s="601">
        <f>IF(ISERROR(利润表!AM81),"—",利润表!AM81)</f>
        <v>0</v>
      </c>
      <c r="I31" s="512"/>
      <c r="J31" s="97" t="s">
        <v>347</v>
      </c>
      <c r="K31" s="601">
        <f>IF(ISERROR(资产负债表!Y82),"—",资产负债表!Y82)</f>
        <v>0</v>
      </c>
      <c r="L31" s="601">
        <f>IF(ISERROR(资产负债表!AC82),"—",资产负债表!AC82)</f>
        <v>0</v>
      </c>
      <c r="M31" s="601">
        <f>IF(ISERROR(资产负债表!AG82),"—",资产负债表!AG82)</f>
        <v>0</v>
      </c>
      <c r="N31" s="601">
        <f>IF(ISERROR(资产负债表!AK82),"—",资产负债表!AK82)</f>
        <v>0</v>
      </c>
      <c r="O31" s="601">
        <f>IF(ISERROR(资产负债表!AL82),"—",资产负债表!AL82)</f>
        <v>0</v>
      </c>
      <c r="P31" s="601">
        <f>IF(ISERROR(资产负债表!AM82),"—",资产负债表!AM82)</f>
        <v>0</v>
      </c>
    </row>
    <row r="32" spans="1:16" ht="15" customHeight="1">
      <c r="A32" s="53"/>
      <c r="B32" s="150" t="s">
        <v>348</v>
      </c>
      <c r="C32" s="609">
        <f>IF(ISERROR(利润表!Y84),"—",利润表!Y84)</f>
        <v>0</v>
      </c>
      <c r="D32" s="601">
        <f>IF(ISERROR(利润表!AC84),"—",利润表!AC84)</f>
        <v>0</v>
      </c>
      <c r="E32" s="601">
        <f>IF(ISERROR((利润表!AG84)),"—",(利润表!AG84))</f>
        <v>0</v>
      </c>
      <c r="F32" s="601">
        <f>IF(ISERROR(利润表!AK84),"—",利润表!AK84)</f>
        <v>0</v>
      </c>
      <c r="G32" s="601">
        <f>IF(ISERROR(利润表!AL84),"—",利润表!AL84)</f>
        <v>0</v>
      </c>
      <c r="H32" s="601">
        <f>IF(ISERROR(利润表!AM84),"—",利润表!AM84)</f>
        <v>0</v>
      </c>
      <c r="I32" s="161"/>
      <c r="J32" s="97" t="s">
        <v>349</v>
      </c>
      <c r="K32" s="601">
        <f>IF(ISERROR(资产负债表!Y89),"—",资产负债表!Y89)</f>
        <v>0</v>
      </c>
      <c r="L32" s="601">
        <f>IF(ISERROR(资产负债表!AC89),"—",资产负债表!AC89)</f>
        <v>0</v>
      </c>
      <c r="M32" s="601">
        <f>IF(ISERROR(资产负债表!AG89),"—",资产负债表!AG89)</f>
        <v>0</v>
      </c>
      <c r="N32" s="601">
        <f>IF(ISERROR(资产负债表!AK89),"—",资产负债表!AK89)</f>
        <v>0</v>
      </c>
      <c r="O32" s="601">
        <f>IF(ISERROR(资产负债表!AL89),"—",资产负债表!AL89)</f>
        <v>0</v>
      </c>
      <c r="P32" s="601">
        <f>IF(ISERROR(资产负债表!AM89),"—",资产负债表!AM89)</f>
        <v>0</v>
      </c>
    </row>
    <row r="33" spans="2:16" ht="15" customHeight="1">
      <c r="B33" s="451" t="s">
        <v>321</v>
      </c>
      <c r="C33" s="610" t="str">
        <f>IF(ISERROR((利润表!Y84-利润表!U84)/ABS(利润表!U84)),"—",(利润表!Y84-利润表!U84)/ABS(利润表!U84))</f>
        <v>—</v>
      </c>
      <c r="D33" s="600" t="str">
        <f>IF(ISERROR((D32-C32)/ABS(C32)),"—",(D32-C32)/ABS(C32))</f>
        <v>—</v>
      </c>
      <c r="E33" s="600" t="str">
        <f>IF(ISERROR((E32-D32)/ABS(D32)),"—",(E32-D32)/ABS(D32))</f>
        <v>—</v>
      </c>
      <c r="F33" s="600" t="str">
        <f>IF(ISERROR((F32-E32)/ABS(E32)),"—",(F32-E32)/ABS(E32))</f>
        <v>—</v>
      </c>
      <c r="G33" s="600" t="str">
        <f>IF(ISERROR((G32-F32)/ABS(F32)),"—",(G32-F32)/ABS(F32))</f>
        <v>—</v>
      </c>
      <c r="H33" s="600" t="str">
        <f>IF(ISERROR((H32-G32)/ABS(G32)),"—",(H32-G32)/ABS(G32))</f>
        <v>—</v>
      </c>
      <c r="I33" s="96"/>
      <c r="J33" s="97" t="s">
        <v>350</v>
      </c>
      <c r="K33" s="601">
        <f>IF(ISERROR(资产负债表!Y91),"—",资产负债表!Y91)</f>
        <v>0</v>
      </c>
      <c r="L33" s="601">
        <f>IF(ISERROR(资产负债表!AC91),"—",资产负债表!AC91)</f>
        <v>0</v>
      </c>
      <c r="M33" s="601">
        <f>IF(ISERROR(资产负债表!AG91),"—",资产负债表!AG91)</f>
        <v>0</v>
      </c>
      <c r="N33" s="601">
        <f>IF(ISERROR(资产负债表!AK91),"—",资产负债表!AK91)</f>
        <v>0</v>
      </c>
      <c r="O33" s="601">
        <f>IF(ISERROR(资产负债表!AL91),"—",资产负债表!AL91)</f>
        <v>0</v>
      </c>
      <c r="P33" s="601">
        <f>IF(ISERROR(资产负债表!AM91),"—",资产负债表!AM91)</f>
        <v>0</v>
      </c>
    </row>
    <row r="34" spans="2:16" ht="15" customHeight="1">
      <c r="B34" s="97" t="s">
        <v>351</v>
      </c>
      <c r="C34" s="601">
        <f>IF(ISERROR(利润表!Y86),"—",利润表!Y86)</f>
        <v>0</v>
      </c>
      <c r="D34" s="601">
        <f>IF(ISERROR(利润表!AC86),"—",利润表!AC86)</f>
        <v>0</v>
      </c>
      <c r="E34" s="601">
        <f>IF(ISERROR(利润表!AG86),"—",利润表!AG86)</f>
        <v>0</v>
      </c>
      <c r="F34" s="601">
        <f>IF(ISERROR(利润表!AK86),"—",利润表!AK86)</f>
        <v>0</v>
      </c>
      <c r="G34" s="601">
        <f>IF(ISERROR(利润表!AL86),"—",利润表!AL86)</f>
        <v>0</v>
      </c>
      <c r="H34" s="601">
        <f>IF(ISERROR(利润表!AM86),"—",利润表!AM86)</f>
        <v>0</v>
      </c>
      <c r="I34" s="513"/>
      <c r="J34" s="97" t="s">
        <v>352</v>
      </c>
      <c r="K34" s="601">
        <f>IF(ISERROR(资产负债表!Y93),"—",资产负债表!Y93)</f>
        <v>0</v>
      </c>
      <c r="L34" s="601">
        <f>IF(ISERROR(资产负债表!AC93),"—",资产负债表!AC93)</f>
        <v>0</v>
      </c>
      <c r="M34" s="601">
        <f>IF(ISERROR(资产负债表!AG93),"—",资产负债表!AG93)</f>
        <v>0</v>
      </c>
      <c r="N34" s="601">
        <f>IF(ISERROR(资产负债表!AK93),"—",资产负债表!AK93)</f>
        <v>0</v>
      </c>
      <c r="O34" s="601">
        <f>IF(ISERROR(资产负债表!AL93),"—",资产负债表!AL93)</f>
        <v>0</v>
      </c>
      <c r="P34" s="601">
        <f>IF(ISERROR(资产负债表!AM93),"—",资产负债表!AM93)</f>
        <v>0</v>
      </c>
    </row>
    <row r="35" spans="2:16" ht="15" customHeight="1">
      <c r="B35" s="425" t="s">
        <v>353</v>
      </c>
      <c r="C35" s="608" t="str">
        <f>IF(ISERROR(利润表!Y87),"—",利润表!Y87)</f>
        <v>—</v>
      </c>
      <c r="D35" s="608" t="str">
        <f>IF(ISERROR(利润表!AC87),"—",利润表!AC87)</f>
        <v>—</v>
      </c>
      <c r="E35" s="608" t="str">
        <f>IF(ISERROR(利润表!AG87),"—",利润表!AG87)</f>
        <v>—</v>
      </c>
      <c r="F35" s="608" t="str">
        <f>IF(ISERROR(利润表!AK87),"—",利润表!AK87)</f>
        <v>—</v>
      </c>
      <c r="G35" s="608" t="str">
        <f>IF(ISERROR(利润表!AL87),"—",利润表!AL87)</f>
        <v>—</v>
      </c>
      <c r="H35" s="608" t="str">
        <f>IF(ISERROR(利润表!AM87),"—",利润表!AM87)</f>
        <v>—</v>
      </c>
      <c r="I35" s="513"/>
      <c r="J35" s="614" t="s">
        <v>354</v>
      </c>
      <c r="K35" s="616">
        <f>IF(ISERROR(资产负债表!Y95),"—",资产负债表!Y95)</f>
        <v>0</v>
      </c>
      <c r="L35" s="616">
        <f>IF(ISERROR(资产负债表!AC95),"—",资产负债表!AC95)</f>
        <v>0</v>
      </c>
      <c r="M35" s="616">
        <f>IF(ISERROR(资产负债表!AG95),"—",资产负债表!AG95)</f>
        <v>0</v>
      </c>
      <c r="N35" s="616">
        <f>IF(ISERROR(资产负债表!AK95),"—",资产负债表!AK95)</f>
        <v>0</v>
      </c>
      <c r="O35" s="616">
        <f>IF(ISERROR(资产负债表!AL95),"—",资产负债表!AL95)</f>
        <v>0</v>
      </c>
      <c r="P35" s="616">
        <f>IF(ISERROR(资产负债表!AM95),"—",资产负债表!AM95)</f>
        <v>0</v>
      </c>
    </row>
    <row r="36" spans="2:16" ht="15" customHeight="1">
      <c r="B36" s="117" t="s">
        <v>355</v>
      </c>
      <c r="C36" s="601">
        <f>IF(ISERROR(利润表!Y88),"—",利润表!Y88)</f>
        <v>0</v>
      </c>
      <c r="D36" s="601">
        <f>IF(ISERROR(利润表!AC88),"—",利润表!AC88)</f>
        <v>0</v>
      </c>
      <c r="E36" s="601">
        <f>IF(ISERROR(利润表!AG88),"—",利润表!AG88)</f>
        <v>0</v>
      </c>
      <c r="F36" s="601">
        <f>IF(ISERROR(利润表!AK88),"—",利润表!AK88)</f>
        <v>0</v>
      </c>
      <c r="G36" s="601">
        <f>IF(ISERROR(利润表!AL88),"—",利润表!AL88)</f>
        <v>0</v>
      </c>
      <c r="H36" s="601">
        <f>IF(ISERROR(利润表!AM88),"—",利润表!AM88)</f>
        <v>0</v>
      </c>
      <c r="I36" s="513"/>
    </row>
    <row r="37" spans="2:16" ht="15" customHeight="1">
      <c r="B37" s="386" t="s">
        <v>97</v>
      </c>
      <c r="C37" s="611">
        <f>IF(ISERROR(利润表!Y91),"—",利润表!Y91)</f>
        <v>0</v>
      </c>
      <c r="D37" s="607">
        <f>IF(ISERROR(利润表!AC91),"—",利润表!AC91)</f>
        <v>0</v>
      </c>
      <c r="E37" s="607">
        <f>IF(ISERROR(利润表!AG91),"—",利润表!AG91)</f>
        <v>0</v>
      </c>
      <c r="F37" s="607">
        <f>IF(ISERROR(利润表!AK91),"—",利润表!AK91)</f>
        <v>0</v>
      </c>
      <c r="G37" s="607">
        <f>IF(ISERROR(利润表!AL91),"—",利润表!AL91)</f>
        <v>0</v>
      </c>
      <c r="H37" s="607">
        <f>IF(ISERROR(利润表!AM91),"—",利润表!AM91)</f>
        <v>0</v>
      </c>
    </row>
    <row r="38" spans="2:16" ht="15" customHeight="1">
      <c r="B38" s="162" t="s">
        <v>356</v>
      </c>
      <c r="C38" s="603">
        <f>IF(ISERROR(利润表!Y94),"—",利润表!Y94)</f>
        <v>0</v>
      </c>
      <c r="D38" s="603">
        <f>IF(ISERROR(利润表!AC94),"—",利润表!AC94)</f>
        <v>0</v>
      </c>
      <c r="E38" s="603">
        <f>IF(ISERROR(利润表!AG94),"—",利润表!AG94)</f>
        <v>0</v>
      </c>
      <c r="F38" s="603">
        <f>IF(ISERROR(利润表!AK94),"—",利润表!AK94)</f>
        <v>0</v>
      </c>
      <c r="G38" s="603">
        <f>IF(ISERROR(利润表!AL94),"—",利润表!AL94)</f>
        <v>0</v>
      </c>
      <c r="H38" s="603">
        <f>IF(ISERROR(利润表!AM94),"—",利润表!AM94)</f>
        <v>0</v>
      </c>
      <c r="J38" s="596" t="s">
        <v>357</v>
      </c>
      <c r="K38" s="597">
        <f t="shared" ref="K38:P38" si="5">C2</f>
        <v>2021</v>
      </c>
      <c r="L38" s="597">
        <f t="shared" si="5"/>
        <v>2022</v>
      </c>
      <c r="M38" s="597">
        <f t="shared" si="5"/>
        <v>2023</v>
      </c>
      <c r="N38" s="598" t="str">
        <f t="shared" si="5"/>
        <v>2024E</v>
      </c>
      <c r="O38" s="598">
        <f t="shared" si="5"/>
        <v>2025</v>
      </c>
      <c r="P38" s="598">
        <f t="shared" si="5"/>
        <v>2026</v>
      </c>
    </row>
    <row r="39" spans="2:16" ht="15" customHeight="1">
      <c r="B39" s="451" t="s">
        <v>321</v>
      </c>
      <c r="C39" s="608" t="str">
        <f>IF(ISERROR(利润表!Y96),"—",利润表!Y96)</f>
        <v>—</v>
      </c>
      <c r="D39" s="608" t="str">
        <f>IF(ISERROR(利润表!AC96),"—",利润表!AC96)</f>
        <v>—</v>
      </c>
      <c r="E39" s="608" t="str">
        <f>IF(ISERROR(利润表!AG96),"—",利润表!AG96)</f>
        <v>—</v>
      </c>
      <c r="F39" s="608" t="str">
        <f>IF(ISERROR(利润表!AK96),"—",利润表!AK96)</f>
        <v>—</v>
      </c>
      <c r="G39" s="608" t="str">
        <f>IF(ISERROR(利润表!AL96),"—",利润表!AL96)</f>
        <v>—</v>
      </c>
      <c r="H39" s="608" t="str">
        <f>IF(ISERROR(利润表!AM96),"—",利润表!AM96)</f>
        <v>—</v>
      </c>
      <c r="J39" s="162" t="s">
        <v>358</v>
      </c>
      <c r="K39" s="617"/>
      <c r="L39" s="617"/>
      <c r="M39" s="617"/>
      <c r="N39" s="617"/>
      <c r="O39" s="617"/>
      <c r="P39" s="617"/>
    </row>
    <row r="40" spans="2:16" ht="15" customHeight="1">
      <c r="B40" s="612" t="s">
        <v>359</v>
      </c>
      <c r="C40" s="613" t="str">
        <f>IF(ISERROR(利润表!Y95),"—",利润表!Y95)</f>
        <v>—</v>
      </c>
      <c r="D40" s="613" t="str">
        <f>IF(ISERROR(利润表!AC95),"—",利润表!AC95)</f>
        <v>—</v>
      </c>
      <c r="E40" s="613" t="str">
        <f>IF(ISERROR(利润表!AG95),"—",利润表!AG95)</f>
        <v>—</v>
      </c>
      <c r="F40" s="613" t="str">
        <f>IF(ISERROR(利润表!AK95),"—",利润表!AK95)</f>
        <v>—</v>
      </c>
      <c r="G40" s="613" t="str">
        <f>IF(ISERROR(利润表!AL95),"—",利润表!AL95)</f>
        <v>—</v>
      </c>
      <c r="H40" s="613" t="str">
        <f>IF(ISERROR(利润表!AM95),"—",利润表!AM95)</f>
        <v>—</v>
      </c>
      <c r="J40" s="150" t="s">
        <v>360</v>
      </c>
      <c r="K40" s="618" t="str">
        <f>IF(ISERROR(利润表!Y94/资产负债表!Y89),"—",利润表!Y94/资产负债表!Y89)</f>
        <v>—</v>
      </c>
      <c r="L40" s="618" t="str">
        <f>IF(ISERROR(利润表!AC94/资产负债表!AC89),"—",利润表!AC94/资产负债表!AC89)</f>
        <v>—</v>
      </c>
      <c r="M40" s="618" t="str">
        <f>IF(ISERROR(利润表!AG94/资产负债表!AG89),"—",利润表!AG94/资产负债表!AG89)</f>
        <v>—</v>
      </c>
      <c r="N40" s="618" t="str">
        <f>IF(ISERROR(利润表!AK94/资产负债表!AK89),"—",利润表!AK94/资产负债表!AK89)</f>
        <v>—</v>
      </c>
      <c r="O40" s="618" t="str">
        <f>IF(ISERROR(利润表!AL94/资产负债表!AL89),"—",利润表!AL94/资产负债表!AL89)</f>
        <v>—</v>
      </c>
      <c r="P40" s="618" t="str">
        <f>IF(ISERROR(利润表!AM94/资产负债表!AM89),"—",利润表!AM94/资产负债表!AM89)</f>
        <v>—</v>
      </c>
    </row>
    <row r="41" spans="2:16" ht="15" customHeight="1">
      <c r="B41" s="425"/>
      <c r="C41" s="600"/>
      <c r="D41" s="600"/>
      <c r="E41" s="600"/>
      <c r="F41" s="600"/>
      <c r="G41" s="600"/>
      <c r="H41" s="600"/>
      <c r="J41" s="150" t="s">
        <v>361</v>
      </c>
      <c r="K41" s="367" t="str">
        <f>IF(ISERROR(利润表!Y88*2/(资产负债表!U45+资产负债表!Y45)),"—",利润表!Y88*2/(资产负债表!U45+资产负债表!Y45))</f>
        <v>—</v>
      </c>
      <c r="L41" s="367" t="str">
        <f>IF(ISERROR(利润表!AC88*2/(资产负债表!Y45+资产负债表!AC45)),"—",利润表!AC88*2/(资产负债表!Y45+资产负债表!AC45))</f>
        <v>—</v>
      </c>
      <c r="M41" s="367" t="str">
        <f>IF(ISERROR(利润表!AG88*2/(资产负债表!AC45+资产负债表!AG45)),"—",利润表!AG88*2/(资产负债表!AC45+资产负债表!AG45))</f>
        <v>—</v>
      </c>
      <c r="N41" s="367" t="str">
        <f>IF(ISERROR(利润表!AK88*2/(资产负债表!AG45+资产负债表!AK45)),"—",利润表!AK88*2/(资产负债表!AG45+资产负债表!AK45))</f>
        <v>—</v>
      </c>
      <c r="O41" s="367" t="str">
        <f>IF(ISERROR(利润表!AL88*2/(资产负债表!AK45+资产负债表!AL45)),"—",利润表!AL88*2/(资产负债表!AK45+资产负债表!AL45))</f>
        <v>—</v>
      </c>
      <c r="P41" s="367" t="str">
        <f>IF(ISERROR(利润表!AM88*2/(资产负债表!AL45+资产负债表!AM45)),"—",利润表!AM88*2/(资产负债表!AL45+资产负债表!AM45))</f>
        <v>—</v>
      </c>
    </row>
    <row r="42" spans="2:16" ht="15" customHeight="1">
      <c r="J42" s="150" t="s">
        <v>362</v>
      </c>
      <c r="K42" s="367" t="str">
        <f>IF(ISERROR(利润表!Y45*(1-利润表!Y87)/资产负债表!Y105),"—",利润表!Y45*(1-利润表!Y87)/资产负债表!Y105)</f>
        <v>—</v>
      </c>
      <c r="L42" s="367" t="str">
        <f>IF(ISERROR(利润表!AC45*(1-利润表!AC87)/资产负债表!AC105),"—",利润表!AC45*(1-利润表!AC87)/资产负债表!AC105)</f>
        <v>—</v>
      </c>
      <c r="M42" s="367" t="str">
        <f>IF(ISERROR(利润表!AG45*(1-利润表!AG87)/资产负债表!AG105),"—",利润表!AG45*(1-利润表!AG87)/资产负债表!AG105)</f>
        <v>—</v>
      </c>
      <c r="N42" s="367" t="str">
        <f>IF(ISERROR(利润表!AK45*(1-利润表!AK87)/资产负债表!AK105),"—",利润表!AK45*(1-利润表!AK87)/资产负债表!AK105)</f>
        <v>—</v>
      </c>
      <c r="O42" s="367" t="str">
        <f>IF(ISERROR(利润表!AL45*(1-利润表!AL87)/资产负债表!AL105),"—",利润表!AL45*(1-利润表!AL87)/资产负债表!AL105)</f>
        <v>—</v>
      </c>
      <c r="P42" s="367" t="str">
        <f>IF(ISERROR(利润表!AM45*(1-利润表!AM87)/资产负债表!AM105),"—",利润表!AM45*(1-利润表!AM87)/资产负债表!AM105)</f>
        <v>—</v>
      </c>
    </row>
    <row r="43" spans="2:16" ht="15" customHeight="1">
      <c r="B43" s="596" t="str">
        <f>"现金流量表(人民币"&amp;目录!$D$5&amp;")"</f>
        <v>现金流量表(人民币百万元)</v>
      </c>
      <c r="C43" s="597">
        <f t="shared" ref="C43:H43" si="6">C2</f>
        <v>2021</v>
      </c>
      <c r="D43" s="597">
        <f t="shared" si="6"/>
        <v>2022</v>
      </c>
      <c r="E43" s="597">
        <f t="shared" si="6"/>
        <v>2023</v>
      </c>
      <c r="F43" s="598" t="str">
        <f t="shared" si="6"/>
        <v>2024E</v>
      </c>
      <c r="G43" s="598">
        <f t="shared" si="6"/>
        <v>2025</v>
      </c>
      <c r="H43" s="598">
        <f t="shared" si="6"/>
        <v>2026</v>
      </c>
      <c r="J43" s="150" t="s">
        <v>363</v>
      </c>
      <c r="K43" s="367" t="str">
        <f>IF(ISERROR(利润表!Y89),"—",利润表!Y89)</f>
        <v>—</v>
      </c>
      <c r="L43" s="367" t="str">
        <f>IF(ISERROR(利润表!AC89),"—",利润表!AC89)</f>
        <v>—</v>
      </c>
      <c r="M43" s="367" t="str">
        <f>IF(ISERROR(利润表!AG89),"—",利润表!AG89)</f>
        <v>—</v>
      </c>
      <c r="N43" s="367" t="str">
        <f>IF(ISERROR(利润表!AK89),"—",利润表!AK89)</f>
        <v>—</v>
      </c>
      <c r="O43" s="367" t="str">
        <f>IF(ISERROR(利润表!AL89),"—",利润表!AL89)</f>
        <v>—</v>
      </c>
      <c r="P43" s="367" t="str">
        <f>IF(ISERROR(利润表!AM89),"—",利润表!AM89)</f>
        <v>—</v>
      </c>
    </row>
    <row r="44" spans="2:16" ht="15" customHeight="1">
      <c r="B44" s="150" t="s">
        <v>364</v>
      </c>
      <c r="C44" s="601">
        <f t="shared" ref="C44:H44" si="7">C38</f>
        <v>0</v>
      </c>
      <c r="D44" s="601">
        <f t="shared" si="7"/>
        <v>0</v>
      </c>
      <c r="E44" s="601">
        <f t="shared" si="7"/>
        <v>0</v>
      </c>
      <c r="F44" s="601">
        <f t="shared" si="7"/>
        <v>0</v>
      </c>
      <c r="G44" s="601">
        <f t="shared" si="7"/>
        <v>0</v>
      </c>
      <c r="H44" s="601">
        <f t="shared" si="7"/>
        <v>0</v>
      </c>
      <c r="J44" s="150" t="s">
        <v>66</v>
      </c>
      <c r="K44" s="367" t="str">
        <f>IF(ISERROR(利润表!Y23),"—",利润表!Y23)</f>
        <v>—</v>
      </c>
      <c r="L44" s="367" t="str">
        <f>IF(ISERROR(利润表!AC23),"—",利润表!AC23)</f>
        <v>—</v>
      </c>
      <c r="M44" s="367" t="str">
        <f>IF(ISERROR(利润表!AG23),"—",利润表!AG23)</f>
        <v>—</v>
      </c>
      <c r="N44" s="367" t="str">
        <f>IF(ISERROR(利润表!AK23),"—",利润表!AK23)</f>
        <v>—</v>
      </c>
      <c r="O44" s="367" t="str">
        <f>IF(ISERROR(利润表!AL23),"—",利润表!AL23)</f>
        <v>—</v>
      </c>
      <c r="P44" s="367" t="str">
        <f>IF(ISERROR(利润表!AM23),"—",利润表!AM23)</f>
        <v>—</v>
      </c>
    </row>
    <row r="45" spans="2:16" ht="15" customHeight="1">
      <c r="B45" s="150" t="s">
        <v>97</v>
      </c>
      <c r="C45" s="601">
        <f t="shared" ref="C45:H45" si="8">C37</f>
        <v>0</v>
      </c>
      <c r="D45" s="601">
        <f t="shared" si="8"/>
        <v>0</v>
      </c>
      <c r="E45" s="601">
        <f t="shared" si="8"/>
        <v>0</v>
      </c>
      <c r="F45" s="601">
        <f t="shared" si="8"/>
        <v>0</v>
      </c>
      <c r="G45" s="601">
        <f t="shared" si="8"/>
        <v>0</v>
      </c>
      <c r="H45" s="601">
        <f t="shared" si="8"/>
        <v>0</v>
      </c>
      <c r="J45" s="143" t="s">
        <v>365</v>
      </c>
      <c r="K45" s="619"/>
      <c r="L45" s="619"/>
      <c r="M45" s="619"/>
      <c r="N45" s="619"/>
      <c r="O45" s="619"/>
      <c r="P45" s="619"/>
    </row>
    <row r="46" spans="2:16" ht="15" customHeight="1">
      <c r="B46" s="150" t="s">
        <v>366</v>
      </c>
      <c r="C46" s="601">
        <f>IF(ISERROR(现金流量表!Y9),"—",现金流量表!Y9)</f>
        <v>0</v>
      </c>
      <c r="D46" s="601">
        <f>IF(ISERROR(现金流量表!AC9),"—",现金流量表!AC9)</f>
        <v>0</v>
      </c>
      <c r="E46" s="601">
        <f>IF(ISERROR(现金流量表!AG9),"—",现金流量表!AG9)</f>
        <v>0</v>
      </c>
      <c r="F46" s="601">
        <f>IF(ISERROR(现金流量表!AK9),"—",现金流量表!AK9)</f>
        <v>0</v>
      </c>
      <c r="G46" s="601">
        <f>IF(ISERROR(现金流量表!AL9),"—",现金流量表!AL9)</f>
        <v>0</v>
      </c>
      <c r="H46" s="601">
        <f>IF(ISERROR(现金流量表!AM9),"—",现金流量表!AM9)</f>
        <v>0</v>
      </c>
      <c r="J46" s="150" t="s">
        <v>307</v>
      </c>
      <c r="K46" s="367" t="str">
        <f>IF(ISERROR(利润表!Y7),"—",利润表!Y7)</f>
        <v>—</v>
      </c>
      <c r="L46" s="367" t="str">
        <f>IF(ISERROR(利润表!AC7),"—",利润表!AC7)</f>
        <v>—</v>
      </c>
      <c r="M46" s="367" t="str">
        <f>IF(ISERROR(利润表!AG7),"—",利润表!AG7)</f>
        <v>—</v>
      </c>
      <c r="N46" s="367" t="str">
        <f>IF(ISERROR(利润表!AK7),"—",利润表!AK7)</f>
        <v>—</v>
      </c>
      <c r="O46" s="367" t="str">
        <f>IF(ISERROR(利润表!AL7),"—",利润表!AL7)</f>
        <v>—</v>
      </c>
      <c r="P46" s="367" t="str">
        <f>IF(ISERROR(利润表!AM7),"—",利润表!AM7)</f>
        <v>—</v>
      </c>
    </row>
    <row r="47" spans="2:16" ht="15" customHeight="1">
      <c r="B47" s="97" t="s">
        <v>367</v>
      </c>
      <c r="C47" s="601">
        <f>IF(ISERROR(现金流量表!Y16),"—",现金流量表!Y16)</f>
        <v>0</v>
      </c>
      <c r="D47" s="601">
        <f>IF(ISERROR(现金流量表!AC16),"—",现金流量表!AC16)</f>
        <v>0</v>
      </c>
      <c r="E47" s="601">
        <f>IF(ISERROR(现金流量表!AG16),"—",现金流量表!AG16)</f>
        <v>0</v>
      </c>
      <c r="F47" s="601">
        <f>IF(ISERROR(现金流量表!AK16),"—",现金流量表!AK16)</f>
        <v>0</v>
      </c>
      <c r="G47" s="601">
        <f>IF(ISERROR(现金流量表!AL16),"—",现金流量表!AL16)</f>
        <v>0</v>
      </c>
      <c r="H47" s="601">
        <f>IF(ISERROR(现金流量表!AM16),"—",现金流量表!AM16)</f>
        <v>0</v>
      </c>
      <c r="J47" s="150" t="s">
        <v>368</v>
      </c>
      <c r="K47" s="367" t="str">
        <f>IF(ISERROR(利润表!Y47),"—",利润表!Y47)</f>
        <v>—</v>
      </c>
      <c r="L47" s="367" t="str">
        <f>IF(ISERROR(利润表!AC47),"—",利润表!AC47)</f>
        <v>—</v>
      </c>
      <c r="M47" s="367" t="str">
        <f>IF(ISERROR(利润表!AG47),"—",利润表!AG47)</f>
        <v>—</v>
      </c>
      <c r="N47" s="367" t="str">
        <f>IF(ISERROR(利润表!AK47),"—",利润表!AK47)</f>
        <v>—</v>
      </c>
      <c r="O47" s="367" t="str">
        <f>IF(ISERROR(利润表!AL47),"—",利润表!AL47)</f>
        <v>—</v>
      </c>
      <c r="P47" s="367" t="str">
        <f>IF(ISERROR(利润表!AM47),"—",利润表!AM47)</f>
        <v>—</v>
      </c>
    </row>
    <row r="48" spans="2:16" ht="15" customHeight="1">
      <c r="B48" s="97" t="s">
        <v>369</v>
      </c>
      <c r="C48" s="601">
        <f>IF(ISERROR(现金流量表!Y23),"—",现金流量表!Y23)</f>
        <v>0</v>
      </c>
      <c r="D48" s="601">
        <f>IF(ISERROR(现金流量表!AC23),"—",现金流量表!AC23)</f>
        <v>0</v>
      </c>
      <c r="E48" s="601">
        <f>IF(ISERROR(现金流量表!AG23),"—",现金流量表!AG23)</f>
        <v>0</v>
      </c>
      <c r="F48" s="601">
        <f>IF(ISERROR(现金流量表!AK23),"—",现金流量表!AK23)</f>
        <v>0</v>
      </c>
      <c r="G48" s="601">
        <f>IF(ISERROR(现金流量表!AL23),"—",现金流量表!AL23)</f>
        <v>0</v>
      </c>
      <c r="H48" s="601">
        <f>IF(ISERROR(现金流量表!AM23),"—",现金流量表!AM23)</f>
        <v>0</v>
      </c>
      <c r="J48" s="150" t="s">
        <v>308</v>
      </c>
      <c r="K48" s="367" t="str">
        <f>IF(ISERROR(利润表!Y96),"—",利润表!Y96)</f>
        <v>—</v>
      </c>
      <c r="L48" s="367" t="str">
        <f>IF(ISERROR(利润表!AC96),"—",利润表!AC96)</f>
        <v>—</v>
      </c>
      <c r="M48" s="367" t="str">
        <f>IF(ISERROR(利润表!AG96),"—",利润表!AG96)</f>
        <v>—</v>
      </c>
      <c r="N48" s="367" t="str">
        <f>IF(ISERROR(利润表!AK96),"—",利润表!AK96)</f>
        <v>—</v>
      </c>
      <c r="O48" s="367" t="str">
        <f>IF(ISERROR(利润表!AL96),"—",利润表!AL96)</f>
        <v>—</v>
      </c>
      <c r="P48" s="367" t="str">
        <f>IF(ISERROR(利润表!AM96),"—",利润表!AM96)</f>
        <v>—</v>
      </c>
    </row>
    <row r="49" spans="2:17" ht="15" customHeight="1">
      <c r="B49" s="162" t="s">
        <v>370</v>
      </c>
      <c r="C49" s="603">
        <f>IF(ISERROR(现金流量表!Y36),"—",现金流量表!Y36)</f>
        <v>0</v>
      </c>
      <c r="D49" s="603">
        <f>IF(ISERROR(现金流量表!AC36),"—",现金流量表!AC36)</f>
        <v>0</v>
      </c>
      <c r="E49" s="603">
        <f>IF(ISERROR(现金流量表!AG36),"—",现金流量表!AG36)</f>
        <v>0</v>
      </c>
      <c r="F49" s="603">
        <f>IF(ISERROR(现金流量表!AK36),"—",现金流量表!AK36)</f>
        <v>0</v>
      </c>
      <c r="G49" s="603">
        <f>IF(ISERROR(现金流量表!AL36),"—",现金流量表!AL36)</f>
        <v>0</v>
      </c>
      <c r="H49" s="603">
        <f>IF(ISERROR(现金流量表!AM36),"—",现金流量表!AM36)</f>
        <v>0</v>
      </c>
      <c r="J49" s="150" t="s">
        <v>371</v>
      </c>
      <c r="K49" s="367" t="str">
        <f>IF(ISERROR((资产负债表!Y45-资产负债表!U45)/ABS(资产负债表!U45)),"—",(资产负债表!Y45-资产负债表!U45)/ABS(资产负债表!U45))</f>
        <v>—</v>
      </c>
      <c r="L49" s="367" t="str">
        <f>IF(ISERROR((资产负债表!AC45-资产负债表!Y45)/ABS(资产负债表!Y45)),"—",(资产负债表!AC45-资产负债表!Y45)/ABS(资产负债表!Y45))</f>
        <v>—</v>
      </c>
      <c r="M49" s="367" t="str">
        <f>IF(ISERROR((资产负债表!AG45-资产负债表!AC45)/ABS(资产负债表!AC45)),"—",(资产负债表!AG45-资产负债表!AC45)/ABS(资产负债表!AC45))</f>
        <v>—</v>
      </c>
      <c r="N49" s="367" t="str">
        <f>IF(ISERROR((资产负债表!AK45-资产负债表!AG45)/ABS(资产负债表!AG45)),"—",(资产负债表!AK45-资产负债表!AG45)/ABS(资产负债表!AG45))</f>
        <v>—</v>
      </c>
      <c r="O49" s="367" t="str">
        <f>IF(ISERROR((资产负债表!AL45-资产负债表!AK45)/ABS(资产负债表!AK45)),"—",(资产负债表!AL45-资产负债表!AK45)/ABS(资产负债表!AK45))</f>
        <v>—</v>
      </c>
      <c r="P49" s="367" t="str">
        <f>IF(ISERROR((资产负债表!AM45-资产负债表!AL45)/ABS(资产负债表!AL45)),"—",(资产负债表!AM45-资产负债表!AL45)/ABS(资产负债表!AL45))</f>
        <v>—</v>
      </c>
    </row>
    <row r="50" spans="2:17" ht="15" customHeight="1">
      <c r="B50" s="97" t="s">
        <v>372</v>
      </c>
      <c r="C50" s="601">
        <f>IF(ISERROR(现金流量表!Y47),"—",现金流量表!Y47)</f>
        <v>0</v>
      </c>
      <c r="D50" s="601">
        <f>IF(ISERROR(现金流量表!AC47),"—",现金流量表!AC47)</f>
        <v>0</v>
      </c>
      <c r="E50" s="601">
        <f>IF(ISERROR(现金流量表!AG47),"—",现金流量表!AG47)</f>
        <v>0</v>
      </c>
      <c r="F50" s="601">
        <f>IF(ISERROR(现金流量表!AK47),"—",现金流量表!AK47)</f>
        <v>0</v>
      </c>
      <c r="G50" s="601">
        <f>IF(ISERROR(现金流量表!AL47),"—",现金流量表!AL47)</f>
        <v>0</v>
      </c>
      <c r="H50" s="601">
        <f>IF(ISERROR(现金流量表!AM47),"—",现金流量表!AM47)</f>
        <v>0</v>
      </c>
      <c r="J50" s="143" t="s">
        <v>373</v>
      </c>
      <c r="K50" s="620"/>
      <c r="L50" s="620"/>
      <c r="M50" s="620"/>
      <c r="N50" s="620"/>
      <c r="O50" s="620"/>
      <c r="P50" s="620"/>
      <c r="Q50" s="626"/>
    </row>
    <row r="51" spans="2:17" ht="15" customHeight="1">
      <c r="B51" s="97" t="s">
        <v>374</v>
      </c>
      <c r="C51" s="601">
        <f>IF(ISERROR(现金流量表!Y39),"—",现金流量表!Y39)</f>
        <v>0</v>
      </c>
      <c r="D51" s="601">
        <f>IF(ISERROR(现金流量表!AC39),"—",现金流量表!AC39)</f>
        <v>0</v>
      </c>
      <c r="E51" s="601">
        <f>IF(ISERROR(现金流量表!AG39),"—",现金流量表!AG39)</f>
        <v>0</v>
      </c>
      <c r="F51" s="601">
        <f>IF(ISERROR(现金流量表!AK39),"—",现金流量表!AK39)</f>
        <v>0</v>
      </c>
      <c r="G51" s="601">
        <f>IF(ISERROR(现金流量表!AL39),"—",现金流量表!AL39)</f>
        <v>0</v>
      </c>
      <c r="H51" s="601">
        <f>IF(ISERROR(现金流量表!AM39),"—",现金流量表!AM39)</f>
        <v>0</v>
      </c>
      <c r="J51" s="150" t="s">
        <v>375</v>
      </c>
      <c r="K51" s="621" t="str">
        <f>IF(ISERROR(360/(利润表!Y8*2/(资产负债表!U12+资产负债表!Y12))),"—",360/(利润表!Y8*2/(资产负债表!U12+资产负债表!Y12)))</f>
        <v>—</v>
      </c>
      <c r="L51" s="621" t="str">
        <f>IF(ISERROR(360/(利润表!AC8*2/(资产负债表!Y12+资产负债表!AC12))),"—",360/(利润表!AC8*2/(资产负债表!Y12+资产负债表!AC12)))</f>
        <v>—</v>
      </c>
      <c r="M51" s="621" t="str">
        <f>IF(ISERROR(360/(利润表!AG8*2/(资产负债表!AC12+资产负债表!AG12))),"—",360/(利润表!AG8*2/(资产负债表!AC12+资产负债表!AG12)))</f>
        <v>—</v>
      </c>
      <c r="N51" s="621" t="str">
        <f>IF(ISERROR(360/(利润表!AK8*2/(资产负债表!AG12+资产负债表!AK12))),"—",360/(利润表!AK8*2/(资产负债表!AG12+资产负债表!AK12)))</f>
        <v>—</v>
      </c>
      <c r="O51" s="621" t="str">
        <f>IF(ISERROR(360/(利润表!AL8*2/(资产负债表!AK12+资产负债表!AL12))),"—",360/(利润表!AL8*2/(资产负债表!AK12+资产负债表!AL12)))</f>
        <v>—</v>
      </c>
      <c r="P51" s="621" t="str">
        <f>IF(ISERROR(360/(利润表!AM8*2/(资产负债表!AL12+资产负债表!AM12))),"—",360/(利润表!AM8*2/(资产负债表!AL12+资产负债表!AM12)))</f>
        <v>—</v>
      </c>
      <c r="Q51" s="1168" t="s">
        <v>376</v>
      </c>
    </row>
    <row r="52" spans="2:17" ht="15" customHeight="1">
      <c r="B52" s="97" t="s">
        <v>189</v>
      </c>
      <c r="C52" s="601">
        <f>IF(ISERROR(现金流量表!Y56+现金流量表!Y57),"—",现金流量表!Y56+现金流量表!Y57)</f>
        <v>0</v>
      </c>
      <c r="D52" s="601">
        <f>IF(ISERROR(现金流量表!AC56+现金流量表!AC57),"—",现金流量表!AC56+现金流量表!AC57)</f>
        <v>0</v>
      </c>
      <c r="E52" s="601">
        <f>IF(ISERROR(现金流量表!AG56+现金流量表!AG57),"—",现金流量表!AG56+现金流量表!AG57)</f>
        <v>0</v>
      </c>
      <c r="F52" s="601">
        <f>IF(ISERROR(现金流量表!AK56+现金流量表!AK57),"—",现金流量表!AK56+现金流量表!AK57)</f>
        <v>0</v>
      </c>
      <c r="G52" s="601">
        <f>IF(ISERROR(现金流量表!AL56+现金流量表!AL57),"—",现金流量表!AL56+现金流量表!AL57)</f>
        <v>0</v>
      </c>
      <c r="H52" s="601">
        <f>IF(ISERROR(现金流量表!AM56+现金流量表!AM57),"—",现金流量表!AM56+现金流量表!AM57)</f>
        <v>0</v>
      </c>
      <c r="J52" s="150" t="s">
        <v>377</v>
      </c>
      <c r="K52" s="621" t="str">
        <f>IF(ISERROR(360/(利润表!Y15*2/(资产负债表!U16+资产负债表!Y16))),"—",360/(利润表!Y15*2/(资产负债表!U16+资产负债表!Y16)))</f>
        <v>—</v>
      </c>
      <c r="L52" s="621" t="str">
        <f>IF(ISERROR(360/(利润表!AC15*2/(资产负债表!Y16+资产负债表!AC16))),"—",360/(利润表!AC15*2/(资产负债表!Y16+资产负债表!AC16)))</f>
        <v>—</v>
      </c>
      <c r="M52" s="621" t="str">
        <f>IF(ISERROR(360/(利润表!AG15*2/(资产负债表!AC16+资产负债表!AG16))),"—",360/(利润表!AG15*2/(资产负债表!AC16+资产负债表!AG16)))</f>
        <v>—</v>
      </c>
      <c r="N52" s="621" t="str">
        <f>IF(ISERROR(360/(利润表!AK15*2/(资产负债表!AG16+资产负债表!AK16))),"—",360/(利润表!AK15*2/(资产负债表!AG16+资产负债表!AK16)))</f>
        <v>—</v>
      </c>
      <c r="O52" s="621" t="str">
        <f>IF(ISERROR(360/(利润表!AL15*2/(资产负债表!AK16+资产负债表!AL16))),"—",360/(利润表!AL15*2/(资产负债表!AK16+资产负债表!AL16)))</f>
        <v>—</v>
      </c>
      <c r="P52" s="621" t="str">
        <f>IF(ISERROR(360/(利润表!AM15*2/(资产负债表!AL16+资产负债表!AM16))),"—",360/(利润表!AM15*2/(资产负债表!AL16+资产负债表!AM16)))</f>
        <v>—</v>
      </c>
      <c r="Q52" s="1168"/>
    </row>
    <row r="53" spans="2:17" ht="15" customHeight="1">
      <c r="B53" s="162" t="s">
        <v>378</v>
      </c>
      <c r="C53" s="603">
        <f>IF(ISERROR(现金流量表!Y58),"—",现金流量表!Y58)</f>
        <v>0</v>
      </c>
      <c r="D53" s="603">
        <f>IF(ISERROR(现金流量表!AC58),"—",现金流量表!AC58)</f>
        <v>0</v>
      </c>
      <c r="E53" s="603">
        <f>IF(ISERROR(现金流量表!AG58),"—",现金流量表!AG58)</f>
        <v>0</v>
      </c>
      <c r="F53" s="603">
        <f>IF(ISERROR(现金流量表!AK58),"—",现金流量表!AK58)</f>
        <v>0</v>
      </c>
      <c r="G53" s="603">
        <f>IF(ISERROR(现金流量表!AL58),"—",现金流量表!AL58)</f>
        <v>0</v>
      </c>
      <c r="H53" s="603">
        <f>IF(ISERROR(现金流量表!AM58),"—",现金流量表!AM58)</f>
        <v>0</v>
      </c>
      <c r="J53" s="150" t="s">
        <v>379</v>
      </c>
      <c r="K53" s="621" t="str">
        <f>IF(ISERROR(360/(利润表!Y15*2/(资产负债表!U53+资产负债表!Y53))),"—",360/(利润表!Y15*2/(资产负债表!U53+资产负债表!Y53)))</f>
        <v>—</v>
      </c>
      <c r="L53" s="621" t="str">
        <f>IF(ISERROR(360/(利润表!AC15*2/(资产负债表!Y53+资产负债表!AC53))),"—",360/(利润表!AC15*2/(资产负债表!Y53+资产负债表!AC53)))</f>
        <v>—</v>
      </c>
      <c r="M53" s="621" t="str">
        <f>IF(ISERROR(360/(利润表!AG15*2/(资产负债表!AC53+资产负债表!AG53))),"—",360/(利润表!AG15*2/(资产负债表!AC53+资产负债表!AG53)))</f>
        <v>—</v>
      </c>
      <c r="N53" s="621" t="str">
        <f>IF(ISERROR(360/(利润表!AK15*2/(资产负债表!AG53+资产负债表!AK53))),"—",360/(利润表!AK15*2/(资产负债表!AG53+资产负债表!AK53)))</f>
        <v>—</v>
      </c>
      <c r="O53" s="621" t="str">
        <f>IF(ISERROR(360/(利润表!AL15*2/(资产负债表!AK53+资产负债表!AL53))),"—",360/(利润表!AL15*2/(资产负债表!AK53+资产负债表!AL53)))</f>
        <v>—</v>
      </c>
      <c r="P53" s="621" t="str">
        <f>IF(ISERROR(360/(利润表!AM15*2/(资产负债表!AL53+资产负债表!AM53))),"—",360/(利润表!AM15*2/(资产负债表!AL53+资产负债表!AM53)))</f>
        <v>—</v>
      </c>
      <c r="Q53" s="1168"/>
    </row>
    <row r="54" spans="2:17" ht="15" customHeight="1">
      <c r="B54" s="97" t="s">
        <v>380</v>
      </c>
      <c r="C54" s="601">
        <f>IF(ISERROR(现金流量表!Y61),"—",现金流量表!Y61)</f>
        <v>0</v>
      </c>
      <c r="D54" s="601">
        <f>IF(ISERROR(现金流量表!AC61),"—",现金流量表!AC61)</f>
        <v>0</v>
      </c>
      <c r="E54" s="601">
        <f>IF(ISERROR(现金流量表!AG61),"—",现金流量表!AG61)</f>
        <v>0</v>
      </c>
      <c r="F54" s="601">
        <f>IF(ISERROR(现金流量表!AK61),"—",现金流量表!AK61)</f>
        <v>0</v>
      </c>
      <c r="G54" s="601">
        <f>IF(ISERROR(现金流量表!AL61),"—",现金流量表!AL61)</f>
        <v>0</v>
      </c>
      <c r="H54" s="601">
        <f>IF(ISERROR(现金流量表!AM61),"—",现金流量表!AM61)</f>
        <v>0</v>
      </c>
      <c r="J54" s="150" t="s">
        <v>381</v>
      </c>
      <c r="K54" s="621" t="str">
        <f>IF(ISERROR(360/(利润表!Y6*2/(资产负债表!U31+资产负债表!Y31))),"—",360/(利润表!Y6*2/(资产负债表!U31+资产负债表!Y31)))</f>
        <v>—</v>
      </c>
      <c r="L54" s="621" t="str">
        <f>IF(ISERROR(360/(利润表!AC6*2/(资产负债表!Y31+资产负债表!AC31))),"—",360/(利润表!AC6*2/(资产负债表!Y31+资产负债表!AC31)))</f>
        <v>—</v>
      </c>
      <c r="M54" s="621" t="str">
        <f>IF(ISERROR(360/(利润表!AG6*2/(资产负债表!AC31+资产负债表!AG31))),"—",360/(利润表!AG6*2/(资产负债表!AC31+资产负债表!AG31)))</f>
        <v>—</v>
      </c>
      <c r="N54" s="621" t="str">
        <f>IF(ISERROR(360/(利润表!AK6*2/(资产负债表!AG31+资产负债表!AK31))),"—",360/(利润表!AK6*2/(资产负债表!AG31+资产负债表!AK31)))</f>
        <v>—</v>
      </c>
      <c r="O54" s="621" t="str">
        <f>IF(ISERROR(360/(利润表!AL6*2/(资产负债表!AK31+资产负债表!AL31))),"—",360/(利润表!AL6*2/(资产负债表!AK31+资产负债表!AL31)))</f>
        <v>—</v>
      </c>
      <c r="P54" s="621" t="str">
        <f>IF(ISERROR(360/(利润表!AM6*2/(资产负债表!AL31+资产负债表!AM31))),"—",360/(利润表!AM6*2/(资产负债表!AL31+资产负债表!AM31)))</f>
        <v>—</v>
      </c>
      <c r="Q54" s="1168"/>
    </row>
    <row r="55" spans="2:17" ht="15" customHeight="1">
      <c r="B55" s="97" t="s">
        <v>382</v>
      </c>
      <c r="C55" s="601">
        <f>IF(ISERROR(现金流量表!Y62),"—",现金流量表!Y62)</f>
        <v>0</v>
      </c>
      <c r="D55" s="601">
        <f>IF(ISERROR(现金流量表!AC62),"—",现金流量表!AC62)</f>
        <v>0</v>
      </c>
      <c r="E55" s="601">
        <f>IF(ISERROR((现金流量表!AG62)),"—",(现金流量表!AG62))</f>
        <v>0</v>
      </c>
      <c r="F55" s="601">
        <f>IF(ISERROR((现金流量表!AK62)),"—",(现金流量表!AK62))</f>
        <v>0</v>
      </c>
      <c r="G55" s="601">
        <f>IF(ISERROR((现金流量表!AL62)),"—",(现金流量表!AL62))</f>
        <v>0</v>
      </c>
      <c r="H55" s="601">
        <f>IF(ISERROR((现金流量表!AM62)),"—",(现金流量表!AM62))</f>
        <v>0</v>
      </c>
      <c r="J55" s="150" t="s">
        <v>383</v>
      </c>
      <c r="K55" s="621" t="str">
        <f>IF(ISERROR(360/(利润表!Y6*2/(资产负债表!U45+资产负债表!Y45))),"—",360/(利润表!Y6*2/(资产负债表!U45+资产负债表!Y45)))</f>
        <v>—</v>
      </c>
      <c r="L55" s="621" t="str">
        <f>IF(ISERROR(360/(利润表!AC6*2/(资产负债表!Y45+资产负债表!AC45))),"—",360/(利润表!AC6*2/(资产负债表!Y45+资产负债表!AC45)))</f>
        <v>—</v>
      </c>
      <c r="M55" s="621" t="str">
        <f>IF(ISERROR(360/(利润表!AG6*2/(资产负债表!AC45+资产负债表!AG45))),"—",360/(利润表!AG6*2/(资产负债表!AC45+资产负债表!AG45)))</f>
        <v>—</v>
      </c>
      <c r="N55" s="621" t="str">
        <f>IF(ISERROR(360/(利润表!AK6*2/(资产负债表!AG45+资产负债表!AK45))),"—",360/(利润表!AK6*2/(资产负债表!AG45+资产负债表!AK45)))</f>
        <v>—</v>
      </c>
      <c r="O55" s="621" t="str">
        <f>IF(ISERROR(360/(利润表!AL6*2/(资产负债表!AK45+资产负债表!AL45))),"—",360/(利润表!AL6*2/(资产负债表!AK45+资产负债表!AL45)))</f>
        <v>—</v>
      </c>
      <c r="P55" s="621" t="str">
        <f>IF(ISERROR(360/(利润表!AM6*2/(资产负债表!AL45+资产负债表!AM45))),"—",360/(利润表!AM6*2/(资产负债表!AL45+资产负债表!AM45)))</f>
        <v>—</v>
      </c>
      <c r="Q55" s="1168"/>
    </row>
    <row r="56" spans="2:17" ht="15" customHeight="1">
      <c r="B56" s="97" t="s">
        <v>384</v>
      </c>
      <c r="C56" s="601">
        <f>IF(ISERROR(资产负债表!Y65-资产负债表!U65),"—",资产负债表!Y65-资产负债表!U65)</f>
        <v>0</v>
      </c>
      <c r="D56" s="601">
        <f>IF(ISERROR(资产负债表!AC65-资产负债表!Y65),"—",资产负债表!AC65-资产负债表!Y65)</f>
        <v>0</v>
      </c>
      <c r="E56" s="601">
        <f>IF(ISERROR(资产负债表!AG65-资产负债表!AC65),"—",资产负债表!AG65-资产负债表!AC65)</f>
        <v>0</v>
      </c>
      <c r="F56" s="601">
        <f>IF(ISERROR(资产负债表!AK65-资产负债表!AG65),"—",资产负债表!AK65-资产负债表!AG65)</f>
        <v>0</v>
      </c>
      <c r="G56" s="601">
        <f>IF(ISERROR(资产负债表!AL65-资产负债表!AK65),"—",资产负债表!AL65-资产负债表!AK65)</f>
        <v>0</v>
      </c>
      <c r="H56" s="601">
        <f>IF(ISERROR(资产负债表!AM65-资产负债表!AL65),"—",资产负债表!AM65-资产负债表!AL65)</f>
        <v>0</v>
      </c>
      <c r="J56" s="143" t="s">
        <v>385</v>
      </c>
      <c r="K56" s="620"/>
      <c r="L56" s="620"/>
      <c r="M56" s="620"/>
      <c r="N56" s="620"/>
      <c r="O56" s="620"/>
      <c r="P56" s="620"/>
    </row>
    <row r="57" spans="2:17" ht="15" customHeight="1">
      <c r="B57" s="138" t="s">
        <v>386</v>
      </c>
      <c r="C57" s="601">
        <f>IF(ISERROR(资产负债表!Y49-资产负债表!U49),"—",资产负债表!Y49-资产负债表!U49)</f>
        <v>0</v>
      </c>
      <c r="D57" s="601">
        <f>IF(ISERROR(资产负债表!AC49-资产负债表!Y49),"—",资产负债表!AC49-资产负债表!Y49)</f>
        <v>0</v>
      </c>
      <c r="E57" s="601">
        <f>IF(ISERROR(资产负债表!AG49-资产负债表!AC49),"—",资产负债表!AG49-资产负债表!AC49)</f>
        <v>0</v>
      </c>
      <c r="F57" s="601">
        <f>IF(ISERROR(资产负债表!AK49-资产负债表!AG49),"—",资产负债表!AK49-资产负债表!AG49)</f>
        <v>0</v>
      </c>
      <c r="G57" s="601">
        <f>IF(ISERROR(资产负债表!AL49-资产负债表!AK49),"—",资产负债表!AL49-资产负债表!AK49)</f>
        <v>0</v>
      </c>
      <c r="H57" s="601">
        <f>IF(ISERROR(资产负债表!AM49-资产负债表!AL49),"—",资产负债表!AM49-资产负债表!AL49)</f>
        <v>0</v>
      </c>
      <c r="J57" s="150" t="s">
        <v>387</v>
      </c>
      <c r="K57" s="367" t="str">
        <f>财务分析!E49</f>
        <v>—</v>
      </c>
      <c r="L57" s="367" t="str">
        <f>财务分析!F49</f>
        <v>—</v>
      </c>
      <c r="M57" s="367" t="str">
        <f>财务分析!G49</f>
        <v>—</v>
      </c>
      <c r="N57" s="367" t="str">
        <f>财务分析!H49</f>
        <v>—</v>
      </c>
      <c r="O57" s="367" t="str">
        <f>财务分析!I49</f>
        <v>—</v>
      </c>
      <c r="P57" s="367" t="str">
        <f>财务分析!J49</f>
        <v>—</v>
      </c>
    </row>
    <row r="58" spans="2:17" ht="15" customHeight="1">
      <c r="B58" s="97" t="s">
        <v>388</v>
      </c>
      <c r="C58" s="601">
        <f>IF(ISERROR(现金流量表!Y70),"—",现金流量表!Y70)</f>
        <v>0</v>
      </c>
      <c r="D58" s="601">
        <f>IF(ISERROR(现金流量表!AC70),"—",现金流量表!AC70)</f>
        <v>0</v>
      </c>
      <c r="E58" s="601">
        <f>IF(ISERROR((现金流量表!AG70)),"—",(现金流量表!AG70))</f>
        <v>0</v>
      </c>
      <c r="F58" s="601">
        <f>IF(ISERROR((现金流量表!AK70)),"—",(现金流量表!AK70))</f>
        <v>0</v>
      </c>
      <c r="G58" s="601">
        <f>IF(ISERROR((现金流量表!AL70)),"—",(现金流量表!AL70))</f>
        <v>0</v>
      </c>
      <c r="H58" s="601">
        <f>IF(ISERROR((现金流量表!AM70)),"—",(现金流量表!AM70))</f>
        <v>0</v>
      </c>
      <c r="J58" s="150" t="s">
        <v>389</v>
      </c>
      <c r="K58" s="367" t="str">
        <f>财务分析!E48</f>
        <v>—</v>
      </c>
      <c r="L58" s="367" t="str">
        <f>财务分析!F48</f>
        <v>—</v>
      </c>
      <c r="M58" s="367" t="str">
        <f>财务分析!G48</f>
        <v>—</v>
      </c>
      <c r="N58" s="367" t="str">
        <f>财务分析!H48</f>
        <v>—</v>
      </c>
      <c r="O58" s="367" t="str">
        <f>财务分析!I48</f>
        <v>—</v>
      </c>
      <c r="P58" s="367" t="str">
        <f>财务分析!J48</f>
        <v>—</v>
      </c>
    </row>
    <row r="59" spans="2:17" ht="15" customHeight="1">
      <c r="B59" s="97" t="s">
        <v>189</v>
      </c>
      <c r="C59" s="601">
        <f>IF(ISERROR(现金流量表!Y71),"—",现金流量表!Y71)</f>
        <v>0</v>
      </c>
      <c r="D59" s="601">
        <f>IF(ISERROR(现金流量表!AC71),"—",现金流量表!AC71)</f>
        <v>0</v>
      </c>
      <c r="E59" s="601">
        <f>IF(ISERROR((现金流量表!AG71)),"—",(现金流量表!AG71))</f>
        <v>0</v>
      </c>
      <c r="F59" s="601">
        <f>IF(ISERROR((现金流量表!AK71)),"—",(现金流量表!AK71))</f>
        <v>0</v>
      </c>
      <c r="G59" s="601">
        <f>IF(ISERROR((现金流量表!AL71)),"—",(现金流量表!AL71))</f>
        <v>0</v>
      </c>
      <c r="H59" s="601">
        <f>IF(ISERROR((现金流量表!AM71)),"—",(现金流量表!AM71))</f>
        <v>0</v>
      </c>
      <c r="J59" s="150" t="s">
        <v>390</v>
      </c>
      <c r="K59" s="622" t="str">
        <f>财务分析!E43</f>
        <v>—</v>
      </c>
      <c r="L59" s="622" t="str">
        <f>财务分析!F43</f>
        <v>—</v>
      </c>
      <c r="M59" s="622" t="str">
        <f>财务分析!G43</f>
        <v>—</v>
      </c>
      <c r="N59" s="622" t="str">
        <f>财务分析!H43</f>
        <v>—</v>
      </c>
      <c r="O59" s="622" t="str">
        <f>财务分析!I43</f>
        <v>—</v>
      </c>
      <c r="P59" s="622" t="str">
        <f>财务分析!J43</f>
        <v>—</v>
      </c>
    </row>
    <row r="60" spans="2:17" ht="15" customHeight="1">
      <c r="B60" s="162" t="s">
        <v>391</v>
      </c>
      <c r="C60" s="603">
        <f>IF(ISERROR(现金流量表!Y72),"—",现金流量表!Y72)</f>
        <v>0</v>
      </c>
      <c r="D60" s="603">
        <f>IF(ISERROR(现金流量表!AC72),"—",现金流量表!AC72)</f>
        <v>0</v>
      </c>
      <c r="E60" s="603">
        <f>IF(ISERROR(现金流量表!AG72),"—",现金流量表!AG72)</f>
        <v>0</v>
      </c>
      <c r="F60" s="603">
        <f>IF(ISERROR(现金流量表!AK72),"—",现金流量表!AK72)</f>
        <v>0</v>
      </c>
      <c r="G60" s="603">
        <f>IF(ISERROR(现金流量表!AL72),"—",现金流量表!AL72)</f>
        <v>0</v>
      </c>
      <c r="H60" s="603">
        <f>IF(ISERROR(现金流量表!AM72),"—",现金流量表!AM72)</f>
        <v>0</v>
      </c>
      <c r="J60" s="150" t="s">
        <v>392</v>
      </c>
      <c r="K60" s="622" t="str">
        <f>财务分析!E44</f>
        <v>—</v>
      </c>
      <c r="L60" s="622" t="str">
        <f>财务分析!F44</f>
        <v>—</v>
      </c>
      <c r="M60" s="622" t="str">
        <f>财务分析!G44</f>
        <v>—</v>
      </c>
      <c r="N60" s="622" t="str">
        <f>财务分析!H44</f>
        <v>—</v>
      </c>
      <c r="O60" s="622" t="str">
        <f>财务分析!I44</f>
        <v>—</v>
      </c>
      <c r="P60" s="622" t="str">
        <f>财务分析!J44</f>
        <v>—</v>
      </c>
    </row>
    <row r="61" spans="2:17" ht="15" customHeight="1">
      <c r="B61" s="614" t="s">
        <v>393</v>
      </c>
      <c r="C61" s="616">
        <f>IF(ISERROR(现金流量表!Y76),"—",现金流量表!Y76)</f>
        <v>0</v>
      </c>
      <c r="D61" s="616">
        <f>IF(ISERROR(现金流量表!AC76),"—",现金流量表!AC76)</f>
        <v>0</v>
      </c>
      <c r="E61" s="616">
        <f>IF(ISERROR(现金流量表!AG76),"—",现金流量表!AG76)</f>
        <v>0</v>
      </c>
      <c r="F61" s="616">
        <f>IF(ISERROR(现金流量表!AK76),"—",现金流量表!AK76)</f>
        <v>0</v>
      </c>
      <c r="G61" s="616">
        <f>IF(ISERROR(现金流量表!AL76),"—",现金流量表!AL76)</f>
        <v>0</v>
      </c>
      <c r="H61" s="616">
        <f>IF(ISERROR(现金流量表!AM76),"—",现金流量表!AM76)</f>
        <v>0</v>
      </c>
      <c r="J61" s="623" t="s">
        <v>394</v>
      </c>
      <c r="K61" s="624" t="str">
        <f>财务分析!E46</f>
        <v>—</v>
      </c>
      <c r="L61" s="624" t="str">
        <f>财务分析!F46</f>
        <v>—</v>
      </c>
      <c r="M61" s="624" t="str">
        <f>财务分析!G46</f>
        <v>—</v>
      </c>
      <c r="N61" s="624" t="str">
        <f>财务分析!H46</f>
        <v>—</v>
      </c>
      <c r="O61" s="624" t="str">
        <f>财务分析!I46</f>
        <v>—</v>
      </c>
      <c r="P61" s="624" t="str">
        <f>财务分析!J46</f>
        <v>—</v>
      </c>
    </row>
    <row r="62" spans="2:17" ht="15" customHeight="1">
      <c r="J62" s="625"/>
      <c r="K62" s="53"/>
      <c r="L62" s="53"/>
      <c r="M62" s="53"/>
      <c r="N62" s="53"/>
      <c r="O62" s="53"/>
      <c r="P62" s="53"/>
    </row>
    <row r="63" spans="2:17" ht="15" customHeight="1">
      <c r="B63" s="162"/>
      <c r="C63" s="601"/>
      <c r="D63" s="601"/>
      <c r="E63" s="601"/>
      <c r="F63" s="601"/>
      <c r="G63" s="601"/>
      <c r="H63" s="601"/>
      <c r="J63" s="625"/>
      <c r="K63" s="53"/>
      <c r="L63" s="53"/>
      <c r="M63" s="53"/>
      <c r="N63" s="53"/>
      <c r="O63" s="53"/>
      <c r="P63" s="53"/>
    </row>
    <row r="64" spans="2:17" ht="15" customHeight="1">
      <c r="B64" s="162"/>
      <c r="C64" s="601"/>
      <c r="D64" s="601"/>
      <c r="E64" s="601"/>
      <c r="F64" s="601"/>
      <c r="G64" s="601"/>
      <c r="H64" s="601"/>
      <c r="J64" s="625"/>
      <c r="K64" s="53"/>
      <c r="L64" s="53"/>
      <c r="M64" s="53"/>
      <c r="N64" s="53"/>
      <c r="O64" s="53"/>
      <c r="P64" s="53"/>
    </row>
    <row r="65" spans="10:16" ht="15" customHeight="1">
      <c r="J65" s="625"/>
      <c r="K65" s="53"/>
      <c r="L65" s="53"/>
      <c r="M65" s="53"/>
      <c r="N65" s="53"/>
      <c r="O65" s="53"/>
      <c r="P65" s="53"/>
    </row>
  </sheetData>
  <mergeCells count="1">
    <mergeCell ref="Q51:Q55"/>
  </mergeCells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21"/>
  <sheetViews>
    <sheetView showGridLines="0" showOutlineSymbols="0" zoomScaleNormal="100" workbookViewId="0">
      <pane xSplit="4" ySplit="4" topLeftCell="L14" activePane="bottomRight" state="frozen"/>
      <selection pane="topRight"/>
      <selection pane="bottomLeft"/>
      <selection pane="bottomRight" activeCell="AK8" sqref="AK8"/>
    </sheetView>
  </sheetViews>
  <sheetFormatPr defaultColWidth="9" defaultRowHeight="15" customHeight="1" outlineLevelCol="6"/>
  <cols>
    <col min="1" max="1" width="3.5" style="96" customWidth="1"/>
    <col min="2" max="2" width="13.375" style="97" customWidth="1"/>
    <col min="3" max="3" width="5.5" style="97" customWidth="1"/>
    <col min="4" max="4" width="4.625" style="514" customWidth="1"/>
    <col min="5" max="5" width="15.625" style="515" hidden="1" customWidth="1" outlineLevel="1" collapsed="1"/>
    <col min="6" max="6" width="15.625" style="515" hidden="1" customWidth="1" outlineLevel="1"/>
    <col min="7" max="8" width="15.625" style="515" hidden="1" customWidth="1" outlineLevel="2"/>
    <col min="9" max="10" width="15.625" style="515" hidden="1" customWidth="1" outlineLevel="1"/>
    <col min="11" max="12" width="15.625" style="515" hidden="1" customWidth="1" outlineLevel="2"/>
    <col min="13" max="16" width="15.625" style="515" hidden="1" customWidth="1" outlineLevel="1"/>
    <col min="17" max="17" width="15.625" style="515" hidden="1" customWidth="1" collapsed="1"/>
    <col min="18" max="18" width="15.625" style="515" hidden="1" customWidth="1" outlineLevel="1"/>
    <col min="19" max="20" width="15.625" style="96" hidden="1" customWidth="1" outlineLevel="1"/>
    <col min="21" max="21" width="15.625" style="96" customWidth="1" collapsed="1"/>
    <col min="22" max="24" width="15.625" style="96" hidden="1" customWidth="1" outlineLevel="1"/>
    <col min="25" max="25" width="15.625" style="96" customWidth="1" collapsed="1"/>
    <col min="26" max="26" width="15.625" style="96" hidden="1" customWidth="1" outlineLevel="1"/>
    <col min="27" max="28" width="15.625" style="96" hidden="1" customWidth="1" outlineLevel="6"/>
    <col min="29" max="29" width="15.625" style="96" customWidth="1" outlineLevel="5" collapsed="1"/>
    <col min="30" max="32" width="15.625" style="96" hidden="1" customWidth="1" outlineLevel="1"/>
    <col min="33" max="33" width="15.625" style="96" customWidth="1"/>
    <col min="34" max="34" width="15.625" style="30" hidden="1" customWidth="1" outlineLevel="2"/>
    <col min="35" max="35" width="15.625" style="30" hidden="1" customWidth="1" outlineLevel="1" collapsed="1"/>
    <col min="36" max="36" width="15.625" style="30" hidden="1" customWidth="1" collapsed="1"/>
    <col min="37" max="39" width="15.625" style="96" customWidth="1"/>
    <col min="40" max="40" width="15.625" style="516" hidden="1" customWidth="1"/>
    <col min="41" max="42" width="15.75" style="96" hidden="1" customWidth="1"/>
    <col min="43" max="43" width="15.75" style="516" hidden="1" customWidth="1"/>
    <col min="44" max="45" width="15.75" style="96" hidden="1" customWidth="1"/>
    <col min="46" max="46" width="15.75" style="516" hidden="1" customWidth="1"/>
    <col min="47" max="47" width="11.625" style="96" customWidth="1"/>
    <col min="48" max="48" width="9.625" style="96" customWidth="1"/>
    <col min="49" max="50" width="9" style="96" customWidth="1"/>
    <col min="51" max="51" width="9" style="96"/>
    <col min="52" max="52" width="11.125" style="96" customWidth="1"/>
    <col min="53" max="16384" width="9" style="96"/>
  </cols>
  <sheetData>
    <row r="1" spans="2:48" ht="15" customHeight="1"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AU1" s="554"/>
    </row>
    <row r="2" spans="2:48" s="396" customFormat="1" ht="15" customHeight="1">
      <c r="B2" s="411" t="s">
        <v>45</v>
      </c>
      <c r="C2" s="217"/>
      <c r="D2" s="21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7"/>
      <c r="AE2" s="457"/>
      <c r="AF2" s="457"/>
      <c r="AG2" s="457"/>
      <c r="AH2" s="457"/>
      <c r="AI2" s="457"/>
      <c r="AJ2" s="457"/>
      <c r="AK2" s="457"/>
      <c r="AL2" s="457"/>
      <c r="AM2" s="457"/>
      <c r="AN2" s="457"/>
      <c r="AO2" s="457"/>
      <c r="AP2" s="457"/>
      <c r="AQ2" s="457"/>
      <c r="AR2" s="457"/>
      <c r="AS2" s="457"/>
      <c r="AT2" s="555"/>
    </row>
    <row r="3" spans="2:48" ht="15" customHeight="1">
      <c r="B3" s="517" t="str">
        <f>财务基础数据!C4</f>
        <v>XXXX</v>
      </c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AH3" s="96"/>
      <c r="AI3" s="96"/>
      <c r="AJ3" s="96"/>
      <c r="AN3" s="96"/>
      <c r="AQ3" s="96"/>
      <c r="AT3" s="96"/>
      <c r="AU3" s="554"/>
    </row>
    <row r="4" spans="2:48" ht="15" customHeight="1">
      <c r="B4" s="415" t="s">
        <v>101</v>
      </c>
      <c r="C4" s="519"/>
      <c r="D4" s="520"/>
      <c r="E4" s="521">
        <f>财务基础数据!J5</f>
        <v>2016</v>
      </c>
      <c r="F4" s="521" t="str">
        <f>财务基础数据!K5</f>
        <v>1Q17</v>
      </c>
      <c r="G4" s="521" t="str">
        <f>财务基础数据!L5</f>
        <v>1H17</v>
      </c>
      <c r="H4" s="521" t="str">
        <f>财务基础数据!M5</f>
        <v>3Q17</v>
      </c>
      <c r="I4" s="521">
        <f>财务基础数据!N5</f>
        <v>2017</v>
      </c>
      <c r="J4" s="521" t="str">
        <f>财务基础数据!O5</f>
        <v>1Q18</v>
      </c>
      <c r="K4" s="521" t="str">
        <f>财务基础数据!P5</f>
        <v>1H18</v>
      </c>
      <c r="L4" s="521" t="str">
        <f>财务基础数据!Q5</f>
        <v>3Q18</v>
      </c>
      <c r="M4" s="521">
        <f>财务基础数据!R5</f>
        <v>2018</v>
      </c>
      <c r="N4" s="521" t="str">
        <f>财务基础数据!S5</f>
        <v>1Q19</v>
      </c>
      <c r="O4" s="521" t="str">
        <f>财务基础数据!T5</f>
        <v>1H19</v>
      </c>
      <c r="P4" s="521" t="str">
        <f>财务基础数据!U5</f>
        <v>3Q19</v>
      </c>
      <c r="Q4" s="521">
        <f>财务基础数据!V5</f>
        <v>2019</v>
      </c>
      <c r="R4" s="521" t="str">
        <f>财务基础数据!W5</f>
        <v>1Q20</v>
      </c>
      <c r="S4" s="521" t="str">
        <f>财务基础数据!X5</f>
        <v>1H20</v>
      </c>
      <c r="T4" s="521" t="str">
        <f>财务基础数据!Y5</f>
        <v>3Q20</v>
      </c>
      <c r="U4" s="418">
        <f>财务基础数据!Z5</f>
        <v>2020</v>
      </c>
      <c r="V4" s="418" t="str">
        <f>财务基础数据!AA5</f>
        <v>1Q21</v>
      </c>
      <c r="W4" s="418" t="str">
        <f>财务基础数据!AB5</f>
        <v>1H21</v>
      </c>
      <c r="X4" s="418" t="str">
        <f>财务基础数据!AC5</f>
        <v>3Q21</v>
      </c>
      <c r="Y4" s="418">
        <f>财务基础数据!AD5</f>
        <v>2021</v>
      </c>
      <c r="Z4" s="418" t="str">
        <f>财务基础数据!AE5</f>
        <v>1Q22</v>
      </c>
      <c r="AA4" s="418" t="str">
        <f>财务基础数据!AF5</f>
        <v>1H22</v>
      </c>
      <c r="AB4" s="418" t="str">
        <f>财务基础数据!AG5</f>
        <v>3Q22</v>
      </c>
      <c r="AC4" s="418">
        <f>财务基础数据!AH5</f>
        <v>2022</v>
      </c>
      <c r="AD4" s="418" t="str">
        <f>财务基础数据!AI5</f>
        <v>1Q23</v>
      </c>
      <c r="AE4" s="418" t="str">
        <f>财务基础数据!AJ5</f>
        <v>1H23</v>
      </c>
      <c r="AF4" s="418" t="str">
        <f>财务基础数据!AK5</f>
        <v>3Q23</v>
      </c>
      <c r="AG4" s="418">
        <f>财务基础数据!AL5</f>
        <v>2023</v>
      </c>
      <c r="AH4" s="364" t="str">
        <f>财务基础数据!AM5</f>
        <v>1Q24</v>
      </c>
      <c r="AI4" s="364" t="str">
        <f>财务基础数据!AN5</f>
        <v>1H24</v>
      </c>
      <c r="AJ4" s="364" t="str">
        <f>财务基础数据!AO5</f>
        <v>3Q24</v>
      </c>
      <c r="AK4" s="546" t="str">
        <f>财务基础数据!AP5&amp;"E"</f>
        <v>2024E</v>
      </c>
      <c r="AL4" s="459">
        <f>财务基础数据!AP5+1</f>
        <v>2025</v>
      </c>
      <c r="AM4" s="459">
        <f>AL4+1</f>
        <v>2026</v>
      </c>
      <c r="AN4" s="459">
        <f t="shared" ref="AN4:AT4" si="0">AM4+1</f>
        <v>2027</v>
      </c>
      <c r="AO4" s="459">
        <f t="shared" si="0"/>
        <v>2028</v>
      </c>
      <c r="AP4" s="459">
        <f t="shared" si="0"/>
        <v>2029</v>
      </c>
      <c r="AQ4" s="459">
        <f t="shared" si="0"/>
        <v>2030</v>
      </c>
      <c r="AR4" s="459">
        <f t="shared" si="0"/>
        <v>2031</v>
      </c>
      <c r="AS4" s="459">
        <f t="shared" si="0"/>
        <v>2032</v>
      </c>
      <c r="AT4" s="459">
        <f t="shared" si="0"/>
        <v>2033</v>
      </c>
      <c r="AU4" s="387"/>
    </row>
    <row r="5" spans="2:48" ht="15" customHeight="1">
      <c r="B5" s="117" t="str">
        <f>"单位：人民币"&amp;目录!$D$5</f>
        <v>单位：人民币百万元</v>
      </c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18"/>
      <c r="AI5" s="118"/>
      <c r="AJ5" s="11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554"/>
    </row>
    <row r="6" spans="2:48" ht="15" customHeight="1">
      <c r="B6" s="522" t="s">
        <v>395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18"/>
      <c r="AI6" s="118"/>
      <c r="AJ6" s="11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554"/>
    </row>
    <row r="7" spans="2:48" ht="15" customHeight="1">
      <c r="B7" s="143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18"/>
      <c r="AI7" s="118"/>
      <c r="AJ7" s="11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554"/>
    </row>
    <row r="8" spans="2:48" ht="15" customHeight="1">
      <c r="B8" s="130" t="s">
        <v>320</v>
      </c>
      <c r="D8" s="523"/>
      <c r="E8" s="524">
        <f>财务基础数据!J63*目录!$D$6</f>
        <v>0</v>
      </c>
      <c r="F8" s="524">
        <f>财务基础数据!K63*目录!$D$6</f>
        <v>0</v>
      </c>
      <c r="G8" s="524">
        <f>财务基础数据!L63*目录!$D$6</f>
        <v>0</v>
      </c>
      <c r="H8" s="524">
        <f>财务基础数据!M63*目录!$D$6</f>
        <v>0</v>
      </c>
      <c r="I8" s="524">
        <f>财务基础数据!N63*目录!$D$6</f>
        <v>0</v>
      </c>
      <c r="J8" s="524">
        <f>财务基础数据!O63*目录!$D$6</f>
        <v>0</v>
      </c>
      <c r="K8" s="524">
        <f>财务基础数据!P63*目录!$D$6</f>
        <v>0</v>
      </c>
      <c r="L8" s="524">
        <f>财务基础数据!Q63*目录!$D$6</f>
        <v>0</v>
      </c>
      <c r="M8" s="524">
        <f>财务基础数据!R63*目录!$D$6</f>
        <v>0</v>
      </c>
      <c r="N8" s="524">
        <f>财务基础数据!S63*目录!$D$6</f>
        <v>0</v>
      </c>
      <c r="O8" s="524">
        <f>财务基础数据!T63*目录!$D$6</f>
        <v>0</v>
      </c>
      <c r="P8" s="524">
        <f>财务基础数据!U63*目录!$D$6</f>
        <v>0</v>
      </c>
      <c r="Q8" s="524">
        <f>财务基础数据!V63*目录!$D$6</f>
        <v>0</v>
      </c>
      <c r="R8" s="524">
        <f>财务基础数据!W63*目录!$D$6</f>
        <v>0</v>
      </c>
      <c r="S8" s="524">
        <f>财务基础数据!X63*目录!$D$6</f>
        <v>0</v>
      </c>
      <c r="T8" s="524">
        <f>财务基础数据!Y63*目录!$D$6</f>
        <v>0</v>
      </c>
      <c r="U8" s="524">
        <f>财务基础数据!Z63*目录!$D$6</f>
        <v>0</v>
      </c>
      <c r="V8" s="524">
        <f>财务基础数据!AA63*目录!$D$6</f>
        <v>0</v>
      </c>
      <c r="W8" s="524">
        <f>财务基础数据!AB63*目录!$D$6</f>
        <v>0</v>
      </c>
      <c r="X8" s="524">
        <f>财务基础数据!AC63*目录!$D$6</f>
        <v>0</v>
      </c>
      <c r="Y8" s="524">
        <f>财务基础数据!AD63*目录!$D$6</f>
        <v>0</v>
      </c>
      <c r="Z8" s="524">
        <f>财务基础数据!AE63*目录!$D$6</f>
        <v>0</v>
      </c>
      <c r="AA8" s="524">
        <f>财务基础数据!AF63*目录!$D$6</f>
        <v>0</v>
      </c>
      <c r="AB8" s="524">
        <f>财务基础数据!AG63*目录!$D$6</f>
        <v>0</v>
      </c>
      <c r="AC8" s="524">
        <f>财务基础数据!AH63*目录!$D$6</f>
        <v>0</v>
      </c>
      <c r="AD8" s="524">
        <f>财务基础数据!AI63*目录!$D$6</f>
        <v>0</v>
      </c>
      <c r="AE8" s="524">
        <f>财务基础数据!AJ63*目录!$D$6</f>
        <v>0</v>
      </c>
      <c r="AF8" s="524">
        <f>财务基础数据!AK63*目录!$D$6</f>
        <v>0</v>
      </c>
      <c r="AG8" s="524">
        <f>财务基础数据!AL63*目录!$D$6</f>
        <v>0</v>
      </c>
      <c r="AH8" s="198">
        <f>财务基础数据!AM63*目录!$D$6</f>
        <v>0</v>
      </c>
      <c r="AI8" s="198">
        <f>财务基础数据!AN63*目录!$D$6</f>
        <v>0</v>
      </c>
      <c r="AJ8" s="198">
        <f>财务基础数据!AO63*目录!$D$6</f>
        <v>0</v>
      </c>
      <c r="AK8" s="547">
        <f>IF(ISERROR(资产预测!L230),0,资产预测!L230)</f>
        <v>0</v>
      </c>
      <c r="AL8" s="547">
        <f>IF(ISERROR(资产预测!M230),0,资产预测!M230)</f>
        <v>0</v>
      </c>
      <c r="AM8" s="547">
        <f>IF(ISERROR(资产预测!N230),0,资产预测!N230)</f>
        <v>0</v>
      </c>
      <c r="AN8" s="547">
        <f>IF(ISERROR(资产预测!O230),0,资产预测!O230)</f>
        <v>0</v>
      </c>
      <c r="AO8" s="547">
        <f>IF(ISERROR(资产预测!P230),0,资产预测!P230)</f>
        <v>0</v>
      </c>
      <c r="AP8" s="547">
        <f>IF(ISERROR(资产预测!Q230),0,资产预测!Q230)</f>
        <v>0</v>
      </c>
      <c r="AQ8" s="547">
        <f>IF(ISERROR(资产预测!R230),0,资产预测!R230)</f>
        <v>0</v>
      </c>
      <c r="AR8" s="547">
        <f>IF(ISERROR(资产预测!S230),0,资产预测!S230)</f>
        <v>0</v>
      </c>
      <c r="AS8" s="547">
        <f>IF(ISERROR(资产预测!T230),0,资产预测!T230)</f>
        <v>0</v>
      </c>
      <c r="AT8" s="547">
        <f>IF(ISERROR(资产预测!U230),0,资产预测!U230)</f>
        <v>0</v>
      </c>
      <c r="AU8" s="556"/>
      <c r="AV8" s="557"/>
    </row>
    <row r="9" spans="2:48" ht="15" customHeight="1">
      <c r="B9" s="130" t="s">
        <v>132</v>
      </c>
      <c r="D9" s="523"/>
      <c r="E9" s="524">
        <f>(财务基础数据!J64+财务基础数据!J65)*目录!$D$6</f>
        <v>0</v>
      </c>
      <c r="F9" s="524">
        <f>(财务基础数据!K64+财务基础数据!K65)*目录!$D$6</f>
        <v>0</v>
      </c>
      <c r="G9" s="524">
        <f>(财务基础数据!L64+财务基础数据!L65)*目录!$D$6</f>
        <v>0</v>
      </c>
      <c r="H9" s="524">
        <f>(财务基础数据!M64+财务基础数据!M65)*目录!$D$6</f>
        <v>0</v>
      </c>
      <c r="I9" s="524">
        <f>(财务基础数据!N64+财务基础数据!N65)*目录!$D$6</f>
        <v>0</v>
      </c>
      <c r="J9" s="524">
        <f>(财务基础数据!O64+财务基础数据!O65)*目录!$D$6</f>
        <v>0</v>
      </c>
      <c r="K9" s="524">
        <f>(财务基础数据!P64+财务基础数据!P65)*目录!$D$6</f>
        <v>0</v>
      </c>
      <c r="L9" s="524">
        <f>(财务基础数据!Q64+财务基础数据!Q65)*目录!$D$6</f>
        <v>0</v>
      </c>
      <c r="M9" s="524">
        <f>(财务基础数据!R64+财务基础数据!R65)*目录!$D$6</f>
        <v>0</v>
      </c>
      <c r="N9" s="524">
        <f>(财务基础数据!S64+财务基础数据!S65)*目录!$D$6</f>
        <v>0</v>
      </c>
      <c r="O9" s="524">
        <f>(财务基础数据!T64+财务基础数据!T65)*目录!$D$6</f>
        <v>0</v>
      </c>
      <c r="P9" s="524">
        <f>(财务基础数据!U64+财务基础数据!U65)*目录!$D$6</f>
        <v>0</v>
      </c>
      <c r="Q9" s="524">
        <f>(财务基础数据!V64+财务基础数据!V65)*目录!$D$6</f>
        <v>0</v>
      </c>
      <c r="R9" s="524">
        <f>(财务基础数据!W64+财务基础数据!W65)*目录!$D$6</f>
        <v>0</v>
      </c>
      <c r="S9" s="524">
        <f>(财务基础数据!X64+财务基础数据!X65)*目录!$D$6</f>
        <v>0</v>
      </c>
      <c r="T9" s="524">
        <f>(财务基础数据!Y64+财务基础数据!Y65)*目录!$D$6</f>
        <v>0</v>
      </c>
      <c r="U9" s="524">
        <f>(财务基础数据!Z64+财务基础数据!Z65)*目录!$D$6</f>
        <v>0</v>
      </c>
      <c r="V9" s="524">
        <f>(财务基础数据!AA64+财务基础数据!AA65)*目录!$D$6</f>
        <v>0</v>
      </c>
      <c r="W9" s="524">
        <f>(财务基础数据!AB64+财务基础数据!AB65)*目录!$D$6</f>
        <v>0</v>
      </c>
      <c r="X9" s="524">
        <f>(财务基础数据!AC64+财务基础数据!AC65)*目录!$D$6</f>
        <v>0</v>
      </c>
      <c r="Y9" s="524">
        <f>(财务基础数据!AD64+财务基础数据!AD65)*目录!$D$6</f>
        <v>0</v>
      </c>
      <c r="Z9" s="524">
        <f>(财务基础数据!AE64+财务基础数据!AE65)*目录!$D$6</f>
        <v>0</v>
      </c>
      <c r="AA9" s="524">
        <f>(财务基础数据!AF64+财务基础数据!AF65)*目录!$D$6</f>
        <v>0</v>
      </c>
      <c r="AB9" s="524">
        <f>(财务基础数据!AG64+财务基础数据!AG65)*目录!$D$6</f>
        <v>0</v>
      </c>
      <c r="AC9" s="524">
        <f>(财务基础数据!AH64+财务基础数据!AH65)*目录!$D$6</f>
        <v>0</v>
      </c>
      <c r="AD9" s="524">
        <f>(财务基础数据!AI64+财务基础数据!AI65)*目录!$D$6</f>
        <v>0</v>
      </c>
      <c r="AE9" s="524">
        <f>(财务基础数据!AJ64+财务基础数据!AJ65)*目录!$D$6</f>
        <v>0</v>
      </c>
      <c r="AF9" s="524">
        <f>(财务基础数据!AK64+财务基础数据!AK65)*目录!$D$6</f>
        <v>0</v>
      </c>
      <c r="AG9" s="524">
        <f>(财务基础数据!AL64+财务基础数据!AL65)*目录!$D$6</f>
        <v>0</v>
      </c>
      <c r="AH9" s="198">
        <f>(财务基础数据!AM64+财务基础数据!AM65)*目录!$D$6</f>
        <v>0</v>
      </c>
      <c r="AI9" s="198">
        <f>(财务基础数据!AN64+财务基础数据!AN65)*目录!$D$6</f>
        <v>0</v>
      </c>
      <c r="AJ9" s="198">
        <f>(财务基础数据!AO64+财务基础数据!AO65)*目录!$D$6</f>
        <v>0</v>
      </c>
      <c r="AK9" s="188">
        <f>IF(ISERROR(资产预测!L71),0,资产预测!L71)</f>
        <v>0</v>
      </c>
      <c r="AL9" s="188">
        <f>IF(ISERROR(资产预测!M71),0,资产预测!M71)</f>
        <v>0</v>
      </c>
      <c r="AM9" s="188">
        <f>IF(ISERROR(资产预测!N71),0,资产预测!N71)</f>
        <v>0</v>
      </c>
      <c r="AN9" s="188">
        <f>IF(ISERROR(资产预测!O71),0,资产预测!O71)</f>
        <v>0</v>
      </c>
      <c r="AO9" s="188">
        <f>IF(ISERROR(资产预测!P71),0,资产预测!P71)</f>
        <v>0</v>
      </c>
      <c r="AP9" s="188">
        <f>IF(ISERROR(资产预测!Q71),0,资产预测!Q71)</f>
        <v>0</v>
      </c>
      <c r="AQ9" s="188">
        <f>IF(ISERROR(资产预测!R71),0,资产预测!R71)</f>
        <v>0</v>
      </c>
      <c r="AR9" s="188">
        <f>IF(ISERROR(资产预测!S71),0,资产预测!S71)</f>
        <v>0</v>
      </c>
      <c r="AS9" s="188">
        <f>IF(ISERROR(资产预测!T71),0,资产预测!T71)</f>
        <v>0</v>
      </c>
      <c r="AT9" s="188">
        <f>IF(ISERROR(资产预测!U71),0,资产预测!U71)</f>
        <v>0</v>
      </c>
      <c r="AU9" s="556"/>
      <c r="AV9" s="557"/>
    </row>
    <row r="10" spans="2:48" ht="15" customHeight="1">
      <c r="B10" s="130" t="s">
        <v>136</v>
      </c>
      <c r="D10" s="523"/>
      <c r="E10" s="524">
        <f>财务基础数据!J150*目录!$D$6</f>
        <v>0</v>
      </c>
      <c r="F10" s="524">
        <f>财务基础数据!K150*目录!$D$6</f>
        <v>0</v>
      </c>
      <c r="G10" s="524">
        <f>财务基础数据!L150*目录!$D$6</f>
        <v>0</v>
      </c>
      <c r="H10" s="524">
        <f>财务基础数据!M150*目录!$D$6</f>
        <v>0</v>
      </c>
      <c r="I10" s="524">
        <f>财务基础数据!N150*目录!$D$6</f>
        <v>0</v>
      </c>
      <c r="J10" s="524">
        <f>财务基础数据!O150*目录!$D$6</f>
        <v>0</v>
      </c>
      <c r="K10" s="524">
        <f>财务基础数据!P150*目录!$D$6</f>
        <v>0</v>
      </c>
      <c r="L10" s="524">
        <f>财务基础数据!Q150*目录!$D$6</f>
        <v>0</v>
      </c>
      <c r="M10" s="524">
        <f>财务基础数据!R150*目录!$D$6</f>
        <v>0</v>
      </c>
      <c r="N10" s="524">
        <f>财务基础数据!S150*目录!$D$6</f>
        <v>0</v>
      </c>
      <c r="O10" s="524">
        <f>财务基础数据!T150*目录!$D$6</f>
        <v>0</v>
      </c>
      <c r="P10" s="524">
        <f>财务基础数据!U150*目录!$D$6</f>
        <v>0</v>
      </c>
      <c r="Q10" s="524">
        <f>财务基础数据!V150*目录!$D$6</f>
        <v>0</v>
      </c>
      <c r="R10" s="524">
        <f>财务基础数据!W150*目录!$D$6</f>
        <v>0</v>
      </c>
      <c r="S10" s="524">
        <f>财务基础数据!X150*目录!$D$6</f>
        <v>0</v>
      </c>
      <c r="T10" s="524">
        <f>财务基础数据!Y150*目录!$D$6</f>
        <v>0</v>
      </c>
      <c r="U10" s="524">
        <f>财务基础数据!Z150*目录!$D$6</f>
        <v>0</v>
      </c>
      <c r="V10" s="524">
        <f>财务基础数据!AA150*目录!$D$6</f>
        <v>0</v>
      </c>
      <c r="W10" s="524">
        <f>财务基础数据!AB150*目录!$D$6</f>
        <v>0</v>
      </c>
      <c r="X10" s="524">
        <f>财务基础数据!AC150*目录!$D$6</f>
        <v>0</v>
      </c>
      <c r="Y10" s="524">
        <f>财务基础数据!AD150*目录!$D$6</f>
        <v>0</v>
      </c>
      <c r="Z10" s="524">
        <f>财务基础数据!AE150*目录!$D$6</f>
        <v>0</v>
      </c>
      <c r="AA10" s="524">
        <f>财务基础数据!AF150*目录!$D$6</f>
        <v>0</v>
      </c>
      <c r="AB10" s="524">
        <f>财务基础数据!AG150*目录!$D$6</f>
        <v>0</v>
      </c>
      <c r="AC10" s="524">
        <f>财务基础数据!AH150*目录!$D$6</f>
        <v>0</v>
      </c>
      <c r="AD10" s="524">
        <f>财务基础数据!AI150*目录!$D$6</f>
        <v>0</v>
      </c>
      <c r="AE10" s="524">
        <f>财务基础数据!AJ150*目录!$D$6</f>
        <v>0</v>
      </c>
      <c r="AF10" s="524">
        <f>财务基础数据!AK150*目录!$D$6</f>
        <v>0</v>
      </c>
      <c r="AG10" s="524">
        <f>财务基础数据!AL150*目录!$D$6</f>
        <v>0</v>
      </c>
      <c r="AH10" s="524">
        <f>财务基础数据!AM150*目录!$D$6</f>
        <v>0</v>
      </c>
      <c r="AI10" s="524">
        <f>财务基础数据!AN150*目录!$D$6</f>
        <v>0</v>
      </c>
      <c r="AJ10" s="524">
        <f>财务基础数据!AO150*目录!$D$6</f>
        <v>0</v>
      </c>
      <c r="AK10" s="188">
        <f>IF(ISERROR(资产预测!L75),0,资产预测!L75)</f>
        <v>0</v>
      </c>
      <c r="AL10" s="188">
        <f>IF(ISERROR(资产预测!M75),0,资产预测!M75)</f>
        <v>0</v>
      </c>
      <c r="AM10" s="188">
        <f>IF(ISERROR(资产预测!N75),0,资产预测!N75)</f>
        <v>0</v>
      </c>
      <c r="AN10" s="188">
        <f>IF(ISERROR(资产预测!O75),0,资产预测!O75)</f>
        <v>0</v>
      </c>
      <c r="AO10" s="188">
        <f>IF(ISERROR(资产预测!P75),0,资产预测!P75)</f>
        <v>0</v>
      </c>
      <c r="AP10" s="188">
        <f>IF(ISERROR(资产预测!Q75),0,资产预测!Q75)</f>
        <v>0</v>
      </c>
      <c r="AQ10" s="188">
        <f>IF(ISERROR(资产预测!R75),0,资产预测!R75)</f>
        <v>0</v>
      </c>
      <c r="AR10" s="188">
        <f>IF(ISERROR(资产预测!S75),0,资产预测!S75)</f>
        <v>0</v>
      </c>
      <c r="AS10" s="188">
        <f>IF(ISERROR(资产预测!T75),0,资产预测!T75)</f>
        <v>0</v>
      </c>
      <c r="AT10" s="188">
        <f>IF(ISERROR(资产预测!U75),0,资产预测!U75)</f>
        <v>0</v>
      </c>
      <c r="AU10" s="556"/>
      <c r="AV10" s="557"/>
    </row>
    <row r="11" spans="2:48" s="30" customFormat="1" ht="15" customHeight="1">
      <c r="B11" s="150" t="s">
        <v>104</v>
      </c>
      <c r="C11" s="150"/>
      <c r="D11" s="525"/>
      <c r="E11" s="198">
        <f>(财务基础数据!J66)*目录!$D$6</f>
        <v>0</v>
      </c>
      <c r="F11" s="198">
        <f>(财务基础数据!K66)*目录!$D$6</f>
        <v>0</v>
      </c>
      <c r="G11" s="198">
        <f>(财务基础数据!L66)*目录!$D$6</f>
        <v>0</v>
      </c>
      <c r="H11" s="198">
        <f>(财务基础数据!M66)*目录!$D$6</f>
        <v>0</v>
      </c>
      <c r="I11" s="198">
        <f>(财务基础数据!N66)*目录!$D$6</f>
        <v>0</v>
      </c>
      <c r="J11" s="198">
        <f>(财务基础数据!O66)*目录!$D$6</f>
        <v>0</v>
      </c>
      <c r="K11" s="198">
        <f>(财务基础数据!P66)*目录!$D$6</f>
        <v>0</v>
      </c>
      <c r="L11" s="198">
        <f>(财务基础数据!Q66)*目录!$D$6</f>
        <v>0</v>
      </c>
      <c r="M11" s="198">
        <f>(财务基础数据!R66)*目录!$D$6</f>
        <v>0</v>
      </c>
      <c r="N11" s="198">
        <f>(财务基础数据!S66)*目录!$D$6</f>
        <v>0</v>
      </c>
      <c r="O11" s="198">
        <f>(财务基础数据!T66)*目录!$D$6</f>
        <v>0</v>
      </c>
      <c r="P11" s="198">
        <f>(财务基础数据!U66)*目录!$D$6</f>
        <v>0</v>
      </c>
      <c r="Q11" s="198">
        <f>(财务基础数据!V66)*目录!$D$6</f>
        <v>0</v>
      </c>
      <c r="R11" s="198">
        <f>(财务基础数据!W66)*目录!$D$6</f>
        <v>0</v>
      </c>
      <c r="S11" s="198">
        <f>(财务基础数据!X66)*目录!$D$6</f>
        <v>0</v>
      </c>
      <c r="T11" s="198">
        <f>(财务基础数据!Y66)*目录!$D$6</f>
        <v>0</v>
      </c>
      <c r="U11" s="198">
        <f>(财务基础数据!Z66)*目录!$D$6</f>
        <v>0</v>
      </c>
      <c r="V11" s="198">
        <f>(财务基础数据!AA66)*目录!$D$6</f>
        <v>0</v>
      </c>
      <c r="W11" s="198">
        <f>(财务基础数据!AB66)*目录!$D$6</f>
        <v>0</v>
      </c>
      <c r="X11" s="198">
        <f>(财务基础数据!AC66)*目录!$D$6</f>
        <v>0</v>
      </c>
      <c r="Y11" s="198">
        <f>(财务基础数据!AD66)*目录!$D$6</f>
        <v>0</v>
      </c>
      <c r="Z11" s="198">
        <f>(财务基础数据!AE66)*目录!$D$6</f>
        <v>0</v>
      </c>
      <c r="AA11" s="198">
        <f>(财务基础数据!AF66)*目录!$D$6</f>
        <v>0</v>
      </c>
      <c r="AB11" s="198">
        <f>(财务基础数据!AG66)*目录!$D$6</f>
        <v>0</v>
      </c>
      <c r="AC11" s="198">
        <f>(财务基础数据!AH66)*目录!$D$6</f>
        <v>0</v>
      </c>
      <c r="AD11" s="198">
        <f>(财务基础数据!AI66)*目录!$D$6</f>
        <v>0</v>
      </c>
      <c r="AE11" s="198">
        <f>IF(财务基础数据!AJ147=0,财务基础数据!AJ66*目录!$D$6,0)</f>
        <v>0</v>
      </c>
      <c r="AF11" s="198">
        <f>(财务基础数据!AK66)*目录!$D$6</f>
        <v>0</v>
      </c>
      <c r="AG11" s="198">
        <f>(财务基础数据!AL66)*目录!$D$6</f>
        <v>0</v>
      </c>
      <c r="AH11" s="198">
        <f>(财务基础数据!AM66)*目录!$D$6</f>
        <v>0</v>
      </c>
      <c r="AI11" s="198">
        <f>(财务基础数据!AN66)*目录!$D$6</f>
        <v>0</v>
      </c>
      <c r="AJ11" s="198">
        <f>(财务基础数据!AO66)*目录!$D$6</f>
        <v>0</v>
      </c>
      <c r="AK11" s="118">
        <f>IF(ISERROR(资产预测!L10+投资与减值!L178),0,资产预测!L10+投资与减值!L178)</f>
        <v>0</v>
      </c>
      <c r="AL11" s="118">
        <f>IF(ISERROR(资产预测!M10+投资与减值!M178),0,资产预测!M10+投资与减值!M178)+投资与减值!L178</f>
        <v>0</v>
      </c>
      <c r="AM11" s="118">
        <f>IF(ISERROR(资产预测!N10+投资与减值!N178),0,资产预测!N10+投资与减值!N178)+SUM(投资与减值!$L178:M178)</f>
        <v>0</v>
      </c>
      <c r="AN11" s="118">
        <f>IF(ISERROR(资产预测!O10+投资与减值!O178),0,资产预测!O10+投资与减值!O178)+SUM(投资与减值!$L178:N178)</f>
        <v>0</v>
      </c>
      <c r="AO11" s="118">
        <f>IF(ISERROR(资产预测!P10+投资与减值!P178),0,资产预测!P10+投资与减值!P178)+SUM(投资与减值!$L178:O178)</f>
        <v>0</v>
      </c>
      <c r="AP11" s="118">
        <f>IF(ISERROR(资产预测!Q10+投资与减值!Q178),0,资产预测!Q10+投资与减值!Q178)+SUM(投资与减值!$L178:P178)</f>
        <v>0</v>
      </c>
      <c r="AQ11" s="118">
        <f>IF(ISERROR(资产预测!R10+投资与减值!R178),0,资产预测!R10+投资与减值!R178)+SUM(投资与减值!$L178:Q178)</f>
        <v>0</v>
      </c>
      <c r="AR11" s="118">
        <f>IF(ISERROR(资产预测!S10+投资与减值!S178),0,资产预测!S10+投资与减值!S178)+SUM(投资与减值!$L178:R178)</f>
        <v>0</v>
      </c>
      <c r="AS11" s="118">
        <f>IF(ISERROR(资产预测!T10+投资与减值!T178),0,资产预测!T10+投资与减值!T178)+SUM(投资与减值!$L178:S178)</f>
        <v>0</v>
      </c>
      <c r="AT11" s="118">
        <f>IF(ISERROR(资产预测!U10+投资与减值!U178),0,资产预测!U10+投资与减值!U178)+SUM(投资与减值!$L178:T178)</f>
        <v>0</v>
      </c>
      <c r="AU11" s="558"/>
      <c r="AV11" s="559"/>
    </row>
    <row r="12" spans="2:48" ht="15" customHeight="1">
      <c r="B12" s="150" t="s">
        <v>107</v>
      </c>
      <c r="E12" s="524">
        <f>(财务基础数据!J67)*目录!$D$6</f>
        <v>0</v>
      </c>
      <c r="F12" s="524">
        <f>(财务基础数据!K67)*目录!$D$6</f>
        <v>0</v>
      </c>
      <c r="G12" s="524">
        <f>(财务基础数据!L67)*目录!$D$6</f>
        <v>0</v>
      </c>
      <c r="H12" s="524">
        <f>(财务基础数据!M67)*目录!$D$6</f>
        <v>0</v>
      </c>
      <c r="I12" s="524">
        <f>(财务基础数据!N67)*目录!$D$6</f>
        <v>0</v>
      </c>
      <c r="J12" s="524">
        <f>(财务基础数据!O67)*目录!$D$6</f>
        <v>0</v>
      </c>
      <c r="K12" s="524">
        <f>(财务基础数据!P67)*目录!$D$6</f>
        <v>0</v>
      </c>
      <c r="L12" s="524">
        <f>(财务基础数据!Q67)*目录!$D$6</f>
        <v>0</v>
      </c>
      <c r="M12" s="524">
        <f>(财务基础数据!R67)*目录!$D$6</f>
        <v>0</v>
      </c>
      <c r="N12" s="524">
        <f>(财务基础数据!S67)*目录!$D$6</f>
        <v>0</v>
      </c>
      <c r="O12" s="524">
        <f>(财务基础数据!T67)*目录!$D$6</f>
        <v>0</v>
      </c>
      <c r="P12" s="524">
        <f>(财务基础数据!U67)*目录!$D$6</f>
        <v>0</v>
      </c>
      <c r="Q12" s="524">
        <f>(财务基础数据!V67)*目录!$D$6</f>
        <v>0</v>
      </c>
      <c r="R12" s="524">
        <f>(财务基础数据!W67)*目录!$D$6</f>
        <v>0</v>
      </c>
      <c r="S12" s="524">
        <f>(财务基础数据!X67)*目录!$D$6</f>
        <v>0</v>
      </c>
      <c r="T12" s="524">
        <f>(财务基础数据!Y67)*目录!$D$6</f>
        <v>0</v>
      </c>
      <c r="U12" s="524">
        <f>(财务基础数据!Z67)*目录!$D$6</f>
        <v>0</v>
      </c>
      <c r="V12" s="524">
        <f>(财务基础数据!AA67)*目录!$D$6</f>
        <v>0</v>
      </c>
      <c r="W12" s="524">
        <f>(财务基础数据!AB67)*目录!$D$6</f>
        <v>0</v>
      </c>
      <c r="X12" s="524">
        <f>(财务基础数据!AC67)*目录!$D$6</f>
        <v>0</v>
      </c>
      <c r="Y12" s="524">
        <f>(财务基础数据!AD67)*目录!$D$6</f>
        <v>0</v>
      </c>
      <c r="Z12" s="524">
        <f>(财务基础数据!AE67)*目录!$D$6</f>
        <v>0</v>
      </c>
      <c r="AA12" s="524">
        <f>(财务基础数据!AF67)*目录!$D$6</f>
        <v>0</v>
      </c>
      <c r="AB12" s="524">
        <f>(财务基础数据!AG67)*目录!$D$6</f>
        <v>0</v>
      </c>
      <c r="AC12" s="198">
        <f>(财务基础数据!AH67)*目录!$D$6</f>
        <v>0</v>
      </c>
      <c r="AD12" s="198">
        <f>(财务基础数据!AI67)*目录!$D$6</f>
        <v>0</v>
      </c>
      <c r="AE12" s="524">
        <f>(财务基础数据!AJ147)*目录!$D$6</f>
        <v>0</v>
      </c>
      <c r="AF12" s="198">
        <f>(财务基础数据!AK67)*目录!$D$6</f>
        <v>0</v>
      </c>
      <c r="AG12" s="198">
        <f>(财务基础数据!AL67)*目录!$D$6</f>
        <v>0</v>
      </c>
      <c r="AH12" s="198">
        <f>(财务基础数据!AM67)*目录!$D$6</f>
        <v>0</v>
      </c>
      <c r="AI12" s="198">
        <f>(财务基础数据!AN67)*目录!$D$6</f>
        <v>0</v>
      </c>
      <c r="AJ12" s="198">
        <f>(财务基础数据!AO67)*目录!$D$6</f>
        <v>0</v>
      </c>
      <c r="AK12" s="188">
        <f>IF(ISERROR(资产预测!L14+投资与减值!L177),0,资产预测!L14+投资与减值!L177)</f>
        <v>0</v>
      </c>
      <c r="AL12" s="188">
        <f>IF(ISERROR(资产预测!M14+投资与减值!M177),0,资产预测!M14+投资与减值!M177)+投资与减值!L177</f>
        <v>0</v>
      </c>
      <c r="AM12" s="188">
        <f>IF(ISERROR(资产预测!N14+投资与减值!N177),0,资产预测!N14+投资与减值!N177)+SUM(投资与减值!$L177:M177)</f>
        <v>0</v>
      </c>
      <c r="AN12" s="188">
        <f>IF(ISERROR(资产预测!O14+投资与减值!O177),0,资产预测!O14+投资与减值!O177)+SUM(投资与减值!$L177:N177)</f>
        <v>0</v>
      </c>
      <c r="AO12" s="188">
        <f>IF(ISERROR(资产预测!P14+投资与减值!P177),0,资产预测!P14+投资与减值!P177)+SUM(投资与减值!$L177:O177)</f>
        <v>0</v>
      </c>
      <c r="AP12" s="188">
        <f>IF(ISERROR(资产预测!Q14+投资与减值!Q177),0,资产预测!Q14+投资与减值!Q177)+SUM(投资与减值!$L177:P177)</f>
        <v>0</v>
      </c>
      <c r="AQ12" s="188">
        <f>IF(ISERROR(资产预测!R14+投资与减值!R177),0,资产预测!R14+投资与减值!R177)+SUM(投资与减值!$L177:Q177)</f>
        <v>0</v>
      </c>
      <c r="AR12" s="188">
        <f>IF(ISERROR(资产预测!S14+投资与减值!S177),0,资产预测!S14+投资与减值!S177)+SUM(投资与减值!$L177:R177)</f>
        <v>0</v>
      </c>
      <c r="AS12" s="188">
        <f>IF(ISERROR(资产预测!T14+投资与减值!T177),0,资产预测!T14+投资与减值!T177)+SUM(投资与减值!$L177:S177)</f>
        <v>0</v>
      </c>
      <c r="AT12" s="188">
        <f>IF(ISERROR(资产预测!U14+投资与减值!U177),0,资产预测!U14+投资与减值!U177)+SUM(投资与减值!$L177:T177)</f>
        <v>0</v>
      </c>
      <c r="AU12" s="556"/>
      <c r="AV12" s="557"/>
    </row>
    <row r="13" spans="2:48" ht="15" customHeight="1">
      <c r="B13" s="150" t="s">
        <v>109</v>
      </c>
      <c r="E13" s="524">
        <f>(财务基础数据!J163)*目录!$D$6</f>
        <v>0</v>
      </c>
      <c r="F13" s="524">
        <f>(财务基础数据!K163)*目录!$D$6</f>
        <v>0</v>
      </c>
      <c r="G13" s="524">
        <f>(财务基础数据!L163)*目录!$D$6</f>
        <v>0</v>
      </c>
      <c r="H13" s="524">
        <f>(财务基础数据!M163)*目录!$D$6</f>
        <v>0</v>
      </c>
      <c r="I13" s="524">
        <f>(财务基础数据!N163)*目录!$D$6</f>
        <v>0</v>
      </c>
      <c r="J13" s="524">
        <f>(财务基础数据!O163)*目录!$D$6</f>
        <v>0</v>
      </c>
      <c r="K13" s="524">
        <f>(财务基础数据!P163)*目录!$D$6</f>
        <v>0</v>
      </c>
      <c r="L13" s="524">
        <f>(财务基础数据!Q163)*目录!$D$6</f>
        <v>0</v>
      </c>
      <c r="M13" s="524">
        <f>(财务基础数据!R163)*目录!$D$6</f>
        <v>0</v>
      </c>
      <c r="N13" s="524">
        <f>(财务基础数据!S163)*目录!$D$6</f>
        <v>0</v>
      </c>
      <c r="O13" s="524">
        <f>(财务基础数据!T163)*目录!$D$6</f>
        <v>0</v>
      </c>
      <c r="P13" s="524">
        <f>(财务基础数据!U163)*目录!$D$6</f>
        <v>0</v>
      </c>
      <c r="Q13" s="524">
        <f>(财务基础数据!V163)*目录!$D$6</f>
        <v>0</v>
      </c>
      <c r="R13" s="524">
        <f>(财务基础数据!W163)*目录!$D$6</f>
        <v>0</v>
      </c>
      <c r="S13" s="524">
        <f>(财务基础数据!X163)*目录!$D$6</f>
        <v>0</v>
      </c>
      <c r="T13" s="524">
        <f>(财务基础数据!Y163)*目录!$D$6</f>
        <v>0</v>
      </c>
      <c r="U13" s="524">
        <f>(财务基础数据!Z163)*目录!$D$6</f>
        <v>0</v>
      </c>
      <c r="V13" s="524">
        <f>(财务基础数据!AA163)*目录!$D$6</f>
        <v>0</v>
      </c>
      <c r="W13" s="524">
        <f>(财务基础数据!AB163)*目录!$D$6</f>
        <v>0</v>
      </c>
      <c r="X13" s="524">
        <f>(财务基础数据!AC163)*目录!$D$6</f>
        <v>0</v>
      </c>
      <c r="Y13" s="524">
        <f>(财务基础数据!AD163)*目录!$D$6</f>
        <v>0</v>
      </c>
      <c r="Z13" s="524">
        <f>(财务基础数据!AE163)*目录!$D$6</f>
        <v>0</v>
      </c>
      <c r="AA13" s="524">
        <f>(财务基础数据!AF163)*目录!$D$6</f>
        <v>0</v>
      </c>
      <c r="AB13" s="524">
        <f>(财务基础数据!AG163)*目录!$D$6</f>
        <v>0</v>
      </c>
      <c r="AC13" s="198">
        <f>(财务基础数据!AH163)*目录!$D$6</f>
        <v>0</v>
      </c>
      <c r="AD13" s="198">
        <f>(财务基础数据!AI163)*目录!$D$6</f>
        <v>0</v>
      </c>
      <c r="AE13" s="198">
        <f>(财务基础数据!AJ163)*目录!$D$6</f>
        <v>0</v>
      </c>
      <c r="AF13" s="198">
        <f>(财务基础数据!AK163)*目录!$D$6</f>
        <v>0</v>
      </c>
      <c r="AG13" s="198">
        <f>(财务基础数据!AL163)*目录!$D$6</f>
        <v>0</v>
      </c>
      <c r="AH13" s="198">
        <f>(财务基础数据!AM163)*目录!$D$6</f>
        <v>0</v>
      </c>
      <c r="AI13" s="198">
        <f>(财务基础数据!AN163)*目录!$D$6</f>
        <v>0</v>
      </c>
      <c r="AJ13" s="198">
        <f>(财务基础数据!AO163)*目录!$D$6</f>
        <v>0</v>
      </c>
      <c r="AK13" s="188">
        <f>IF(ISERROR(资产预测!L18),0,资产预测!L18)</f>
        <v>0</v>
      </c>
      <c r="AL13" s="188">
        <f>IF(ISERROR(资产预测!M18),0,资产预测!M18)</f>
        <v>0</v>
      </c>
      <c r="AM13" s="188">
        <f>IF(ISERROR(资产预测!N18),0,资产预测!N18)</f>
        <v>0</v>
      </c>
      <c r="AN13" s="188">
        <f>IF(ISERROR(资产预测!O18),0,资产预测!O18)</f>
        <v>0</v>
      </c>
      <c r="AO13" s="188">
        <f>IF(ISERROR(资产预测!P18),0,资产预测!P18)</f>
        <v>0</v>
      </c>
      <c r="AP13" s="188">
        <f>IF(ISERROR(资产预测!Q18),0,资产预测!Q18)</f>
        <v>0</v>
      </c>
      <c r="AQ13" s="188">
        <f>IF(ISERROR(资产预测!R18),0,资产预测!R18)</f>
        <v>0</v>
      </c>
      <c r="AR13" s="188">
        <f>IF(ISERROR(资产预测!S18),0,资产预测!S18)</f>
        <v>0</v>
      </c>
      <c r="AS13" s="188">
        <f>IF(ISERROR(资产预测!T18),0,资产预测!T18)</f>
        <v>0</v>
      </c>
      <c r="AT13" s="188">
        <f>IF(ISERROR(资产预测!U18),0,资产预测!U18)</f>
        <v>0</v>
      </c>
      <c r="AU13" s="556"/>
      <c r="AV13" s="557"/>
    </row>
    <row r="14" spans="2:48" ht="15" customHeight="1">
      <c r="B14" s="150" t="s">
        <v>396</v>
      </c>
      <c r="E14" s="524">
        <f>财务基础数据!J69*目录!$D$6</f>
        <v>0</v>
      </c>
      <c r="F14" s="524">
        <f>财务基础数据!K69*目录!$D$6</f>
        <v>0</v>
      </c>
      <c r="G14" s="524">
        <f>财务基础数据!L69*目录!$D$6</f>
        <v>0</v>
      </c>
      <c r="H14" s="524">
        <f>财务基础数据!M69*目录!$D$6</f>
        <v>0</v>
      </c>
      <c r="I14" s="524">
        <f>财务基础数据!N69*目录!$D$6</f>
        <v>0</v>
      </c>
      <c r="J14" s="524">
        <f>财务基础数据!O69*目录!$D$6</f>
        <v>0</v>
      </c>
      <c r="K14" s="524">
        <f>财务基础数据!P69*目录!$D$6</f>
        <v>0</v>
      </c>
      <c r="L14" s="524">
        <f>财务基础数据!Q69*目录!$D$6</f>
        <v>0</v>
      </c>
      <c r="M14" s="524">
        <f>财务基础数据!R69*目录!$D$6</f>
        <v>0</v>
      </c>
      <c r="N14" s="524">
        <f>财务基础数据!S69*目录!$D$6</f>
        <v>0</v>
      </c>
      <c r="O14" s="524">
        <f>财务基础数据!T69*目录!$D$6</f>
        <v>0</v>
      </c>
      <c r="P14" s="524">
        <f>财务基础数据!U69*目录!$D$6</f>
        <v>0</v>
      </c>
      <c r="Q14" s="524">
        <f>财务基础数据!V69*目录!$D$6</f>
        <v>0</v>
      </c>
      <c r="R14" s="524">
        <f>财务基础数据!W69*目录!$D$6</f>
        <v>0</v>
      </c>
      <c r="S14" s="524">
        <f>财务基础数据!X69*目录!$D$6</f>
        <v>0</v>
      </c>
      <c r="T14" s="524">
        <f>财务基础数据!Y69*目录!$D$6</f>
        <v>0</v>
      </c>
      <c r="U14" s="524">
        <f>财务基础数据!Z69*目录!$D$6</f>
        <v>0</v>
      </c>
      <c r="V14" s="524">
        <f>财务基础数据!AA69*目录!$D$6</f>
        <v>0</v>
      </c>
      <c r="W14" s="524">
        <f>财务基础数据!AB69*目录!$D$6</f>
        <v>0</v>
      </c>
      <c r="X14" s="524">
        <f>财务基础数据!AC69*目录!$D$6</f>
        <v>0</v>
      </c>
      <c r="Y14" s="524">
        <f>财务基础数据!AD69*目录!$D$6</f>
        <v>0</v>
      </c>
      <c r="Z14" s="524">
        <f>财务基础数据!AE69*目录!$D$6</f>
        <v>0</v>
      </c>
      <c r="AA14" s="524">
        <f>财务基础数据!AF69*目录!$D$6</f>
        <v>0</v>
      </c>
      <c r="AB14" s="524">
        <f>财务基础数据!AG69*目录!$D$6</f>
        <v>0</v>
      </c>
      <c r="AC14" s="198">
        <f>财务基础数据!AH69*目录!$D$6</f>
        <v>0</v>
      </c>
      <c r="AD14" s="198">
        <f>财务基础数据!AI69*目录!$D$6</f>
        <v>0</v>
      </c>
      <c r="AE14" s="198">
        <f>财务基础数据!AJ69*目录!$D$6</f>
        <v>0</v>
      </c>
      <c r="AF14" s="198">
        <f>财务基础数据!AK69*目录!$D$6</f>
        <v>0</v>
      </c>
      <c r="AG14" s="198">
        <f>财务基础数据!AL69*目录!$D$6</f>
        <v>0</v>
      </c>
      <c r="AH14" s="198">
        <f>财务基础数据!AM69*目录!$D$6</f>
        <v>0</v>
      </c>
      <c r="AI14" s="198">
        <f>财务基础数据!AN69*目录!$D$6</f>
        <v>0</v>
      </c>
      <c r="AJ14" s="198">
        <f>财务基础数据!AO69*目录!$D$6</f>
        <v>0</v>
      </c>
      <c r="AK14" s="188">
        <f>IF(ISERROR(资产预测!L21),0,资产预测!L21)</f>
        <v>0</v>
      </c>
      <c r="AL14" s="188">
        <f>IF(ISERROR(资产预测!M21),0,资产预测!M21)</f>
        <v>0</v>
      </c>
      <c r="AM14" s="188">
        <f>IF(ISERROR(资产预测!N21),0,资产预测!N21)</f>
        <v>0</v>
      </c>
      <c r="AN14" s="188">
        <f>IF(ISERROR(资产预测!O21),0,资产预测!O21)</f>
        <v>0</v>
      </c>
      <c r="AO14" s="188">
        <f>IF(ISERROR(资产预测!P21),0,资产预测!P21)</f>
        <v>0</v>
      </c>
      <c r="AP14" s="188">
        <f>IF(ISERROR(资产预测!Q21),0,资产预测!Q21)</f>
        <v>0</v>
      </c>
      <c r="AQ14" s="188">
        <f>IF(ISERROR(资产预测!R21),0,资产预测!R21)</f>
        <v>0</v>
      </c>
      <c r="AR14" s="188">
        <f>IF(ISERROR(资产预测!S21),0,资产预测!S21)</f>
        <v>0</v>
      </c>
      <c r="AS14" s="188">
        <f>IF(ISERROR(资产预测!T21),0,资产预测!T21)</f>
        <v>0</v>
      </c>
      <c r="AT14" s="188">
        <f>IF(ISERROR(资产预测!U21),0,资产预测!U21)</f>
        <v>0</v>
      </c>
      <c r="AU14" s="556"/>
      <c r="AV14" s="560"/>
    </row>
    <row r="15" spans="2:48" ht="15" customHeight="1">
      <c r="B15" s="130" t="s">
        <v>113</v>
      </c>
      <c r="E15" s="524">
        <f>(财务基础数据!J153)*目录!$D$6</f>
        <v>0</v>
      </c>
      <c r="F15" s="524">
        <f>(财务基础数据!K153)*目录!$D$6</f>
        <v>0</v>
      </c>
      <c r="G15" s="524">
        <f>(财务基础数据!L153)*目录!$D$6</f>
        <v>0</v>
      </c>
      <c r="H15" s="524">
        <f>(财务基础数据!M153)*目录!$D$6</f>
        <v>0</v>
      </c>
      <c r="I15" s="524">
        <f>(财务基础数据!N153)*目录!$D$6</f>
        <v>0</v>
      </c>
      <c r="J15" s="524">
        <f>(财务基础数据!O153)*目录!$D$6</f>
        <v>0</v>
      </c>
      <c r="K15" s="524">
        <f>(财务基础数据!P153)*目录!$D$6</f>
        <v>0</v>
      </c>
      <c r="L15" s="524">
        <f>(财务基础数据!Q153)*目录!$D$6</f>
        <v>0</v>
      </c>
      <c r="M15" s="524">
        <f>(财务基础数据!R153)*目录!$D$6</f>
        <v>0</v>
      </c>
      <c r="N15" s="524">
        <f>(财务基础数据!S153)*目录!$D$6</f>
        <v>0</v>
      </c>
      <c r="O15" s="524">
        <f>(财务基础数据!T153)*目录!$D$6</f>
        <v>0</v>
      </c>
      <c r="P15" s="524">
        <f>(财务基础数据!U153)*目录!$D$6</f>
        <v>0</v>
      </c>
      <c r="Q15" s="524">
        <f>(财务基础数据!V153)*目录!$D$6</f>
        <v>0</v>
      </c>
      <c r="R15" s="524">
        <f>(财务基础数据!W153)*目录!$D$6</f>
        <v>0</v>
      </c>
      <c r="S15" s="524">
        <f>(财务基础数据!X153)*目录!$D$6</f>
        <v>0</v>
      </c>
      <c r="T15" s="524">
        <f>(财务基础数据!Y153)*目录!$D$6</f>
        <v>0</v>
      </c>
      <c r="U15" s="524">
        <f>(财务基础数据!Z153)*目录!$D$6</f>
        <v>0</v>
      </c>
      <c r="V15" s="524">
        <f>(财务基础数据!AA153)*目录!$D$6</f>
        <v>0</v>
      </c>
      <c r="W15" s="524">
        <f>(财务基础数据!AB153)*目录!$D$6</f>
        <v>0</v>
      </c>
      <c r="X15" s="524">
        <f>(财务基础数据!AC153)*目录!$D$6</f>
        <v>0</v>
      </c>
      <c r="Y15" s="524">
        <f>(财务基础数据!AD153)*目录!$D$6</f>
        <v>0</v>
      </c>
      <c r="Z15" s="524">
        <f>(财务基础数据!AE153)*目录!$D$6</f>
        <v>0</v>
      </c>
      <c r="AA15" s="524">
        <f>(财务基础数据!AF153)*目录!$D$6</f>
        <v>0</v>
      </c>
      <c r="AB15" s="524">
        <f>(财务基础数据!AG153)*目录!$D$6</f>
        <v>0</v>
      </c>
      <c r="AC15" s="198">
        <f>(财务基础数据!AH153)*目录!$D$6</f>
        <v>0</v>
      </c>
      <c r="AD15" s="198">
        <f>(财务基础数据!AI153)*目录!$D$6</f>
        <v>0</v>
      </c>
      <c r="AE15" s="198">
        <f>(财务基础数据!AJ153)*目录!$D$6</f>
        <v>0</v>
      </c>
      <c r="AF15" s="198">
        <f>(财务基础数据!AK153)*目录!$D$6</f>
        <v>0</v>
      </c>
      <c r="AG15" s="198">
        <f>(财务基础数据!AL153)*目录!$D$6</f>
        <v>0</v>
      </c>
      <c r="AH15" s="198">
        <f>(财务基础数据!AM153)*目录!$D$6</f>
        <v>0</v>
      </c>
      <c r="AI15" s="198">
        <f>(财务基础数据!AN153)*目录!$D$6</f>
        <v>0</v>
      </c>
      <c r="AJ15" s="198">
        <f>(财务基础数据!AO153)*目录!$D$6</f>
        <v>0</v>
      </c>
      <c r="AK15" s="188">
        <f>IF(ISERROR(资产预测!L24+投资与减值!L179),0,资产预测!L24+投资与减值!L179)</f>
        <v>0</v>
      </c>
      <c r="AL15" s="188">
        <f>IF(ISERROR(资产预测!M24+投资与减值!M179),0,资产预测!M24+投资与减值!M179)+投资与减值!L179</f>
        <v>0</v>
      </c>
      <c r="AM15" s="188">
        <f>IF(ISERROR(资产预测!N24+投资与减值!N179),0,资产预测!N24+投资与减值!N179)+SUM(投资与减值!$L179:M179)</f>
        <v>0</v>
      </c>
      <c r="AN15" s="188">
        <f>IF(ISERROR(资产预测!O24+投资与减值!O179),0,资产预测!O24+投资与减值!O179)+SUM(投资与减值!$L179:N179)</f>
        <v>0</v>
      </c>
      <c r="AO15" s="188">
        <f>IF(ISERROR(资产预测!P24+投资与减值!P179),0,资产预测!P24+投资与减值!P179)+SUM(投资与减值!$L179:O179)</f>
        <v>0</v>
      </c>
      <c r="AP15" s="188">
        <f>IF(ISERROR(资产预测!Q24+投资与减值!Q179),0,资产预测!Q24+投资与减值!Q179)+SUM(投资与减值!$L179:P179)</f>
        <v>0</v>
      </c>
      <c r="AQ15" s="188">
        <f>IF(ISERROR(资产预测!R24+投资与减值!R179),0,资产预测!R24+投资与减值!R179)+SUM(投资与减值!$L179:Q179)</f>
        <v>0</v>
      </c>
      <c r="AR15" s="188">
        <f>IF(ISERROR(资产预测!S24+投资与减值!S179),0,资产预测!S24+投资与减值!S179)+SUM(投资与减值!$L179:R179)</f>
        <v>0</v>
      </c>
      <c r="AS15" s="188">
        <f>IF(ISERROR(资产预测!T24+投资与减值!T179),0,资产预测!T24+投资与减值!T179)+SUM(投资与减值!$L179:S179)</f>
        <v>0</v>
      </c>
      <c r="AT15" s="188">
        <f>IF(ISERROR(资产预测!U24+投资与减值!U179),0,资产预测!U24+投资与减值!U179)+SUM(投资与减值!$L179:T179)</f>
        <v>0</v>
      </c>
      <c r="AU15" s="556"/>
      <c r="AV15" s="557"/>
    </row>
    <row r="16" spans="2:48" ht="15" customHeight="1">
      <c r="B16" s="130" t="s">
        <v>115</v>
      </c>
      <c r="E16" s="524">
        <f>财务基础数据!J70*目录!$D$6</f>
        <v>0</v>
      </c>
      <c r="F16" s="524">
        <f>财务基础数据!K70*目录!$D$6</f>
        <v>0</v>
      </c>
      <c r="G16" s="524">
        <f>财务基础数据!L70*目录!$D$6</f>
        <v>0</v>
      </c>
      <c r="H16" s="524">
        <f>财务基础数据!M70*目录!$D$6</f>
        <v>0</v>
      </c>
      <c r="I16" s="524">
        <f>财务基础数据!N70*目录!$D$6</f>
        <v>0</v>
      </c>
      <c r="J16" s="524">
        <f>财务基础数据!O70*目录!$D$6</f>
        <v>0</v>
      </c>
      <c r="K16" s="524">
        <f>财务基础数据!P70*目录!$D$6</f>
        <v>0</v>
      </c>
      <c r="L16" s="524">
        <f>财务基础数据!Q70*目录!$D$6</f>
        <v>0</v>
      </c>
      <c r="M16" s="524">
        <f>财务基础数据!R70*目录!$D$6</f>
        <v>0</v>
      </c>
      <c r="N16" s="524">
        <f>财务基础数据!S70*目录!$D$6</f>
        <v>0</v>
      </c>
      <c r="O16" s="524">
        <f>财务基础数据!T70*目录!$D$6</f>
        <v>0</v>
      </c>
      <c r="P16" s="524">
        <f>财务基础数据!U70*目录!$D$6</f>
        <v>0</v>
      </c>
      <c r="Q16" s="524">
        <f>财务基础数据!V70*目录!$D$6</f>
        <v>0</v>
      </c>
      <c r="R16" s="524">
        <f>财务基础数据!W70*目录!$D$6</f>
        <v>0</v>
      </c>
      <c r="S16" s="524">
        <f>财务基础数据!X70*目录!$D$6</f>
        <v>0</v>
      </c>
      <c r="T16" s="524">
        <f>财务基础数据!Y70*目录!$D$6</f>
        <v>0</v>
      </c>
      <c r="U16" s="524">
        <f>财务基础数据!Z70*目录!$D$6</f>
        <v>0</v>
      </c>
      <c r="V16" s="524">
        <f>财务基础数据!AA70*目录!$D$6</f>
        <v>0</v>
      </c>
      <c r="W16" s="524">
        <f>财务基础数据!AB70*目录!$D$6</f>
        <v>0</v>
      </c>
      <c r="X16" s="524">
        <f>财务基础数据!AC70*目录!$D$6</f>
        <v>0</v>
      </c>
      <c r="Y16" s="524">
        <f>财务基础数据!AD70*目录!$D$6</f>
        <v>0</v>
      </c>
      <c r="Z16" s="524">
        <f>财务基础数据!AE70*目录!$D$6</f>
        <v>0</v>
      </c>
      <c r="AA16" s="524">
        <f>财务基础数据!AF70*目录!$D$6</f>
        <v>0</v>
      </c>
      <c r="AB16" s="524">
        <f>财务基础数据!AG70*目录!$D$6</f>
        <v>0</v>
      </c>
      <c r="AC16" s="198">
        <f>财务基础数据!AH70*目录!$D$6</f>
        <v>0</v>
      </c>
      <c r="AD16" s="198">
        <f>财务基础数据!AI70*目录!$D$6</f>
        <v>0</v>
      </c>
      <c r="AE16" s="198">
        <f>财务基础数据!AJ70*目录!$D$6</f>
        <v>0</v>
      </c>
      <c r="AF16" s="198">
        <f>财务基础数据!AK70*目录!$D$6</f>
        <v>0</v>
      </c>
      <c r="AG16" s="198">
        <f>财务基础数据!AL70*目录!$D$6</f>
        <v>0</v>
      </c>
      <c r="AH16" s="198">
        <f>财务基础数据!AM70*目录!$D$6</f>
        <v>0</v>
      </c>
      <c r="AI16" s="198">
        <f>财务基础数据!AN70*目录!$D$6</f>
        <v>0</v>
      </c>
      <c r="AJ16" s="198">
        <f>财务基础数据!AO70*目录!$D$6</f>
        <v>0</v>
      </c>
      <c r="AK16" s="188">
        <f>IF(ISERROR(资产预测!L28+投资与减值!L171),0,资产预测!L28+投资与减值!L171)</f>
        <v>0</v>
      </c>
      <c r="AL16" s="188">
        <f>IF(ISERROR(资产预测!M28+投资与减值!M171),0,资产预测!M28+投资与减值!M171)+投资与减值!L171</f>
        <v>0</v>
      </c>
      <c r="AM16" s="188">
        <f>IF(ISERROR(资产预测!N28+投资与减值!N171),0,资产预测!N28+投资与减值!N171)+SUM(投资与减值!$L171:M171)</f>
        <v>0</v>
      </c>
      <c r="AN16" s="188">
        <f>IF(ISERROR(资产预测!O28+投资与减值!O171),0,资产预测!O28+投资与减值!O171)+SUM(投资与减值!$L171:N171)</f>
        <v>0</v>
      </c>
      <c r="AO16" s="188">
        <f>IF(ISERROR(资产预测!P28+投资与减值!P171),0,资产预测!P28+投资与减值!P171)+SUM(投资与减值!$L171:O171)</f>
        <v>0</v>
      </c>
      <c r="AP16" s="188">
        <f>IF(ISERROR(资产预测!Q28+投资与减值!Q171),0,资产预测!Q28+投资与减值!Q171)+SUM(投资与减值!$L171:P171)</f>
        <v>0</v>
      </c>
      <c r="AQ16" s="188">
        <f>IF(ISERROR(资产预测!R28+投资与减值!R171),0,资产预测!R28+投资与减值!R171)+SUM(投资与减值!$L171:Q171)</f>
        <v>0</v>
      </c>
      <c r="AR16" s="188">
        <f>IF(ISERROR(资产预测!S28+投资与减值!S171),0,资产预测!S28+投资与减值!S171)+SUM(投资与减值!$L171:R171)</f>
        <v>0</v>
      </c>
      <c r="AS16" s="188">
        <f>IF(ISERROR(资产预测!T28+投资与减值!T171),0,资产预测!T28+投资与减值!T171)+SUM(投资与减值!$L171:S171)</f>
        <v>0</v>
      </c>
      <c r="AT16" s="188">
        <f>IF(ISERROR(资产预测!U28+投资与减值!U171),0,资产预测!U28+投资与减值!U171)+SUM(投资与减值!$L171:T171)</f>
        <v>0</v>
      </c>
      <c r="AU16" s="556"/>
      <c r="AV16" s="557"/>
    </row>
    <row r="17" spans="1:48" ht="15" customHeight="1">
      <c r="B17" s="130" t="s">
        <v>118</v>
      </c>
      <c r="E17" s="524">
        <f>财务基础数据!J145*目录!$D$6</f>
        <v>0</v>
      </c>
      <c r="F17" s="524">
        <f>财务基础数据!K145*目录!$D$6</f>
        <v>0</v>
      </c>
      <c r="G17" s="524">
        <f>财务基础数据!L145*目录!$D$6</f>
        <v>0</v>
      </c>
      <c r="H17" s="524">
        <f>财务基础数据!M145*目录!$D$6</f>
        <v>0</v>
      </c>
      <c r="I17" s="524">
        <f>财务基础数据!N145*目录!$D$6</f>
        <v>0</v>
      </c>
      <c r="J17" s="524">
        <f>财务基础数据!O145*目录!$D$6</f>
        <v>0</v>
      </c>
      <c r="K17" s="524">
        <f>财务基础数据!P145*目录!$D$6</f>
        <v>0</v>
      </c>
      <c r="L17" s="524">
        <f>财务基础数据!Q145*目录!$D$6</f>
        <v>0</v>
      </c>
      <c r="M17" s="524">
        <f>财务基础数据!R145*目录!$D$6</f>
        <v>0</v>
      </c>
      <c r="N17" s="524">
        <f>财务基础数据!S145*目录!$D$6</f>
        <v>0</v>
      </c>
      <c r="O17" s="524">
        <f>财务基础数据!T145*目录!$D$6</f>
        <v>0</v>
      </c>
      <c r="P17" s="524">
        <f>财务基础数据!U145*目录!$D$6</f>
        <v>0</v>
      </c>
      <c r="Q17" s="524">
        <f>财务基础数据!V145*目录!$D$6</f>
        <v>0</v>
      </c>
      <c r="R17" s="524">
        <f>财务基础数据!W145*目录!$D$6</f>
        <v>0</v>
      </c>
      <c r="S17" s="524">
        <f>财务基础数据!X145*目录!$D$6</f>
        <v>0</v>
      </c>
      <c r="T17" s="524">
        <f>财务基础数据!Y145*目录!$D$6</f>
        <v>0</v>
      </c>
      <c r="U17" s="524">
        <f>财务基础数据!Z145*目录!$D$6</f>
        <v>0</v>
      </c>
      <c r="V17" s="524">
        <f>财务基础数据!AA145*目录!$D$6</f>
        <v>0</v>
      </c>
      <c r="W17" s="524">
        <f>财务基础数据!AB145*目录!$D$6</f>
        <v>0</v>
      </c>
      <c r="X17" s="524">
        <f>财务基础数据!AC145*目录!$D$6</f>
        <v>0</v>
      </c>
      <c r="Y17" s="524">
        <f>财务基础数据!AD145*目录!$D$6</f>
        <v>0</v>
      </c>
      <c r="Z17" s="524">
        <f>财务基础数据!AE145*目录!$D$6</f>
        <v>0</v>
      </c>
      <c r="AA17" s="524">
        <f>财务基础数据!AF145*目录!$D$6</f>
        <v>0</v>
      </c>
      <c r="AB17" s="524">
        <f>财务基础数据!AG145*目录!$D$6</f>
        <v>0</v>
      </c>
      <c r="AC17" s="198">
        <f>财务基础数据!AH145*目录!$D$6</f>
        <v>0</v>
      </c>
      <c r="AD17" s="198">
        <f>财务基础数据!AI145*目录!$D$6</f>
        <v>0</v>
      </c>
      <c r="AE17" s="198">
        <f>财务基础数据!AJ145*目录!$D$6</f>
        <v>0</v>
      </c>
      <c r="AF17" s="198">
        <f>财务基础数据!AK145*目录!$D$6</f>
        <v>0</v>
      </c>
      <c r="AG17" s="198">
        <f>财务基础数据!AL145*目录!$D$6</f>
        <v>0</v>
      </c>
      <c r="AH17" s="198">
        <f>财务基础数据!AM145*目录!$D$6</f>
        <v>0</v>
      </c>
      <c r="AI17" s="198">
        <f>财务基础数据!AN145*目录!$D$6</f>
        <v>0</v>
      </c>
      <c r="AJ17" s="198">
        <f>财务基础数据!AO145*目录!$D$6</f>
        <v>0</v>
      </c>
      <c r="AK17" s="188">
        <f>IF(ISERROR(资产预测!L32+投资与减值!L172),"—",资产预测!L32+投资与减值!L172)</f>
        <v>0</v>
      </c>
      <c r="AL17" s="188">
        <f>IF(ISERROR(资产预测!M32+投资与减值!M172),"—",资产预测!M32+投资与减值!M172)+投资与减值!L172</f>
        <v>0</v>
      </c>
      <c r="AM17" s="188">
        <f>IF(ISERROR(资产预测!N32+投资与减值!N172),"—",资产预测!N32+投资与减值!N172)+SUM(投资与减值!$L172:M172)</f>
        <v>0</v>
      </c>
      <c r="AN17" s="188">
        <f>IF(ISERROR(资产预测!O32+投资与减值!O172),"—",资产预测!O32+投资与减值!O172)+SUM(投资与减值!$L172:N172)</f>
        <v>0</v>
      </c>
      <c r="AO17" s="188">
        <f>IF(ISERROR(资产预测!P32+投资与减值!P172),"—",资产预测!P32+投资与减值!P172)+SUM(投资与减值!$L172:O172)</f>
        <v>0</v>
      </c>
      <c r="AP17" s="188">
        <f>IF(ISERROR(资产预测!Q32+投资与减值!Q172),"—",资产预测!Q32+投资与减值!Q172)+SUM(投资与减值!$L172:P172)</f>
        <v>0</v>
      </c>
      <c r="AQ17" s="188">
        <f>IF(ISERROR(资产预测!R32+投资与减值!R172),"—",资产预测!R32+投资与减值!R172)+SUM(投资与减值!$L172:Q172)</f>
        <v>0</v>
      </c>
      <c r="AR17" s="188">
        <f>IF(ISERROR(资产预测!S32+投资与减值!S172),"—",资产预测!S32+投资与减值!S172)+SUM(投资与减值!$L172:R172)</f>
        <v>0</v>
      </c>
      <c r="AS17" s="188">
        <f>IF(ISERROR(资产预测!T32+投资与减值!T172),"—",资产预测!T32+投资与减值!T172)+SUM(投资与减值!$L172:S172)</f>
        <v>0</v>
      </c>
      <c r="AT17" s="188">
        <f>IF(ISERROR(资产预测!U32+投资与减值!U172),"—",资产预测!U32+投资与减值!U172)+SUM(投资与减值!$L172:T172)</f>
        <v>0</v>
      </c>
      <c r="AU17" s="556"/>
      <c r="AV17" s="557"/>
    </row>
    <row r="18" spans="1:48" ht="15" customHeight="1">
      <c r="A18" s="30"/>
      <c r="B18" s="130" t="s">
        <v>397</v>
      </c>
      <c r="E18" s="524">
        <f>(财务基础数据!J141+财务基础数据!J137)*目录!$D$6</f>
        <v>0</v>
      </c>
      <c r="F18" s="524">
        <f>(财务基础数据!K141+财务基础数据!K137)*目录!$D$6</f>
        <v>0</v>
      </c>
      <c r="G18" s="524">
        <f>(财务基础数据!L141+财务基础数据!L137)*目录!$D$6</f>
        <v>0</v>
      </c>
      <c r="H18" s="524">
        <f>(财务基础数据!M141+财务基础数据!M137)*目录!$D$6</f>
        <v>0</v>
      </c>
      <c r="I18" s="524">
        <f>(财务基础数据!N141+财务基础数据!N137)*目录!$D$6</f>
        <v>0</v>
      </c>
      <c r="J18" s="524">
        <f>(财务基础数据!O141+财务基础数据!O137)*目录!$D$6</f>
        <v>0</v>
      </c>
      <c r="K18" s="524">
        <f>(财务基础数据!P141+财务基础数据!P137)*目录!$D$6</f>
        <v>0</v>
      </c>
      <c r="L18" s="524">
        <f>(财务基础数据!Q141+财务基础数据!Q137)*目录!$D$6</f>
        <v>0</v>
      </c>
      <c r="M18" s="524">
        <f>(财务基础数据!R141+财务基础数据!R137)*目录!$D$6</f>
        <v>0</v>
      </c>
      <c r="N18" s="524">
        <f>(财务基础数据!S141+财务基础数据!S137)*目录!$D$6</f>
        <v>0</v>
      </c>
      <c r="O18" s="524">
        <f>(财务基础数据!T141+财务基础数据!T137)*目录!$D$6</f>
        <v>0</v>
      </c>
      <c r="P18" s="524">
        <f>(财务基础数据!U141+财务基础数据!U137)*目录!$D$6</f>
        <v>0</v>
      </c>
      <c r="Q18" s="524">
        <f>(财务基础数据!V141+财务基础数据!V137)*目录!$D$6</f>
        <v>0</v>
      </c>
      <c r="R18" s="524">
        <f>(财务基础数据!W141+财务基础数据!W137)*目录!$D$6</f>
        <v>0</v>
      </c>
      <c r="S18" s="524">
        <f>(财务基础数据!X141+财务基础数据!X137)*目录!$D$6</f>
        <v>0</v>
      </c>
      <c r="T18" s="524">
        <f>(财务基础数据!Y141+财务基础数据!Y137)*目录!$D$6</f>
        <v>0</v>
      </c>
      <c r="U18" s="524">
        <f>(财务基础数据!Z141+财务基础数据!Z137)*目录!$D$6</f>
        <v>0</v>
      </c>
      <c r="V18" s="524">
        <f>(财务基础数据!AA141+财务基础数据!AA137)*目录!$D$6</f>
        <v>0</v>
      </c>
      <c r="W18" s="524">
        <f>(财务基础数据!AB141+财务基础数据!AB137)*目录!$D$6</f>
        <v>0</v>
      </c>
      <c r="X18" s="524">
        <f>(财务基础数据!AC141+财务基础数据!AC137)*目录!$D$6</f>
        <v>0</v>
      </c>
      <c r="Y18" s="524">
        <f>(财务基础数据!AD141+财务基础数据!AD137)*目录!$D$6</f>
        <v>0</v>
      </c>
      <c r="Z18" s="524">
        <f>(财务基础数据!AE141+财务基础数据!AE137)*目录!$D$6</f>
        <v>0</v>
      </c>
      <c r="AA18" s="524">
        <f>(财务基础数据!AF141+财务基础数据!AF137)*目录!$D$6</f>
        <v>0</v>
      </c>
      <c r="AB18" s="198">
        <f>(财务基础数据!AG141+财务基础数据!AG137)*目录!$D$6</f>
        <v>0</v>
      </c>
      <c r="AC18" s="198">
        <f>(财务基础数据!AH141+财务基础数据!AH137)*目录!$D$6</f>
        <v>0</v>
      </c>
      <c r="AD18" s="198">
        <f>(财务基础数据!AI141+财务基础数据!AI137)*目录!$D$6</f>
        <v>0</v>
      </c>
      <c r="AE18" s="198">
        <f>(财务基础数据!AJ141+财务基础数据!AJ137)*目录!$D$6</f>
        <v>0</v>
      </c>
      <c r="AF18" s="198">
        <f>(财务基础数据!AK141+财务基础数据!AK137)*目录!$D$6</f>
        <v>0</v>
      </c>
      <c r="AG18" s="198">
        <f>(财务基础数据!AL141+财务基础数据!AL137)*目录!$D$6</f>
        <v>0</v>
      </c>
      <c r="AH18" s="198">
        <f>(财务基础数据!AM141+财务基础数据!AM137)*目录!$D$6</f>
        <v>0</v>
      </c>
      <c r="AI18" s="198">
        <f>(财务基础数据!AN141+财务基础数据!AN137)*目录!$D$6</f>
        <v>0</v>
      </c>
      <c r="AJ18" s="198">
        <f>(财务基础数据!AO141+财务基础数据!AO137)*目录!$D$6</f>
        <v>0</v>
      </c>
      <c r="AK18" s="548">
        <f>IF(财务基础数据!$AM$4=0,AG18,IF(财务基础数据!$AM$4=1,AH18,IF(财务基础数据!$AM$4=2,AI18,AJ18)))</f>
        <v>0</v>
      </c>
      <c r="AL18" s="548">
        <f>AK18</f>
        <v>0</v>
      </c>
      <c r="AM18" s="548">
        <f>AL18</f>
        <v>0</v>
      </c>
      <c r="AN18" s="548">
        <f t="shared" ref="AN18:AT18" si="1">AM18</f>
        <v>0</v>
      </c>
      <c r="AO18" s="548">
        <f t="shared" si="1"/>
        <v>0</v>
      </c>
      <c r="AP18" s="548">
        <f t="shared" si="1"/>
        <v>0</v>
      </c>
      <c r="AQ18" s="548">
        <f t="shared" si="1"/>
        <v>0</v>
      </c>
      <c r="AR18" s="548">
        <f t="shared" si="1"/>
        <v>0</v>
      </c>
      <c r="AS18" s="548">
        <f t="shared" si="1"/>
        <v>0</v>
      </c>
      <c r="AT18" s="548">
        <f t="shared" si="1"/>
        <v>0</v>
      </c>
      <c r="AU18" s="556"/>
      <c r="AV18" s="557"/>
    </row>
    <row r="19" spans="1:48" ht="15" customHeight="1">
      <c r="B19" s="130" t="s">
        <v>398</v>
      </c>
      <c r="E19" s="188">
        <f>(财务基础数据!J71+财务基础数据!J72)*目录!$D$6</f>
        <v>0</v>
      </c>
      <c r="F19" s="188">
        <f>(财务基础数据!K71+财务基础数据!K72)*目录!$D$6</f>
        <v>0</v>
      </c>
      <c r="G19" s="188">
        <f>(财务基础数据!L71+财务基础数据!L72)*目录!$D$6</f>
        <v>0</v>
      </c>
      <c r="H19" s="188">
        <f>(财务基础数据!M71+财务基础数据!M72)*目录!$D$6</f>
        <v>0</v>
      </c>
      <c r="I19" s="188">
        <f>(财务基础数据!N71+财务基础数据!N72)*目录!$D$6</f>
        <v>0</v>
      </c>
      <c r="J19" s="188">
        <f>(财务基础数据!O71+财务基础数据!O72)*目录!$D$6</f>
        <v>0</v>
      </c>
      <c r="K19" s="188">
        <f>(财务基础数据!P71+财务基础数据!P72)*目录!$D$6</f>
        <v>0</v>
      </c>
      <c r="L19" s="188">
        <f>(财务基础数据!Q71+财务基础数据!Q72)*目录!$D$6</f>
        <v>0</v>
      </c>
      <c r="M19" s="188">
        <f>(财务基础数据!R71+财务基础数据!R72)*目录!$D$6</f>
        <v>0</v>
      </c>
      <c r="N19" s="188">
        <f>(财务基础数据!S71+财务基础数据!S72)*目录!$D$6</f>
        <v>0</v>
      </c>
      <c r="O19" s="188">
        <f>(财务基础数据!T71+财务基础数据!T72)*目录!$D$6</f>
        <v>0</v>
      </c>
      <c r="P19" s="188">
        <f>(财务基础数据!U71+财务基础数据!U72)*目录!$D$6</f>
        <v>0</v>
      </c>
      <c r="Q19" s="188">
        <f>(财务基础数据!V71+财务基础数据!V72)*目录!$D$6</f>
        <v>0</v>
      </c>
      <c r="R19" s="188">
        <f>(财务基础数据!W71+财务基础数据!W72)*目录!$D$6</f>
        <v>0</v>
      </c>
      <c r="S19" s="188">
        <f>(财务基础数据!X71+财务基础数据!X72)*目录!$D$6</f>
        <v>0</v>
      </c>
      <c r="T19" s="188">
        <f>(财务基础数据!Y71+财务基础数据!Y72)*目录!$D$6</f>
        <v>0</v>
      </c>
      <c r="U19" s="188">
        <f>(财务基础数据!Z71+财务基础数据!Z72)*目录!$D$6</f>
        <v>0</v>
      </c>
      <c r="V19" s="188">
        <f>(财务基础数据!AA71+财务基础数据!AA72)*目录!$D$6</f>
        <v>0</v>
      </c>
      <c r="W19" s="188">
        <f>(财务基础数据!AB71+财务基础数据!AB72)*目录!$D$6</f>
        <v>0</v>
      </c>
      <c r="X19" s="188">
        <f>(财务基础数据!AC71+财务基础数据!AC72)*目录!$D$6</f>
        <v>0</v>
      </c>
      <c r="Y19" s="188">
        <f>(财务基础数据!AD71+财务基础数据!AD72)*目录!$D$6</f>
        <v>0</v>
      </c>
      <c r="Z19" s="188">
        <f>(财务基础数据!AE71+财务基础数据!AE72)*目录!$D$6</f>
        <v>0</v>
      </c>
      <c r="AA19" s="188">
        <f>(财务基础数据!AF71+财务基础数据!AF72)*目录!$D$6</f>
        <v>0</v>
      </c>
      <c r="AB19" s="188">
        <f>(财务基础数据!AG71+财务基础数据!AG72)*目录!$D$6</f>
        <v>0</v>
      </c>
      <c r="AC19" s="188">
        <f>(财务基础数据!AH71+财务基础数据!AH72)*目录!$D$6</f>
        <v>0</v>
      </c>
      <c r="AD19" s="188">
        <f>(财务基础数据!AI71+财务基础数据!AI72)*目录!$D$6</f>
        <v>0</v>
      </c>
      <c r="AE19" s="188">
        <f>(财务基础数据!AJ71+财务基础数据!AJ72)*目录!$D$6</f>
        <v>0</v>
      </c>
      <c r="AF19" s="188">
        <f>(财务基础数据!AK71+财务基础数据!AK72)*目录!$D$6</f>
        <v>0</v>
      </c>
      <c r="AG19" s="188">
        <f>(财务基础数据!AL71+财务基础数据!AL72)*目录!$D$6</f>
        <v>0</v>
      </c>
      <c r="AH19" s="118">
        <f>(财务基础数据!AM71+财务基础数据!AM72)*目录!$D$6</f>
        <v>0</v>
      </c>
      <c r="AI19" s="118">
        <f>(财务基础数据!AN71+财务基础数据!AN72)*目录!$D$6</f>
        <v>0</v>
      </c>
      <c r="AJ19" s="118">
        <f>(财务基础数据!AO71+财务基础数据!AO72)*目录!$D$6</f>
        <v>0</v>
      </c>
      <c r="AK19" s="548">
        <f>IF(财务基础数据!$AM$4=0,AG19,IF(财务基础数据!$AM$4=1,AH19,IF(财务基础数据!$AM$4=2,AI19,AJ19)))</f>
        <v>0</v>
      </c>
      <c r="AL19" s="548">
        <f>AK19</f>
        <v>0</v>
      </c>
      <c r="AM19" s="548">
        <f>AL19</f>
        <v>0</v>
      </c>
      <c r="AN19" s="548">
        <f t="shared" ref="AN19:AT19" si="2">AM19</f>
        <v>0</v>
      </c>
      <c r="AO19" s="548">
        <f t="shared" si="2"/>
        <v>0</v>
      </c>
      <c r="AP19" s="548">
        <f t="shared" si="2"/>
        <v>0</v>
      </c>
      <c r="AQ19" s="548">
        <f t="shared" si="2"/>
        <v>0</v>
      </c>
      <c r="AR19" s="548">
        <f t="shared" si="2"/>
        <v>0</v>
      </c>
      <c r="AS19" s="548">
        <f t="shared" si="2"/>
        <v>0</v>
      </c>
      <c r="AT19" s="548">
        <f t="shared" si="2"/>
        <v>0</v>
      </c>
      <c r="AU19" s="556"/>
      <c r="AV19" s="557"/>
    </row>
    <row r="20" spans="1:48" ht="15" customHeight="1">
      <c r="A20" s="30"/>
      <c r="B20" s="392" t="s">
        <v>137</v>
      </c>
      <c r="C20" s="386"/>
      <c r="D20" s="526"/>
      <c r="E20" s="135">
        <f>E21-SUM(E8:E19)</f>
        <v>0</v>
      </c>
      <c r="F20" s="440">
        <f t="shared" ref="F20:AJ20" si="3">F21-SUM(F8:F19)</f>
        <v>0</v>
      </c>
      <c r="G20" s="440">
        <f t="shared" si="3"/>
        <v>0</v>
      </c>
      <c r="H20" s="440">
        <f t="shared" si="3"/>
        <v>0</v>
      </c>
      <c r="I20" s="440">
        <f t="shared" si="3"/>
        <v>0</v>
      </c>
      <c r="J20" s="440">
        <f t="shared" si="3"/>
        <v>0</v>
      </c>
      <c r="K20" s="440">
        <f t="shared" si="3"/>
        <v>0</v>
      </c>
      <c r="L20" s="440">
        <f t="shared" si="3"/>
        <v>0</v>
      </c>
      <c r="M20" s="440">
        <f t="shared" si="3"/>
        <v>0</v>
      </c>
      <c r="N20" s="440">
        <f t="shared" si="3"/>
        <v>0</v>
      </c>
      <c r="O20" s="440">
        <f t="shared" si="3"/>
        <v>0</v>
      </c>
      <c r="P20" s="440">
        <f t="shared" si="3"/>
        <v>0</v>
      </c>
      <c r="Q20" s="440">
        <f t="shared" si="3"/>
        <v>0</v>
      </c>
      <c r="R20" s="440">
        <f t="shared" si="3"/>
        <v>0</v>
      </c>
      <c r="S20" s="440">
        <f t="shared" si="3"/>
        <v>0</v>
      </c>
      <c r="T20" s="440">
        <f t="shared" si="3"/>
        <v>0</v>
      </c>
      <c r="U20" s="440">
        <f t="shared" si="3"/>
        <v>0</v>
      </c>
      <c r="V20" s="440">
        <f t="shared" si="3"/>
        <v>0</v>
      </c>
      <c r="W20" s="440">
        <f t="shared" si="3"/>
        <v>0</v>
      </c>
      <c r="X20" s="440">
        <f t="shared" si="3"/>
        <v>0</v>
      </c>
      <c r="Y20" s="440">
        <f t="shared" si="3"/>
        <v>0</v>
      </c>
      <c r="Z20" s="440">
        <f t="shared" si="3"/>
        <v>0</v>
      </c>
      <c r="AA20" s="440">
        <f t="shared" si="3"/>
        <v>0</v>
      </c>
      <c r="AB20" s="440">
        <f t="shared" si="3"/>
        <v>0</v>
      </c>
      <c r="AC20" s="440">
        <f t="shared" si="3"/>
        <v>0</v>
      </c>
      <c r="AD20" s="440">
        <f t="shared" si="3"/>
        <v>0</v>
      </c>
      <c r="AE20" s="440">
        <f t="shared" si="3"/>
        <v>0</v>
      </c>
      <c r="AF20" s="440">
        <f t="shared" si="3"/>
        <v>0</v>
      </c>
      <c r="AG20" s="440">
        <f t="shared" si="3"/>
        <v>0</v>
      </c>
      <c r="AH20" s="440">
        <f t="shared" si="3"/>
        <v>0</v>
      </c>
      <c r="AI20" s="440">
        <f t="shared" si="3"/>
        <v>0</v>
      </c>
      <c r="AJ20" s="440">
        <f t="shared" si="3"/>
        <v>0</v>
      </c>
      <c r="AK20" s="440">
        <f>IF(ISERROR(资产预测!L79),0,资产预测!L79)</f>
        <v>0</v>
      </c>
      <c r="AL20" s="440">
        <f>IF(ISERROR(资产预测!M79),0,资产预测!M79)</f>
        <v>0</v>
      </c>
      <c r="AM20" s="440">
        <f>IF(ISERROR(资产预测!N79),0,资产预测!N79)</f>
        <v>0</v>
      </c>
      <c r="AN20" s="440">
        <f>IF(ISERROR(资产预测!O79),0,资产预测!O79)</f>
        <v>0</v>
      </c>
      <c r="AO20" s="440">
        <f>IF(ISERROR(资产预测!P79),0,资产预测!P79)</f>
        <v>0</v>
      </c>
      <c r="AP20" s="440">
        <f>IF(ISERROR(资产预测!Q79),0,资产预测!Q79)</f>
        <v>0</v>
      </c>
      <c r="AQ20" s="440">
        <f>IF(ISERROR(资产预测!R79),0,资产预测!R79)</f>
        <v>0</v>
      </c>
      <c r="AR20" s="440">
        <f>IF(ISERROR(资产预测!S79),0,资产预测!S79)</f>
        <v>0</v>
      </c>
      <c r="AS20" s="440">
        <f>IF(ISERROR(资产预测!T79),0,资产预测!T79)</f>
        <v>0</v>
      </c>
      <c r="AT20" s="440">
        <f>IF(ISERROR(资产预测!U79),0,资产预测!U79)</f>
        <v>0</v>
      </c>
      <c r="AU20" s="556"/>
      <c r="AV20" s="560"/>
    </row>
    <row r="21" spans="1:48" s="161" customFormat="1" ht="15" customHeight="1">
      <c r="B21" s="112" t="s">
        <v>399</v>
      </c>
      <c r="C21" s="162"/>
      <c r="D21" s="527"/>
      <c r="E21" s="306">
        <f>财务基础数据!J74*目录!$D$6</f>
        <v>0</v>
      </c>
      <c r="F21" s="306">
        <f>财务基础数据!K74*目录!$D$6</f>
        <v>0</v>
      </c>
      <c r="G21" s="306">
        <f>财务基础数据!L74*目录!$D$6</f>
        <v>0</v>
      </c>
      <c r="H21" s="306">
        <f>财务基础数据!M74*目录!$D$6</f>
        <v>0</v>
      </c>
      <c r="I21" s="306">
        <f>财务基础数据!N74*目录!$D$6</f>
        <v>0</v>
      </c>
      <c r="J21" s="306">
        <f>财务基础数据!O74*目录!$D$6</f>
        <v>0</v>
      </c>
      <c r="K21" s="306">
        <f>财务基础数据!P74*目录!$D$6</f>
        <v>0</v>
      </c>
      <c r="L21" s="306">
        <f>财务基础数据!Q74*目录!$D$6</f>
        <v>0</v>
      </c>
      <c r="M21" s="306">
        <f>财务基础数据!R74*目录!$D$6</f>
        <v>0</v>
      </c>
      <c r="N21" s="306">
        <f>财务基础数据!S74*目录!$D$6</f>
        <v>0</v>
      </c>
      <c r="O21" s="306">
        <f>财务基础数据!T74*目录!$D$6</f>
        <v>0</v>
      </c>
      <c r="P21" s="306">
        <f>财务基础数据!U74*目录!$D$6</f>
        <v>0</v>
      </c>
      <c r="Q21" s="306">
        <f>财务基础数据!V74*目录!$D$6</f>
        <v>0</v>
      </c>
      <c r="R21" s="306">
        <f>财务基础数据!W74*目录!$D$6</f>
        <v>0</v>
      </c>
      <c r="S21" s="306">
        <f>财务基础数据!X74*目录!$D$6</f>
        <v>0</v>
      </c>
      <c r="T21" s="306">
        <f>财务基础数据!Y74*目录!$D$6</f>
        <v>0</v>
      </c>
      <c r="U21" s="306">
        <f>财务基础数据!Z74*目录!$D$6</f>
        <v>0</v>
      </c>
      <c r="V21" s="306">
        <f>财务基础数据!AA74*目录!$D$6</f>
        <v>0</v>
      </c>
      <c r="W21" s="306">
        <f>财务基础数据!AB74*目录!$D$6</f>
        <v>0</v>
      </c>
      <c r="X21" s="306">
        <f>财务基础数据!AC74*目录!$D$6</f>
        <v>0</v>
      </c>
      <c r="Y21" s="306">
        <f>财务基础数据!AD74*目录!$D$6</f>
        <v>0</v>
      </c>
      <c r="Z21" s="306">
        <f>财务基础数据!AE74*目录!$D$6</f>
        <v>0</v>
      </c>
      <c r="AA21" s="306">
        <f>财务基础数据!AF74*目录!$D$6</f>
        <v>0</v>
      </c>
      <c r="AB21" s="306">
        <f>财务基础数据!AG74*目录!$D$6</f>
        <v>0</v>
      </c>
      <c r="AC21" s="306">
        <f>财务基础数据!AH74*目录!$D$6</f>
        <v>0</v>
      </c>
      <c r="AD21" s="306">
        <f>财务基础数据!AI74*目录!$D$6</f>
        <v>0</v>
      </c>
      <c r="AE21" s="306">
        <f>财务基础数据!AJ74*目录!$D$6</f>
        <v>0</v>
      </c>
      <c r="AF21" s="306">
        <f>财务基础数据!AK74*目录!$D$6</f>
        <v>0</v>
      </c>
      <c r="AG21" s="306">
        <f>财务基础数据!AL74*目录!$D$6</f>
        <v>0</v>
      </c>
      <c r="AH21" s="306">
        <f>财务基础数据!AM74*目录!$D$6</f>
        <v>0</v>
      </c>
      <c r="AI21" s="306">
        <f>财务基础数据!AN74*目录!$D$6</f>
        <v>0</v>
      </c>
      <c r="AJ21" s="306">
        <f>财务基础数据!AO74*目录!$D$6</f>
        <v>0</v>
      </c>
      <c r="AK21" s="114">
        <f t="shared" ref="AK21:AT21" si="4">SUM(AK8:AK20)</f>
        <v>0</v>
      </c>
      <c r="AL21" s="114">
        <f t="shared" si="4"/>
        <v>0</v>
      </c>
      <c r="AM21" s="114">
        <f t="shared" si="4"/>
        <v>0</v>
      </c>
      <c r="AN21" s="114">
        <f t="shared" si="4"/>
        <v>0</v>
      </c>
      <c r="AO21" s="114">
        <f t="shared" si="4"/>
        <v>0</v>
      </c>
      <c r="AP21" s="114">
        <f t="shared" si="4"/>
        <v>0</v>
      </c>
      <c r="AQ21" s="114">
        <f t="shared" si="4"/>
        <v>0</v>
      </c>
      <c r="AR21" s="114">
        <f t="shared" si="4"/>
        <v>0</v>
      </c>
      <c r="AS21" s="114">
        <f t="shared" si="4"/>
        <v>0</v>
      </c>
      <c r="AT21" s="114">
        <f t="shared" si="4"/>
        <v>0</v>
      </c>
      <c r="AU21" s="556"/>
      <c r="AV21" s="560"/>
    </row>
    <row r="22" spans="1:48" s="511" customFormat="1" ht="15" customHeight="1">
      <c r="B22" s="487"/>
      <c r="C22" s="310"/>
      <c r="D22" s="528"/>
      <c r="E22" s="529"/>
      <c r="F22" s="529"/>
      <c r="G22" s="529"/>
      <c r="H22" s="529"/>
      <c r="I22" s="529"/>
      <c r="J22" s="529"/>
      <c r="K22" s="529"/>
      <c r="L22" s="529"/>
      <c r="M22" s="529"/>
      <c r="N22" s="529"/>
      <c r="O22" s="529"/>
      <c r="P22" s="529"/>
      <c r="Q22" s="529"/>
      <c r="R22" s="529"/>
      <c r="S22" s="529"/>
      <c r="T22" s="529"/>
      <c r="U22" s="529"/>
      <c r="V22" s="529"/>
      <c r="W22" s="529"/>
      <c r="X22" s="529"/>
      <c r="Y22" s="529"/>
      <c r="Z22" s="529"/>
      <c r="AA22" s="529"/>
      <c r="AB22" s="529"/>
      <c r="AC22" s="529"/>
      <c r="AD22" s="529"/>
      <c r="AE22" s="529"/>
      <c r="AF22" s="529"/>
      <c r="AG22" s="529"/>
      <c r="AH22" s="545"/>
      <c r="AI22" s="545"/>
      <c r="AJ22" s="545"/>
      <c r="AK22" s="549"/>
      <c r="AL22" s="549"/>
      <c r="AM22" s="549"/>
      <c r="AN22" s="549"/>
      <c r="AO22" s="549"/>
      <c r="AP22" s="549"/>
      <c r="AQ22" s="549"/>
      <c r="AR22" s="549"/>
      <c r="AS22" s="549"/>
      <c r="AT22" s="549"/>
      <c r="AU22" s="556"/>
    </row>
    <row r="23" spans="1:48" ht="15" customHeight="1">
      <c r="B23" s="487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198"/>
      <c r="AI23" s="198"/>
      <c r="AJ23" s="19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556"/>
    </row>
    <row r="24" spans="1:48" ht="15" customHeight="1">
      <c r="B24" s="530" t="s">
        <v>145</v>
      </c>
      <c r="E24" s="198">
        <f>财务基础数据!J158*目录!$D$6</f>
        <v>0</v>
      </c>
      <c r="F24" s="198">
        <f>财务基础数据!K158*目录!$D$6</f>
        <v>0</v>
      </c>
      <c r="G24" s="198">
        <f>财务基础数据!L158*目录!$D$6</f>
        <v>0</v>
      </c>
      <c r="H24" s="198">
        <f>财务基础数据!M158*目录!$D$6</f>
        <v>0</v>
      </c>
      <c r="I24" s="198">
        <f>财务基础数据!N158*目录!$D$6</f>
        <v>0</v>
      </c>
      <c r="J24" s="198">
        <f>财务基础数据!O158*目录!$D$6</f>
        <v>0</v>
      </c>
      <c r="K24" s="198">
        <f>财务基础数据!P158*目录!$D$6</f>
        <v>0</v>
      </c>
      <c r="L24" s="198">
        <f>财务基础数据!Q158*目录!$D$6</f>
        <v>0</v>
      </c>
      <c r="M24" s="198">
        <f>财务基础数据!R158*目录!$D$6</f>
        <v>0</v>
      </c>
      <c r="N24" s="198">
        <f>财务基础数据!S158*目录!$D$6</f>
        <v>0</v>
      </c>
      <c r="O24" s="198">
        <f>财务基础数据!T158*目录!$D$6</f>
        <v>0</v>
      </c>
      <c r="P24" s="198">
        <f>财务基础数据!U158*目录!$D$6</f>
        <v>0</v>
      </c>
      <c r="Q24" s="198">
        <f>财务基础数据!V158*目录!$D$6</f>
        <v>0</v>
      </c>
      <c r="R24" s="198">
        <f>财务基础数据!W158*目录!$D$6</f>
        <v>0</v>
      </c>
      <c r="S24" s="198">
        <f>财务基础数据!X158*目录!$D$6</f>
        <v>0</v>
      </c>
      <c r="T24" s="198">
        <f>财务基础数据!Y158*目录!$D$6</f>
        <v>0</v>
      </c>
      <c r="U24" s="198">
        <f>财务基础数据!Z158*目录!$D$6</f>
        <v>0</v>
      </c>
      <c r="V24" s="198">
        <f>财务基础数据!AA158*目录!$D$6</f>
        <v>0</v>
      </c>
      <c r="W24" s="198">
        <f>财务基础数据!AB158*目录!$D$6</f>
        <v>0</v>
      </c>
      <c r="X24" s="198">
        <f>财务基础数据!AC158*目录!$D$6</f>
        <v>0</v>
      </c>
      <c r="Y24" s="198">
        <f>财务基础数据!AD158*目录!$D$6</f>
        <v>0</v>
      </c>
      <c r="Z24" s="198">
        <f>财务基础数据!AE158*目录!$D$6</f>
        <v>0</v>
      </c>
      <c r="AA24" s="198">
        <f>财务基础数据!AF158*目录!$D$6</f>
        <v>0</v>
      </c>
      <c r="AB24" s="198">
        <f>财务基础数据!AG158*目录!$D$6</f>
        <v>0</v>
      </c>
      <c r="AC24" s="198">
        <f>财务基础数据!AH158*目录!$D$6</f>
        <v>0</v>
      </c>
      <c r="AD24" s="198">
        <f>财务基础数据!AI158*目录!$D$6</f>
        <v>0</v>
      </c>
      <c r="AE24" s="198">
        <f>财务基础数据!AJ158*目录!$D$6</f>
        <v>0</v>
      </c>
      <c r="AF24" s="198">
        <f>财务基础数据!AK158*目录!$D$6</f>
        <v>0</v>
      </c>
      <c r="AG24" s="198">
        <f>财务基础数据!AL158*目录!$D$6</f>
        <v>0</v>
      </c>
      <c r="AH24" s="198">
        <f>财务基础数据!AM158*目录!$D$6</f>
        <v>0</v>
      </c>
      <c r="AI24" s="198">
        <f>财务基础数据!AN158*目录!$D$6</f>
        <v>0</v>
      </c>
      <c r="AJ24" s="198">
        <f>财务基础数据!AO158*目录!$D$6</f>
        <v>0</v>
      </c>
      <c r="AK24" s="524">
        <f>IF(ISERROR(资产预测!L99+投资与减值!L181),"—",资产预测!L99+投资与减值!L181)</f>
        <v>0</v>
      </c>
      <c r="AL24" s="524">
        <f>IF(ISERROR(资产预测!M99+投资与减值!M181),"—",资产预测!M99+投资与减值!M181)+投资与减值!L181</f>
        <v>0</v>
      </c>
      <c r="AM24" s="524">
        <f>IF(ISERROR(资产预测!N99+投资与减值!N181),"—",资产预测!N99+投资与减值!N181)+SUM(投资与减值!$L181:M181)</f>
        <v>0</v>
      </c>
      <c r="AN24" s="524">
        <f>IF(ISERROR(资产预测!O99+投资与减值!O181),"—",资产预测!O99+投资与减值!O181)+SUM(投资与减值!$L181:N181)</f>
        <v>0</v>
      </c>
      <c r="AO24" s="524">
        <f>IF(ISERROR(资产预测!P99+投资与减值!P181),"—",资产预测!P99+投资与减值!P181)+SUM(投资与减值!$L181:O181)</f>
        <v>0</v>
      </c>
      <c r="AP24" s="524">
        <f>IF(ISERROR(资产预测!Q99+投资与减值!Q181),"—",资产预测!Q99+投资与减值!Q181)+SUM(投资与减值!$L181:P181)</f>
        <v>0</v>
      </c>
      <c r="AQ24" s="524">
        <f>IF(ISERROR(资产预测!R99+投资与减值!R181),"—",资产预测!R99+投资与减值!R181)+SUM(投资与减值!$L181:Q181)</f>
        <v>0</v>
      </c>
      <c r="AR24" s="524">
        <f>IF(ISERROR(资产预测!S99+投资与减值!S181),"—",资产预测!S99+投资与减值!S181)+SUM(投资与减值!$L181:R181)</f>
        <v>0</v>
      </c>
      <c r="AS24" s="524">
        <f>IF(ISERROR(资产预测!T99+投资与减值!T181),"—",资产预测!T99+投资与减值!T181)+SUM(投资与减值!$L181:S181)</f>
        <v>0</v>
      </c>
      <c r="AT24" s="524">
        <f>IF(ISERROR(资产预测!U99+投资与减值!U181),"—",资产预测!U99+投资与减值!U181)+SUM(投资与减值!$L181:T181)</f>
        <v>0</v>
      </c>
      <c r="AU24" s="556"/>
    </row>
    <row r="25" spans="1:48" ht="15" customHeight="1">
      <c r="B25" s="530" t="s">
        <v>147</v>
      </c>
      <c r="E25" s="198">
        <f>财务基础数据!J159*目录!$D$6</f>
        <v>0</v>
      </c>
      <c r="F25" s="198">
        <f>财务基础数据!K159*目录!$D$6</f>
        <v>0</v>
      </c>
      <c r="G25" s="198">
        <f>财务基础数据!L159*目录!$D$6</f>
        <v>0</v>
      </c>
      <c r="H25" s="198">
        <f>财务基础数据!M159*目录!$D$6</f>
        <v>0</v>
      </c>
      <c r="I25" s="198">
        <f>财务基础数据!N159*目录!$D$6</f>
        <v>0</v>
      </c>
      <c r="J25" s="198">
        <f>财务基础数据!O159*目录!$D$6</f>
        <v>0</v>
      </c>
      <c r="K25" s="198">
        <f>财务基础数据!P159*目录!$D$6</f>
        <v>0</v>
      </c>
      <c r="L25" s="198">
        <f>财务基础数据!Q159*目录!$D$6</f>
        <v>0</v>
      </c>
      <c r="M25" s="198">
        <f>财务基础数据!R159*目录!$D$6</f>
        <v>0</v>
      </c>
      <c r="N25" s="198">
        <f>财务基础数据!S159*目录!$D$6</f>
        <v>0</v>
      </c>
      <c r="O25" s="198">
        <f>财务基础数据!T159*目录!$D$6</f>
        <v>0</v>
      </c>
      <c r="P25" s="198">
        <f>财务基础数据!U159*目录!$D$6</f>
        <v>0</v>
      </c>
      <c r="Q25" s="198">
        <f>财务基础数据!V159*目录!$D$6</f>
        <v>0</v>
      </c>
      <c r="R25" s="198">
        <f>财务基础数据!W159*目录!$D$6</f>
        <v>0</v>
      </c>
      <c r="S25" s="198">
        <f>财务基础数据!X159*目录!$D$6</f>
        <v>0</v>
      </c>
      <c r="T25" s="198">
        <f>财务基础数据!Y159*目录!$D$6</f>
        <v>0</v>
      </c>
      <c r="U25" s="198">
        <f>财务基础数据!Z159*目录!$D$6</f>
        <v>0</v>
      </c>
      <c r="V25" s="198">
        <f>财务基础数据!AA159*目录!$D$6</f>
        <v>0</v>
      </c>
      <c r="W25" s="198">
        <f>财务基础数据!AB159*目录!$D$6</f>
        <v>0</v>
      </c>
      <c r="X25" s="198">
        <f>财务基础数据!AC159*目录!$D$6</f>
        <v>0</v>
      </c>
      <c r="Y25" s="198">
        <f>财务基础数据!AD159*目录!$D$6</f>
        <v>0</v>
      </c>
      <c r="Z25" s="198">
        <f>财务基础数据!AE159*目录!$D$6</f>
        <v>0</v>
      </c>
      <c r="AA25" s="198">
        <f>财务基础数据!AF159*目录!$D$6</f>
        <v>0</v>
      </c>
      <c r="AB25" s="198">
        <f>财务基础数据!AG159*目录!$D$6</f>
        <v>0</v>
      </c>
      <c r="AC25" s="198">
        <f>财务基础数据!AH159*目录!$D$6</f>
        <v>0</v>
      </c>
      <c r="AD25" s="198">
        <f>财务基础数据!AI159*目录!$D$6</f>
        <v>0</v>
      </c>
      <c r="AE25" s="198">
        <f>财务基础数据!AJ159*目录!$D$6</f>
        <v>0</v>
      </c>
      <c r="AF25" s="198">
        <f>财务基础数据!AK159*目录!$D$6</f>
        <v>0</v>
      </c>
      <c r="AG25" s="198">
        <f>财务基础数据!AL159*目录!$D$6</f>
        <v>0</v>
      </c>
      <c r="AH25" s="198">
        <f>财务基础数据!AM159*目录!$D$6</f>
        <v>0</v>
      </c>
      <c r="AI25" s="198">
        <f>财务基础数据!AN159*目录!$D$6</f>
        <v>0</v>
      </c>
      <c r="AJ25" s="198">
        <f>财务基础数据!AO159*目录!$D$6</f>
        <v>0</v>
      </c>
      <c r="AK25" s="524">
        <f>IF(ISERROR(资产预测!L102+投资与减值!L182),"—",资产预测!L102+投资与减值!L182)</f>
        <v>0</v>
      </c>
      <c r="AL25" s="524">
        <f>IF(ISERROR(资产预测!M102+投资与减值!M182),"—",资产预测!M102+投资与减值!M182)+投资与减值!L182</f>
        <v>0</v>
      </c>
      <c r="AM25" s="524">
        <f>IF(ISERROR(资产预测!N102+投资与减值!N182),"—",资产预测!N102+投资与减值!N182)+SUM(投资与减值!$L182:M182)</f>
        <v>0</v>
      </c>
      <c r="AN25" s="524">
        <f>IF(ISERROR(资产预测!O102+投资与减值!O182),"—",资产预测!O102+投资与减值!O182)+SUM(投资与减值!$L182:N182)</f>
        <v>0</v>
      </c>
      <c r="AO25" s="524">
        <f>IF(ISERROR(资产预测!P102+投资与减值!P182),"—",资产预测!P102+投资与减值!P182)+SUM(投资与减值!$L182:O182)</f>
        <v>0</v>
      </c>
      <c r="AP25" s="524">
        <f>IF(ISERROR(资产预测!Q102+投资与减值!Q182),"—",资产预测!Q102+投资与减值!Q182)+SUM(投资与减值!$L182:P182)</f>
        <v>0</v>
      </c>
      <c r="AQ25" s="524">
        <f>IF(ISERROR(资产预测!R102+投资与减值!R182),"—",资产预测!R102+投资与减值!R182)+SUM(投资与减值!$L182:Q182)</f>
        <v>0</v>
      </c>
      <c r="AR25" s="524">
        <f>IF(ISERROR(资产预测!S102+投资与减值!S182),"—",资产预测!S102+投资与减值!S182)+SUM(投资与减值!$L182:R182)</f>
        <v>0</v>
      </c>
      <c r="AS25" s="524">
        <f>IF(ISERROR(资产预测!T102+投资与减值!T182),"—",资产预测!T102+投资与减值!T182)+SUM(投资与减值!$L182:S182)</f>
        <v>0</v>
      </c>
      <c r="AT25" s="524">
        <f>IF(ISERROR(资产预测!U102+投资与减值!U182),"—",资产预测!U102+投资与减值!U182)+SUM(投资与减值!$L182:T182)</f>
        <v>0</v>
      </c>
      <c r="AU25" s="556"/>
    </row>
    <row r="26" spans="1:48" ht="15" customHeight="1">
      <c r="B26" s="530" t="s">
        <v>148</v>
      </c>
      <c r="E26" s="524">
        <f>财务基础数据!J77*目录!$D$6</f>
        <v>0</v>
      </c>
      <c r="F26" s="524">
        <f>财务基础数据!K77*目录!$D$6</f>
        <v>0</v>
      </c>
      <c r="G26" s="524">
        <f>财务基础数据!L77*目录!$D$6</f>
        <v>0</v>
      </c>
      <c r="H26" s="524">
        <f>财务基础数据!M77*目录!$D$6</f>
        <v>0</v>
      </c>
      <c r="I26" s="524">
        <f>财务基础数据!N77*目录!$D$6</f>
        <v>0</v>
      </c>
      <c r="J26" s="524">
        <f>财务基础数据!O77*目录!$D$6</f>
        <v>0</v>
      </c>
      <c r="K26" s="524">
        <f>财务基础数据!P77*目录!$D$6</f>
        <v>0</v>
      </c>
      <c r="L26" s="524">
        <f>财务基础数据!Q77*目录!$D$6</f>
        <v>0</v>
      </c>
      <c r="M26" s="524">
        <f>财务基础数据!R77*目录!$D$6</f>
        <v>0</v>
      </c>
      <c r="N26" s="524">
        <f>财务基础数据!S77*目录!$D$6</f>
        <v>0</v>
      </c>
      <c r="O26" s="524">
        <f>财务基础数据!T77*目录!$D$6</f>
        <v>0</v>
      </c>
      <c r="P26" s="524">
        <f>财务基础数据!U77*目录!$D$6</f>
        <v>0</v>
      </c>
      <c r="Q26" s="524">
        <f>财务基础数据!V77*目录!$D$6</f>
        <v>0</v>
      </c>
      <c r="R26" s="524">
        <f>财务基础数据!W77*目录!$D$6</f>
        <v>0</v>
      </c>
      <c r="S26" s="524">
        <f>财务基础数据!X77*目录!$D$6</f>
        <v>0</v>
      </c>
      <c r="T26" s="524">
        <f>财务基础数据!Y77*目录!$D$6</f>
        <v>0</v>
      </c>
      <c r="U26" s="524">
        <f>财务基础数据!Z77*目录!$D$6</f>
        <v>0</v>
      </c>
      <c r="V26" s="524">
        <f>财务基础数据!AA77*目录!$D$6</f>
        <v>0</v>
      </c>
      <c r="W26" s="524">
        <f>财务基础数据!AB77*目录!$D$6</f>
        <v>0</v>
      </c>
      <c r="X26" s="524">
        <f>财务基础数据!AC77*目录!$D$6</f>
        <v>0</v>
      </c>
      <c r="Y26" s="524">
        <f>财务基础数据!AD77*目录!$D$6</f>
        <v>0</v>
      </c>
      <c r="Z26" s="524">
        <f>财务基础数据!AE77*目录!$D$6</f>
        <v>0</v>
      </c>
      <c r="AA26" s="524">
        <f>财务基础数据!AF77*目录!$D$6</f>
        <v>0</v>
      </c>
      <c r="AB26" s="524">
        <f>财务基础数据!AG77*目录!$D$6</f>
        <v>0</v>
      </c>
      <c r="AC26" s="524">
        <f>财务基础数据!AH77*目录!$D$6</f>
        <v>0</v>
      </c>
      <c r="AD26" s="524">
        <f>财务基础数据!AI77*目录!$D$6</f>
        <v>0</v>
      </c>
      <c r="AE26" s="524">
        <f>财务基础数据!AJ77*目录!$D$6</f>
        <v>0</v>
      </c>
      <c r="AF26" s="524">
        <f>财务基础数据!AK77*目录!$D$6</f>
        <v>0</v>
      </c>
      <c r="AG26" s="524">
        <f>财务基础数据!AL77*目录!$D$6</f>
        <v>0</v>
      </c>
      <c r="AH26" s="198">
        <f>财务基础数据!AM77*目录!$D$6</f>
        <v>0</v>
      </c>
      <c r="AI26" s="198">
        <f>财务基础数据!AN77*目录!$D$6</f>
        <v>0</v>
      </c>
      <c r="AJ26" s="198">
        <f>财务基础数据!AO77*目录!$D$6</f>
        <v>0</v>
      </c>
      <c r="AK26" s="188">
        <f>IF(ISERROR(资产预测!L105+投资与减值!L180),"—",资产预测!L105+投资与减值!L180)</f>
        <v>0</v>
      </c>
      <c r="AL26" s="188">
        <f>IF(ISERROR(资产预测!M105+投资与减值!M180),"—",资产预测!M105+投资与减值!M180)+投资与减值!L180</f>
        <v>0</v>
      </c>
      <c r="AM26" s="188">
        <f>IF(ISERROR(资产预测!N105+投资与减值!N180),"—",资产预测!N105+投资与减值!N180)+SUM(投资与减值!$L180:M180)</f>
        <v>0</v>
      </c>
      <c r="AN26" s="188">
        <f>IF(ISERROR(资产预测!O105+投资与减值!O180),"—",资产预测!O105+投资与减值!O180)+SUM(投资与减值!$L180:N180)</f>
        <v>0</v>
      </c>
      <c r="AO26" s="188">
        <f>IF(ISERROR(资产预测!P105+投资与减值!P180),"—",资产预测!P105+投资与减值!P180)+SUM(投资与减值!$L180:O180)</f>
        <v>0</v>
      </c>
      <c r="AP26" s="188">
        <f>IF(ISERROR(资产预测!Q105+投资与减值!Q180),"—",资产预测!Q105+投资与减值!Q180)+SUM(投资与减值!$L180:P180)</f>
        <v>0</v>
      </c>
      <c r="AQ26" s="188">
        <f>IF(ISERROR(资产预测!R105+投资与减值!R180),"—",资产预测!R105+投资与减值!R180)+SUM(投资与减值!$L180:Q180)</f>
        <v>0</v>
      </c>
      <c r="AR26" s="188">
        <f>IF(ISERROR(资产预测!S105+投资与减值!S180),"—",资产预测!S105+投资与减值!S180)+SUM(投资与减值!$L180:R180)</f>
        <v>0</v>
      </c>
      <c r="AS26" s="188">
        <f>IF(ISERROR(资产预测!T105+投资与减值!T180),"—",资产预测!T105+投资与减值!T180)+SUM(投资与减值!$L180:S180)</f>
        <v>0</v>
      </c>
      <c r="AT26" s="188">
        <f>IF(ISERROR(资产预测!U105+投资与减值!U180),"—",资产预测!U105+投资与减值!U180)+SUM(投资与减值!$L180:T180)</f>
        <v>0</v>
      </c>
      <c r="AU26" s="556"/>
    </row>
    <row r="27" spans="1:48" ht="15" customHeight="1">
      <c r="B27" s="530" t="s">
        <v>323</v>
      </c>
      <c r="E27" s="524">
        <f>财务基础数据!J78*目录!$D$6</f>
        <v>0</v>
      </c>
      <c r="F27" s="524">
        <f>财务基础数据!K78*目录!$D$6</f>
        <v>0</v>
      </c>
      <c r="G27" s="524">
        <f>财务基础数据!L78*目录!$D$6</f>
        <v>0</v>
      </c>
      <c r="H27" s="524">
        <f>财务基础数据!M78*目录!$D$6</f>
        <v>0</v>
      </c>
      <c r="I27" s="524">
        <f>财务基础数据!N78*目录!$D$6</f>
        <v>0</v>
      </c>
      <c r="J27" s="524">
        <f>财务基础数据!O78*目录!$D$6</f>
        <v>0</v>
      </c>
      <c r="K27" s="524">
        <f>财务基础数据!P78*目录!$D$6</f>
        <v>0</v>
      </c>
      <c r="L27" s="524">
        <f>财务基础数据!Q78*目录!$D$6</f>
        <v>0</v>
      </c>
      <c r="M27" s="524">
        <f>财务基础数据!R78*目录!$D$6</f>
        <v>0</v>
      </c>
      <c r="N27" s="524">
        <f>财务基础数据!S78*目录!$D$6</f>
        <v>0</v>
      </c>
      <c r="O27" s="524">
        <f>财务基础数据!T78*目录!$D$6</f>
        <v>0</v>
      </c>
      <c r="P27" s="524">
        <f>财务基础数据!U78*目录!$D$6</f>
        <v>0</v>
      </c>
      <c r="Q27" s="524">
        <f>财务基础数据!V78*目录!$D$6</f>
        <v>0</v>
      </c>
      <c r="R27" s="524">
        <f>财务基础数据!W78*目录!$D$6</f>
        <v>0</v>
      </c>
      <c r="S27" s="524">
        <f>财务基础数据!X78*目录!$D$6</f>
        <v>0</v>
      </c>
      <c r="T27" s="524">
        <f>财务基础数据!Y78*目录!$D$6</f>
        <v>0</v>
      </c>
      <c r="U27" s="524">
        <f>财务基础数据!Z78*目录!$D$6</f>
        <v>0</v>
      </c>
      <c r="V27" s="524">
        <f>财务基础数据!AA78*目录!$D$6</f>
        <v>0</v>
      </c>
      <c r="W27" s="524">
        <f>财务基础数据!AB78*目录!$D$6</f>
        <v>0</v>
      </c>
      <c r="X27" s="524">
        <f>财务基础数据!AC78*目录!$D$6</f>
        <v>0</v>
      </c>
      <c r="Y27" s="524">
        <f>财务基础数据!AD78*目录!$D$6</f>
        <v>0</v>
      </c>
      <c r="Z27" s="524">
        <f>财务基础数据!AE78*目录!$D$6</f>
        <v>0</v>
      </c>
      <c r="AA27" s="524">
        <f>财务基础数据!AF78*目录!$D$6</f>
        <v>0</v>
      </c>
      <c r="AB27" s="524">
        <f>财务基础数据!AG78*目录!$D$6</f>
        <v>0</v>
      </c>
      <c r="AC27" s="524">
        <f>财务基础数据!AH78*目录!$D$6</f>
        <v>0</v>
      </c>
      <c r="AD27" s="524">
        <f>财务基础数据!AI78*目录!$D$6</f>
        <v>0</v>
      </c>
      <c r="AE27" s="524">
        <f>财务基础数据!AJ78*目录!$D$6</f>
        <v>0</v>
      </c>
      <c r="AF27" s="524">
        <f>财务基础数据!AK78*目录!$D$6</f>
        <v>0</v>
      </c>
      <c r="AG27" s="524">
        <f>财务基础数据!AL78*目录!$D$6</f>
        <v>0</v>
      </c>
      <c r="AH27" s="198">
        <f>财务基础数据!AM78*目录!$D$6</f>
        <v>0</v>
      </c>
      <c r="AI27" s="198">
        <f>财务基础数据!AN78*目录!$D$6</f>
        <v>0</v>
      </c>
      <c r="AJ27" s="198">
        <f>财务基础数据!AO78*目录!$D$6</f>
        <v>0</v>
      </c>
      <c r="AK27" s="524">
        <f>IF(ISERROR(投资与减值!L90),"—",投资与减值!L90)</f>
        <v>0</v>
      </c>
      <c r="AL27" s="524">
        <f>IF(ISERROR(投资与减值!M90),"—",投资与减值!M90)</f>
        <v>0</v>
      </c>
      <c r="AM27" s="524">
        <f>IF(ISERROR(投资与减值!N90),"—",投资与减值!N90)</f>
        <v>0</v>
      </c>
      <c r="AN27" s="524">
        <f>IF(ISERROR(投资与减值!O90),"—",投资与减值!O90)</f>
        <v>0</v>
      </c>
      <c r="AO27" s="524">
        <f>IF(ISERROR(投资与减值!P90),"—",投资与减值!P90)</f>
        <v>0</v>
      </c>
      <c r="AP27" s="524">
        <f>IF(ISERROR(投资与减值!Q90),"—",投资与减值!Q90)</f>
        <v>0</v>
      </c>
      <c r="AQ27" s="524">
        <f>IF(ISERROR(投资与减值!R90),"—",投资与减值!R90)</f>
        <v>0</v>
      </c>
      <c r="AR27" s="524">
        <f>IF(ISERROR(投资与减值!S90),"—",投资与减值!S90)</f>
        <v>0</v>
      </c>
      <c r="AS27" s="524">
        <f>IF(ISERROR(投资与减值!T90),"—",投资与减值!T90)</f>
        <v>0</v>
      </c>
      <c r="AT27" s="524">
        <f>IF(ISERROR(投资与减值!U90),"—",投资与减值!U90)</f>
        <v>0</v>
      </c>
      <c r="AU27" s="556"/>
    </row>
    <row r="28" spans="1:48" ht="15" customHeight="1">
      <c r="B28" s="530" t="s">
        <v>149</v>
      </c>
      <c r="E28" s="524">
        <f>财务基础数据!J160*目录!$D$6</f>
        <v>0</v>
      </c>
      <c r="F28" s="524">
        <f>财务基础数据!K160*目录!$D$6</f>
        <v>0</v>
      </c>
      <c r="G28" s="524">
        <f>财务基础数据!L160*目录!$D$6</f>
        <v>0</v>
      </c>
      <c r="H28" s="524">
        <f>财务基础数据!M160*目录!$D$6</f>
        <v>0</v>
      </c>
      <c r="I28" s="524">
        <f>财务基础数据!N160*目录!$D$6</f>
        <v>0</v>
      </c>
      <c r="J28" s="524">
        <f>财务基础数据!O160*目录!$D$6</f>
        <v>0</v>
      </c>
      <c r="K28" s="524">
        <f>财务基础数据!P160*目录!$D$6</f>
        <v>0</v>
      </c>
      <c r="L28" s="524">
        <f>财务基础数据!Q160*目录!$D$6</f>
        <v>0</v>
      </c>
      <c r="M28" s="524">
        <f>财务基础数据!R160*目录!$D$6</f>
        <v>0</v>
      </c>
      <c r="N28" s="524">
        <f>财务基础数据!S160*目录!$D$6</f>
        <v>0</v>
      </c>
      <c r="O28" s="524">
        <f>财务基础数据!T160*目录!$D$6</f>
        <v>0</v>
      </c>
      <c r="P28" s="524">
        <f>财务基础数据!U160*目录!$D$6</f>
        <v>0</v>
      </c>
      <c r="Q28" s="524">
        <f>财务基础数据!V160*目录!$D$6</f>
        <v>0</v>
      </c>
      <c r="R28" s="524">
        <f>财务基础数据!W160*目录!$D$6</f>
        <v>0</v>
      </c>
      <c r="S28" s="524">
        <f>财务基础数据!X160*目录!$D$6</f>
        <v>0</v>
      </c>
      <c r="T28" s="524">
        <f>财务基础数据!Y160*目录!$D$6</f>
        <v>0</v>
      </c>
      <c r="U28" s="524">
        <f>财务基础数据!Z160*目录!$D$6</f>
        <v>0</v>
      </c>
      <c r="V28" s="524">
        <f>财务基础数据!AA160*目录!$D$6</f>
        <v>0</v>
      </c>
      <c r="W28" s="524">
        <f>财务基础数据!AB160*目录!$D$6</f>
        <v>0</v>
      </c>
      <c r="X28" s="524">
        <f>财务基础数据!AC160*目录!$D$6</f>
        <v>0</v>
      </c>
      <c r="Y28" s="524">
        <f>财务基础数据!AD160*目录!$D$6</f>
        <v>0</v>
      </c>
      <c r="Z28" s="524">
        <f>财务基础数据!AE160*目录!$D$6</f>
        <v>0</v>
      </c>
      <c r="AA28" s="524">
        <f>财务基础数据!AF160*目录!$D$6</f>
        <v>0</v>
      </c>
      <c r="AB28" s="524">
        <f>财务基础数据!AG160*目录!$D$6</f>
        <v>0</v>
      </c>
      <c r="AC28" s="524">
        <f>财务基础数据!AH160*目录!$D$6</f>
        <v>0</v>
      </c>
      <c r="AD28" s="524">
        <f>财务基础数据!AI160*目录!$D$6</f>
        <v>0</v>
      </c>
      <c r="AE28" s="524">
        <f>财务基础数据!AJ160*目录!$D$6</f>
        <v>0</v>
      </c>
      <c r="AF28" s="524">
        <f>财务基础数据!AK160*目录!$D$6</f>
        <v>0</v>
      </c>
      <c r="AG28" s="524">
        <f>财务基础数据!AL160*目录!$D$6</f>
        <v>0</v>
      </c>
      <c r="AH28" s="198">
        <f>财务基础数据!AM160*目录!$D$6</f>
        <v>0</v>
      </c>
      <c r="AI28" s="198">
        <f>财务基础数据!AN160*目录!$D$6</f>
        <v>0</v>
      </c>
      <c r="AJ28" s="198">
        <f>财务基础数据!AO160*目录!$D$6</f>
        <v>0</v>
      </c>
      <c r="AK28" s="188">
        <f>IF(ISERROR(资产预测!L108),"—",资产预测!L108)</f>
        <v>0</v>
      </c>
      <c r="AL28" s="188">
        <f>IF(ISERROR(资产预测!M108),"—",资产预测!M108)</f>
        <v>0</v>
      </c>
      <c r="AM28" s="188">
        <f>IF(ISERROR(资产预测!N108),"—",资产预测!N108)</f>
        <v>0</v>
      </c>
      <c r="AN28" s="188">
        <f>IF(ISERROR(资产预测!O108),"—",资产预测!O108)</f>
        <v>0</v>
      </c>
      <c r="AO28" s="188">
        <f>IF(ISERROR(资产预测!P108),"—",资产预测!P108)</f>
        <v>0</v>
      </c>
      <c r="AP28" s="188">
        <f>IF(ISERROR(资产预测!Q108),"—",资产预测!Q108)</f>
        <v>0</v>
      </c>
      <c r="AQ28" s="188">
        <f>IF(ISERROR(资产预测!R108),"—",资产预测!R108)</f>
        <v>0</v>
      </c>
      <c r="AR28" s="188">
        <f>IF(ISERROR(资产预测!S108),"—",资产预测!S108)</f>
        <v>0</v>
      </c>
      <c r="AS28" s="188">
        <f>IF(ISERROR(资产预测!T108),"—",资产预测!T108)</f>
        <v>0</v>
      </c>
      <c r="AT28" s="188">
        <f>IF(ISERROR(资产预测!U108),"—",资产预测!U108)</f>
        <v>0</v>
      </c>
      <c r="AU28" s="556"/>
    </row>
    <row r="29" spans="1:48" ht="15" customHeight="1">
      <c r="B29" s="530" t="s">
        <v>150</v>
      </c>
      <c r="E29" s="524">
        <f>(财务基础数据!J143+财务基础数据!J144+财务基础数据!J161)*目录!$D$6</f>
        <v>0</v>
      </c>
      <c r="F29" s="524">
        <f>(财务基础数据!K143+财务基础数据!K144+财务基础数据!K161)*目录!$D$6</f>
        <v>0</v>
      </c>
      <c r="G29" s="524">
        <f>(财务基础数据!L143+财务基础数据!L144+财务基础数据!L161)*目录!$D$6</f>
        <v>0</v>
      </c>
      <c r="H29" s="524">
        <f>(财务基础数据!M143+财务基础数据!M144+财务基础数据!M161)*目录!$D$6</f>
        <v>0</v>
      </c>
      <c r="I29" s="524">
        <f>(财务基础数据!N143+财务基础数据!N144+财务基础数据!N161)*目录!$D$6</f>
        <v>0</v>
      </c>
      <c r="J29" s="524">
        <f>(财务基础数据!O143+财务基础数据!O144+财务基础数据!O161)*目录!$D$6</f>
        <v>0</v>
      </c>
      <c r="K29" s="524">
        <f>(财务基础数据!P143+财务基础数据!P144+财务基础数据!P161)*目录!$D$6</f>
        <v>0</v>
      </c>
      <c r="L29" s="524">
        <f>(财务基础数据!Q143+财务基础数据!Q144+财务基础数据!Q161)*目录!$D$6</f>
        <v>0</v>
      </c>
      <c r="M29" s="524">
        <f>(财务基础数据!R143+财务基础数据!R144+财务基础数据!R161)*目录!$D$6</f>
        <v>0</v>
      </c>
      <c r="N29" s="524">
        <f>(财务基础数据!S143+财务基础数据!S144+财务基础数据!S161)*目录!$D$6</f>
        <v>0</v>
      </c>
      <c r="O29" s="524">
        <f>(财务基础数据!T143+财务基础数据!T144+财务基础数据!T161)*目录!$D$6</f>
        <v>0</v>
      </c>
      <c r="P29" s="524">
        <f>(财务基础数据!U143+财务基础数据!U144+财务基础数据!U161)*目录!$D$6</f>
        <v>0</v>
      </c>
      <c r="Q29" s="524">
        <f>(财务基础数据!V143+财务基础数据!V144+财务基础数据!V161)*目录!$D$6</f>
        <v>0</v>
      </c>
      <c r="R29" s="524">
        <f>(财务基础数据!W143+财务基础数据!W144+财务基础数据!W161)*目录!$D$6</f>
        <v>0</v>
      </c>
      <c r="S29" s="524">
        <f>(财务基础数据!X143+财务基础数据!X144+财务基础数据!X161)*目录!$D$6</f>
        <v>0</v>
      </c>
      <c r="T29" s="524">
        <f>(财务基础数据!Y143+财务基础数据!Y144+财务基础数据!Y161)*目录!$D$6</f>
        <v>0</v>
      </c>
      <c r="U29" s="524">
        <f>(财务基础数据!Z143+财务基础数据!Z144+财务基础数据!Z161)*目录!$D$6</f>
        <v>0</v>
      </c>
      <c r="V29" s="524">
        <f>(财务基础数据!AA143+财务基础数据!AA144+财务基础数据!AA161)*目录!$D$6</f>
        <v>0</v>
      </c>
      <c r="W29" s="524">
        <f>(财务基础数据!AB143+财务基础数据!AB144+财务基础数据!AB161)*目录!$D$6</f>
        <v>0</v>
      </c>
      <c r="X29" s="524">
        <f>(财务基础数据!AC143+财务基础数据!AC144+财务基础数据!AC161)*目录!$D$6</f>
        <v>0</v>
      </c>
      <c r="Y29" s="524">
        <f>(财务基础数据!AD143+财务基础数据!AD144+财务基础数据!AD161)*目录!$D$6</f>
        <v>0</v>
      </c>
      <c r="Z29" s="524">
        <f>(财务基础数据!AE143+财务基础数据!AE144+财务基础数据!AE161)*目录!$D$6</f>
        <v>0</v>
      </c>
      <c r="AA29" s="524">
        <f>(财务基础数据!AF143+财务基础数据!AF144+财务基础数据!AF161)*目录!$D$6</f>
        <v>0</v>
      </c>
      <c r="AB29" s="524">
        <f>(财务基础数据!AG143+财务基础数据!AG144+财务基础数据!AG161)*目录!$D$6</f>
        <v>0</v>
      </c>
      <c r="AC29" s="524">
        <f>(财务基础数据!AH143+财务基础数据!AH144+财务基础数据!AH161)*目录!$D$6</f>
        <v>0</v>
      </c>
      <c r="AD29" s="524">
        <f>(财务基础数据!AI143+财务基础数据!AI144+财务基础数据!AI161)*目录!$D$6</f>
        <v>0</v>
      </c>
      <c r="AE29" s="524">
        <f>(财务基础数据!AJ143+财务基础数据!AJ144+财务基础数据!AJ161)*目录!$D$6</f>
        <v>0</v>
      </c>
      <c r="AF29" s="524">
        <f>(财务基础数据!AK143+财务基础数据!AK144+财务基础数据!AK161)*目录!$D$6</f>
        <v>0</v>
      </c>
      <c r="AG29" s="524">
        <f>(财务基础数据!AL143+财务基础数据!AL144+财务基础数据!AL161)*目录!$D$6</f>
        <v>0</v>
      </c>
      <c r="AH29" s="198">
        <f>(财务基础数据!AM143+财务基础数据!AM144+财务基础数据!AM161)*目录!$D$6</f>
        <v>0</v>
      </c>
      <c r="AI29" s="198">
        <f>(财务基础数据!AN143+财务基础数据!AN144+财务基础数据!AN161)*目录!$D$6</f>
        <v>0</v>
      </c>
      <c r="AJ29" s="198">
        <f>(财务基础数据!AO143+财务基础数据!AO144+财务基础数据!AO161)*目录!$D$6</f>
        <v>0</v>
      </c>
      <c r="AK29" s="118">
        <f>IF(ISERROR(资产预测!L111),"—",资产预测!L111)</f>
        <v>0</v>
      </c>
      <c r="AL29" s="188">
        <f>IF(ISERROR(资产预测!M111),"—",资产预测!M111)</f>
        <v>0</v>
      </c>
      <c r="AM29" s="188">
        <f>IF(ISERROR(资产预测!N111),"—",资产预测!N111)</f>
        <v>0</v>
      </c>
      <c r="AN29" s="188">
        <f>IF(ISERROR(资产预测!O111),"—",资产预测!O111)</f>
        <v>0</v>
      </c>
      <c r="AO29" s="188">
        <f>IF(ISERROR(资产预测!P111),"—",资产预测!P111)</f>
        <v>0</v>
      </c>
      <c r="AP29" s="188">
        <f>IF(ISERROR(资产预测!Q111),"—",资产预测!Q111)</f>
        <v>0</v>
      </c>
      <c r="AQ29" s="188">
        <f>IF(ISERROR(资产预测!R111),"—",资产预测!R111)</f>
        <v>0</v>
      </c>
      <c r="AR29" s="188">
        <f>IF(ISERROR(资产预测!S111),"—",资产预测!S111)</f>
        <v>0</v>
      </c>
      <c r="AS29" s="188">
        <f>IF(ISERROR(资产预测!T111),"—",资产预测!T111)</f>
        <v>0</v>
      </c>
      <c r="AT29" s="188">
        <f>IF(ISERROR(资产预测!U111),"—",资产预测!U111)</f>
        <v>0</v>
      </c>
      <c r="AU29" s="188"/>
      <c r="AV29" s="188"/>
    </row>
    <row r="30" spans="1:48" ht="15" customHeight="1">
      <c r="B30" s="530" t="s">
        <v>400</v>
      </c>
      <c r="E30" s="524">
        <f>财务基础数据!J82*目录!$D$6</f>
        <v>0</v>
      </c>
      <c r="F30" s="524">
        <f>财务基础数据!K82*目录!$D$6</f>
        <v>0</v>
      </c>
      <c r="G30" s="524">
        <f>财务基础数据!L82*目录!$D$6</f>
        <v>0</v>
      </c>
      <c r="H30" s="524">
        <f>财务基础数据!M82*目录!$D$6</f>
        <v>0</v>
      </c>
      <c r="I30" s="524">
        <f>财务基础数据!N82*目录!$D$6</f>
        <v>0</v>
      </c>
      <c r="J30" s="524">
        <f>财务基础数据!O82*目录!$D$6</f>
        <v>0</v>
      </c>
      <c r="K30" s="524">
        <f>财务基础数据!P82*目录!$D$6</f>
        <v>0</v>
      </c>
      <c r="L30" s="524">
        <f>财务基础数据!Q82*目录!$D$6</f>
        <v>0</v>
      </c>
      <c r="M30" s="524">
        <f>财务基础数据!R82*目录!$D$6</f>
        <v>0</v>
      </c>
      <c r="N30" s="524">
        <f>财务基础数据!S82*目录!$D$6</f>
        <v>0</v>
      </c>
      <c r="O30" s="524">
        <f>财务基础数据!T82*目录!$D$6</f>
        <v>0</v>
      </c>
      <c r="P30" s="524">
        <f>财务基础数据!U82*目录!$D$6</f>
        <v>0</v>
      </c>
      <c r="Q30" s="524">
        <f>财务基础数据!V82*目录!$D$6</f>
        <v>0</v>
      </c>
      <c r="R30" s="524">
        <f>财务基础数据!W82*目录!$D$6</f>
        <v>0</v>
      </c>
      <c r="S30" s="524">
        <f>财务基础数据!X82*目录!$D$6</f>
        <v>0</v>
      </c>
      <c r="T30" s="524">
        <f>财务基础数据!Y82*目录!$D$6</f>
        <v>0</v>
      </c>
      <c r="U30" s="524">
        <f>财务基础数据!Z82*目录!$D$6</f>
        <v>0</v>
      </c>
      <c r="V30" s="524">
        <f>财务基础数据!AA82*目录!$D$6</f>
        <v>0</v>
      </c>
      <c r="W30" s="524">
        <f>财务基础数据!AB82*目录!$D$6</f>
        <v>0</v>
      </c>
      <c r="X30" s="524">
        <f>财务基础数据!AC82*目录!$D$6</f>
        <v>0</v>
      </c>
      <c r="Y30" s="524">
        <f>财务基础数据!AD82*目录!$D$6</f>
        <v>0</v>
      </c>
      <c r="Z30" s="524">
        <f>财务基础数据!AE82*目录!$D$6</f>
        <v>0</v>
      </c>
      <c r="AA30" s="524">
        <f>财务基础数据!AF82*目录!$D$6</f>
        <v>0</v>
      </c>
      <c r="AB30" s="524">
        <f>财务基础数据!AG82*目录!$D$6</f>
        <v>0</v>
      </c>
      <c r="AC30" s="524">
        <f>财务基础数据!AH82*目录!$D$6</f>
        <v>0</v>
      </c>
      <c r="AD30" s="524">
        <f>财务基础数据!AI82*目录!$D$6</f>
        <v>0</v>
      </c>
      <c r="AE30" s="524">
        <f>财务基础数据!AJ82*目录!$D$6</f>
        <v>0</v>
      </c>
      <c r="AF30" s="524">
        <f>财务基础数据!AK82*目录!$D$6</f>
        <v>0</v>
      </c>
      <c r="AG30" s="524">
        <f>财务基础数据!AL82*目录!$D$6</f>
        <v>0</v>
      </c>
      <c r="AH30" s="198">
        <f>财务基础数据!AM82*目录!$D$6</f>
        <v>0</v>
      </c>
      <c r="AI30" s="198">
        <f>财务基础数据!AN82*目录!$D$6</f>
        <v>0</v>
      </c>
      <c r="AJ30" s="198">
        <f>财务基础数据!AO82*目录!$D$6</f>
        <v>0</v>
      </c>
      <c r="AK30" s="118">
        <f>IF(ISERROR(投资与减值!L101),"—",投资与减值!L101)</f>
        <v>0</v>
      </c>
      <c r="AL30" s="118">
        <f>IF(ISERROR(投资与减值!M101),"—",投资与减值!M101)</f>
        <v>0</v>
      </c>
      <c r="AM30" s="118">
        <f>IF(ISERROR(投资与减值!N101),"—",投资与减值!N101)</f>
        <v>0</v>
      </c>
      <c r="AN30" s="118">
        <f>IF(ISERROR(投资与减值!O101),"—",投资与减值!O101)</f>
        <v>0</v>
      </c>
      <c r="AO30" s="118">
        <f>IF(ISERROR(投资与减值!P101),"—",投资与减值!P101)</f>
        <v>0</v>
      </c>
      <c r="AP30" s="118">
        <f>IF(ISERROR(投资与减值!Q101),"—",投资与减值!Q101)</f>
        <v>0</v>
      </c>
      <c r="AQ30" s="118">
        <f>IF(ISERROR(投资与减值!R101),"—",投资与减值!R101)</f>
        <v>0</v>
      </c>
      <c r="AR30" s="118">
        <f>IF(ISERROR(投资与减值!S101),"—",投资与减值!S101)</f>
        <v>0</v>
      </c>
      <c r="AS30" s="118">
        <f>IF(ISERROR(投资与减值!T101),"—",投资与减值!T101)</f>
        <v>0</v>
      </c>
      <c r="AT30" s="118">
        <f>IF(ISERROR(投资与减值!U101),"—",投资与减值!U101)</f>
        <v>0</v>
      </c>
      <c r="AU30" s="556"/>
    </row>
    <row r="31" spans="1:48" ht="15" customHeight="1">
      <c r="B31" s="130" t="s">
        <v>324</v>
      </c>
      <c r="E31" s="524">
        <f>(财务基础数据!J154)*目录!$D$6</f>
        <v>0</v>
      </c>
      <c r="F31" s="524">
        <f>(财务基础数据!K154)*目录!$D$6</f>
        <v>0</v>
      </c>
      <c r="G31" s="524">
        <f>(财务基础数据!L154)*目录!$D$6</f>
        <v>0</v>
      </c>
      <c r="H31" s="524">
        <f>(财务基础数据!M154)*目录!$D$6</f>
        <v>0</v>
      </c>
      <c r="I31" s="524">
        <f>(财务基础数据!N154)*目录!$D$6</f>
        <v>0</v>
      </c>
      <c r="J31" s="524">
        <f>(财务基础数据!O154)*目录!$D$6</f>
        <v>0</v>
      </c>
      <c r="K31" s="524">
        <f>(财务基础数据!P154)*目录!$D$6</f>
        <v>0</v>
      </c>
      <c r="L31" s="524">
        <f>(财务基础数据!Q154)*目录!$D$6</f>
        <v>0</v>
      </c>
      <c r="M31" s="524">
        <f>(财务基础数据!R154)*目录!$D$6</f>
        <v>0</v>
      </c>
      <c r="N31" s="524">
        <f>(财务基础数据!S154)*目录!$D$6</f>
        <v>0</v>
      </c>
      <c r="O31" s="524">
        <f>(财务基础数据!T154)*目录!$D$6</f>
        <v>0</v>
      </c>
      <c r="P31" s="524">
        <f>(财务基础数据!U154)*目录!$D$6</f>
        <v>0</v>
      </c>
      <c r="Q31" s="524">
        <f>(财务基础数据!V154)*目录!$D$6</f>
        <v>0</v>
      </c>
      <c r="R31" s="524">
        <f>(财务基础数据!W154)*目录!$D$6</f>
        <v>0</v>
      </c>
      <c r="S31" s="524">
        <f>(财务基础数据!X154)*目录!$D$6</f>
        <v>0</v>
      </c>
      <c r="T31" s="524">
        <f>(财务基础数据!Y154)*目录!$D$6</f>
        <v>0</v>
      </c>
      <c r="U31" s="524">
        <f>(财务基础数据!Z154)*目录!$D$6</f>
        <v>0</v>
      </c>
      <c r="V31" s="524">
        <f>(财务基础数据!AA154)*目录!$D$6</f>
        <v>0</v>
      </c>
      <c r="W31" s="524">
        <f>(财务基础数据!AB154)*目录!$D$6</f>
        <v>0</v>
      </c>
      <c r="X31" s="524">
        <f>(财务基础数据!AC154)*目录!$D$6</f>
        <v>0</v>
      </c>
      <c r="Y31" s="524">
        <f>(财务基础数据!AD154)*目录!$D$6</f>
        <v>0</v>
      </c>
      <c r="Z31" s="524">
        <f>(财务基础数据!AE154)*目录!$D$6</f>
        <v>0</v>
      </c>
      <c r="AA31" s="524">
        <f>(财务基础数据!AF154)*目录!$D$6</f>
        <v>0</v>
      </c>
      <c r="AB31" s="524">
        <f>(财务基础数据!AG154)*目录!$D$6</f>
        <v>0</v>
      </c>
      <c r="AC31" s="524">
        <f>(财务基础数据!AH154)*目录!$D$6</f>
        <v>0</v>
      </c>
      <c r="AD31" s="524">
        <f>(财务基础数据!AI154)*目录!$D$6</f>
        <v>0</v>
      </c>
      <c r="AE31" s="524">
        <f>(财务基础数据!AJ154)*目录!$D$6</f>
        <v>0</v>
      </c>
      <c r="AF31" s="524">
        <f>(财务基础数据!AK154)*目录!$D$6</f>
        <v>0</v>
      </c>
      <c r="AG31" s="524">
        <f>(财务基础数据!AL154)*目录!$D$6</f>
        <v>0</v>
      </c>
      <c r="AH31" s="198">
        <f>(财务基础数据!AM154)*目录!$D$6</f>
        <v>0</v>
      </c>
      <c r="AI31" s="198">
        <f>(财务基础数据!AN154)*目录!$D$6</f>
        <v>0</v>
      </c>
      <c r="AJ31" s="198">
        <f>(财务基础数据!AO154)*目录!$D$6</f>
        <v>0</v>
      </c>
      <c r="AK31" s="524">
        <f>IF(ISERROR(投资与减值!L24),"—",投资与减值!L24)</f>
        <v>0</v>
      </c>
      <c r="AL31" s="524">
        <f>IF(ISERROR(投资与减值!M24),"—",投资与减值!M24)</f>
        <v>0</v>
      </c>
      <c r="AM31" s="524">
        <f>IF(ISERROR(投资与减值!N24),"—",投资与减值!N24)</f>
        <v>0</v>
      </c>
      <c r="AN31" s="524">
        <f>IF(ISERROR(投资与减值!O24),"—",投资与减值!O24)</f>
        <v>0</v>
      </c>
      <c r="AO31" s="524">
        <f>IF(ISERROR(投资与减值!P24),"—",投资与减值!P24)</f>
        <v>0</v>
      </c>
      <c r="AP31" s="524">
        <f>IF(ISERROR(投资与减值!Q24),"—",投资与减值!Q24)</f>
        <v>0</v>
      </c>
      <c r="AQ31" s="524">
        <f>IF(ISERROR(投资与减值!R24),"—",投资与减值!R24)</f>
        <v>0</v>
      </c>
      <c r="AR31" s="524">
        <f>IF(ISERROR(投资与减值!S24),"—",投资与减值!S24)</f>
        <v>0</v>
      </c>
      <c r="AS31" s="524">
        <f>IF(ISERROR(投资与减值!T24),"—",投资与减值!T24)</f>
        <v>0</v>
      </c>
      <c r="AT31" s="524">
        <f>IF(ISERROR(投资与减值!U24),"—",投资与减值!U24)</f>
        <v>0</v>
      </c>
      <c r="AU31" s="556"/>
    </row>
    <row r="32" spans="1:48" ht="15" customHeight="1">
      <c r="B32" s="530" t="s">
        <v>325</v>
      </c>
      <c r="E32" s="524">
        <f>(财务基础数据!J155)*目录!$D$6</f>
        <v>0</v>
      </c>
      <c r="F32" s="524">
        <f>(财务基础数据!K155)*目录!$D$6</f>
        <v>0</v>
      </c>
      <c r="G32" s="524">
        <f>(财务基础数据!L155)*目录!$D$6</f>
        <v>0</v>
      </c>
      <c r="H32" s="524">
        <f>(财务基础数据!M155)*目录!$D$6</f>
        <v>0</v>
      </c>
      <c r="I32" s="524">
        <f>(财务基础数据!N155)*目录!$D$6</f>
        <v>0</v>
      </c>
      <c r="J32" s="524">
        <f>(财务基础数据!O155)*目录!$D$6</f>
        <v>0</v>
      </c>
      <c r="K32" s="524">
        <f>(财务基础数据!P155)*目录!$D$6</f>
        <v>0</v>
      </c>
      <c r="L32" s="524">
        <f>(财务基础数据!Q155)*目录!$D$6</f>
        <v>0</v>
      </c>
      <c r="M32" s="524">
        <f>(财务基础数据!R155)*目录!$D$6</f>
        <v>0</v>
      </c>
      <c r="N32" s="524">
        <f>(财务基础数据!S155)*目录!$D$6</f>
        <v>0</v>
      </c>
      <c r="O32" s="524">
        <f>(财务基础数据!T155)*目录!$D$6</f>
        <v>0</v>
      </c>
      <c r="P32" s="524">
        <f>(财务基础数据!U155)*目录!$D$6</f>
        <v>0</v>
      </c>
      <c r="Q32" s="524">
        <f>(财务基础数据!V155)*目录!$D$6</f>
        <v>0</v>
      </c>
      <c r="R32" s="524">
        <f>(财务基础数据!W155)*目录!$D$6</f>
        <v>0</v>
      </c>
      <c r="S32" s="524">
        <f>(财务基础数据!X155)*目录!$D$6</f>
        <v>0</v>
      </c>
      <c r="T32" s="524">
        <f>(财务基础数据!Y155)*目录!$D$6</f>
        <v>0</v>
      </c>
      <c r="U32" s="524">
        <f>(财务基础数据!Z155)*目录!$D$6</f>
        <v>0</v>
      </c>
      <c r="V32" s="524">
        <f>(财务基础数据!AA155)*目录!$D$6</f>
        <v>0</v>
      </c>
      <c r="W32" s="524">
        <f>(财务基础数据!AB155)*目录!$D$6</f>
        <v>0</v>
      </c>
      <c r="X32" s="524">
        <f>(财务基础数据!AC155)*目录!$D$6</f>
        <v>0</v>
      </c>
      <c r="Y32" s="524">
        <f>(财务基础数据!AD155)*目录!$D$6</f>
        <v>0</v>
      </c>
      <c r="Z32" s="524">
        <f>(财务基础数据!AE155)*目录!$D$6</f>
        <v>0</v>
      </c>
      <c r="AA32" s="524">
        <f>(财务基础数据!AF155)*目录!$D$6</f>
        <v>0</v>
      </c>
      <c r="AB32" s="524">
        <f>(财务基础数据!AG155)*目录!$D$6</f>
        <v>0</v>
      </c>
      <c r="AC32" s="524">
        <f>(财务基础数据!AH155)*目录!$D$6</f>
        <v>0</v>
      </c>
      <c r="AD32" s="524">
        <f>(财务基础数据!AI155)*目录!$D$6</f>
        <v>0</v>
      </c>
      <c r="AE32" s="524">
        <f>(财务基础数据!AJ155)*目录!$D$6</f>
        <v>0</v>
      </c>
      <c r="AF32" s="524">
        <f>(财务基础数据!AK155)*目录!$D$6</f>
        <v>0</v>
      </c>
      <c r="AG32" s="524">
        <f>(财务基础数据!AL155)*目录!$D$6</f>
        <v>0</v>
      </c>
      <c r="AH32" s="198">
        <f>(财务基础数据!AM155)*目录!$D$6</f>
        <v>0</v>
      </c>
      <c r="AI32" s="198">
        <f>(财务基础数据!AN155)*目录!$D$6</f>
        <v>0</v>
      </c>
      <c r="AJ32" s="198">
        <f>(财务基础数据!AO155)*目录!$D$6</f>
        <v>0</v>
      </c>
      <c r="AK32" s="524">
        <f>IF(ISERROR(投资与减值!L46),"—",投资与减值!L46)</f>
        <v>0</v>
      </c>
      <c r="AL32" s="524">
        <f>IF(ISERROR(投资与减值!M46),"—",投资与减值!M46)</f>
        <v>0</v>
      </c>
      <c r="AM32" s="524">
        <f>IF(ISERROR(投资与减值!N46),"—",投资与减值!N46)</f>
        <v>0</v>
      </c>
      <c r="AN32" s="524">
        <f>IF(ISERROR(投资与减值!O46),"—",投资与减值!O46)</f>
        <v>0</v>
      </c>
      <c r="AO32" s="524">
        <f>IF(ISERROR(投资与减值!P46),"—",投资与减值!P46)</f>
        <v>0</v>
      </c>
      <c r="AP32" s="524">
        <f>IF(ISERROR(投资与减值!Q46),"—",投资与减值!Q46)</f>
        <v>0</v>
      </c>
      <c r="AQ32" s="524">
        <f>IF(ISERROR(投资与减值!R46),"—",投资与减值!R46)</f>
        <v>0</v>
      </c>
      <c r="AR32" s="524">
        <f>IF(ISERROR(投资与减值!S46),"—",投资与减值!S46)</f>
        <v>0</v>
      </c>
      <c r="AS32" s="524">
        <f>IF(ISERROR(投资与减值!T46),"—",投资与减值!T46)</f>
        <v>0</v>
      </c>
      <c r="AT32" s="524">
        <f>IF(ISERROR(投资与减值!U46),"—",投资与减值!U46)</f>
        <v>0</v>
      </c>
      <c r="AU32" s="556"/>
    </row>
    <row r="33" spans="1:52" ht="15" customHeight="1">
      <c r="B33" s="530" t="s">
        <v>401</v>
      </c>
      <c r="E33" s="524">
        <f>财务基础数据!J85*目录!$D$6</f>
        <v>0</v>
      </c>
      <c r="F33" s="524">
        <f>财务基础数据!K85*目录!$D$6</f>
        <v>0</v>
      </c>
      <c r="G33" s="524">
        <f>财务基础数据!L85*目录!$D$6</f>
        <v>0</v>
      </c>
      <c r="H33" s="524">
        <f>财务基础数据!M85*目录!$D$6</f>
        <v>0</v>
      </c>
      <c r="I33" s="524">
        <f>财务基础数据!N85*目录!$D$6</f>
        <v>0</v>
      </c>
      <c r="J33" s="524">
        <f>财务基础数据!O85*目录!$D$6</f>
        <v>0</v>
      </c>
      <c r="K33" s="524">
        <f>财务基础数据!P85*目录!$D$6</f>
        <v>0</v>
      </c>
      <c r="L33" s="524">
        <f>财务基础数据!Q85*目录!$D$6</f>
        <v>0</v>
      </c>
      <c r="M33" s="524">
        <f>财务基础数据!R85*目录!$D$6</f>
        <v>0</v>
      </c>
      <c r="N33" s="524">
        <f>财务基础数据!S85*目录!$D$6</f>
        <v>0</v>
      </c>
      <c r="O33" s="524">
        <f>财务基础数据!T85*目录!$D$6</f>
        <v>0</v>
      </c>
      <c r="P33" s="524">
        <f>财务基础数据!U85*目录!$D$6</f>
        <v>0</v>
      </c>
      <c r="Q33" s="524">
        <f>财务基础数据!V85*目录!$D$6</f>
        <v>0</v>
      </c>
      <c r="R33" s="524">
        <f>财务基础数据!W85*目录!$D$6</f>
        <v>0</v>
      </c>
      <c r="S33" s="524">
        <f>财务基础数据!X85*目录!$D$6</f>
        <v>0</v>
      </c>
      <c r="T33" s="524">
        <f>财务基础数据!Y85*目录!$D$6</f>
        <v>0</v>
      </c>
      <c r="U33" s="524">
        <f>财务基础数据!Z85*目录!$D$6</f>
        <v>0</v>
      </c>
      <c r="V33" s="524">
        <f>财务基础数据!AA85*目录!$D$6</f>
        <v>0</v>
      </c>
      <c r="W33" s="524">
        <f>财务基础数据!AB85*目录!$D$6</f>
        <v>0</v>
      </c>
      <c r="X33" s="524">
        <f>财务基础数据!AC85*目录!$D$6</f>
        <v>0</v>
      </c>
      <c r="Y33" s="524">
        <f>财务基础数据!AD85*目录!$D$6</f>
        <v>0</v>
      </c>
      <c r="Z33" s="524">
        <f>财务基础数据!AE85*目录!$D$6</f>
        <v>0</v>
      </c>
      <c r="AA33" s="524">
        <f>财务基础数据!AF85*目录!$D$6</f>
        <v>0</v>
      </c>
      <c r="AB33" s="524">
        <f>财务基础数据!AG85*目录!$D$6</f>
        <v>0</v>
      </c>
      <c r="AC33" s="524">
        <f>财务基础数据!AH85*目录!$D$6</f>
        <v>0</v>
      </c>
      <c r="AD33" s="524">
        <f>财务基础数据!AI85*目录!$D$6</f>
        <v>0</v>
      </c>
      <c r="AE33" s="524">
        <f>财务基础数据!AJ85*目录!$D$6</f>
        <v>0</v>
      </c>
      <c r="AF33" s="524">
        <f>财务基础数据!AK85*目录!$D$6</f>
        <v>0</v>
      </c>
      <c r="AG33" s="524">
        <f>财务基础数据!AL85*目录!$D$6</f>
        <v>0</v>
      </c>
      <c r="AH33" s="198">
        <f>财务基础数据!AM85*目录!$D$6</f>
        <v>0</v>
      </c>
      <c r="AI33" s="198">
        <f>财务基础数据!AN85*目录!$D$6</f>
        <v>0</v>
      </c>
      <c r="AJ33" s="198">
        <f>财务基础数据!AO85*目录!$D$6</f>
        <v>0</v>
      </c>
      <c r="AK33" s="524">
        <f>IF(ISERROR(投资与减值!L144),"—",投资与减值!L144)</f>
        <v>0</v>
      </c>
      <c r="AL33" s="524">
        <f>IF(ISERROR(投资与减值!M144),"—",投资与减值!M144)</f>
        <v>0</v>
      </c>
      <c r="AM33" s="524">
        <f>IF(ISERROR(投资与减值!N144),"—",投资与减值!N144)</f>
        <v>0</v>
      </c>
      <c r="AN33" s="524">
        <f>IF(ISERROR(投资与减值!O144),"—",投资与减值!O144)</f>
        <v>0</v>
      </c>
      <c r="AO33" s="524">
        <f>IF(ISERROR(投资与减值!P144),"—",投资与减值!P144)</f>
        <v>0</v>
      </c>
      <c r="AP33" s="524">
        <f>IF(ISERROR(投资与减值!Q144),"—",投资与减值!Q144)</f>
        <v>0</v>
      </c>
      <c r="AQ33" s="524">
        <f>IF(ISERROR(投资与减值!R144),"—",投资与减值!R144)</f>
        <v>0</v>
      </c>
      <c r="AR33" s="524">
        <f>IF(ISERROR(投资与减值!S144),"—",投资与减值!S144)</f>
        <v>0</v>
      </c>
      <c r="AS33" s="524">
        <f>IF(ISERROR(投资与减值!T144),"—",投资与减值!T144)</f>
        <v>0</v>
      </c>
      <c r="AT33" s="524">
        <f>IF(ISERROR(投资与减值!U144),"—",投资与减值!U144)</f>
        <v>0</v>
      </c>
      <c r="AU33" s="556"/>
    </row>
    <row r="34" spans="1:52" ht="15" customHeight="1">
      <c r="B34" s="530" t="s">
        <v>402</v>
      </c>
      <c r="E34" s="524">
        <f>财务基础数据!J86*目录!$D$6</f>
        <v>0</v>
      </c>
      <c r="F34" s="524">
        <f>财务基础数据!K86*目录!$D$6</f>
        <v>0</v>
      </c>
      <c r="G34" s="524">
        <f>财务基础数据!L86*目录!$D$6</f>
        <v>0</v>
      </c>
      <c r="H34" s="524">
        <f>财务基础数据!M86*目录!$D$6</f>
        <v>0</v>
      </c>
      <c r="I34" s="524">
        <f>财务基础数据!N86*目录!$D$6</f>
        <v>0</v>
      </c>
      <c r="J34" s="524">
        <f>财务基础数据!O86*目录!$D$6</f>
        <v>0</v>
      </c>
      <c r="K34" s="524">
        <f>财务基础数据!P86*目录!$D$6</f>
        <v>0</v>
      </c>
      <c r="L34" s="524">
        <f>财务基础数据!Q86*目录!$D$6</f>
        <v>0</v>
      </c>
      <c r="M34" s="524">
        <f>财务基础数据!R86*目录!$D$6</f>
        <v>0</v>
      </c>
      <c r="N34" s="524">
        <f>财务基础数据!S86*目录!$D$6</f>
        <v>0</v>
      </c>
      <c r="O34" s="524">
        <f>财务基础数据!T86*目录!$D$6</f>
        <v>0</v>
      </c>
      <c r="P34" s="524">
        <f>财务基础数据!U86*目录!$D$6</f>
        <v>0</v>
      </c>
      <c r="Q34" s="524">
        <f>财务基础数据!V86*目录!$D$6</f>
        <v>0</v>
      </c>
      <c r="R34" s="524">
        <f>财务基础数据!W86*目录!$D$6</f>
        <v>0</v>
      </c>
      <c r="S34" s="524">
        <f>财务基础数据!X86*目录!$D$6</f>
        <v>0</v>
      </c>
      <c r="T34" s="524">
        <f>财务基础数据!Y86*目录!$D$6</f>
        <v>0</v>
      </c>
      <c r="U34" s="524">
        <f>财务基础数据!Z86*目录!$D$6</f>
        <v>0</v>
      </c>
      <c r="V34" s="524">
        <f>财务基础数据!AA86*目录!$D$6</f>
        <v>0</v>
      </c>
      <c r="W34" s="524">
        <f>财务基础数据!AB86*目录!$D$6</f>
        <v>0</v>
      </c>
      <c r="X34" s="524">
        <f>财务基础数据!AC86*目录!$D$6</f>
        <v>0</v>
      </c>
      <c r="Y34" s="524">
        <f>财务基础数据!AD86*目录!$D$6</f>
        <v>0</v>
      </c>
      <c r="Z34" s="524">
        <f>财务基础数据!AE86*目录!$D$6</f>
        <v>0</v>
      </c>
      <c r="AA34" s="524">
        <f>财务基础数据!AF86*目录!$D$6</f>
        <v>0</v>
      </c>
      <c r="AB34" s="524">
        <f>财务基础数据!AG86*目录!$D$6</f>
        <v>0</v>
      </c>
      <c r="AC34" s="524">
        <f>财务基础数据!AH86*目录!$D$6</f>
        <v>0</v>
      </c>
      <c r="AD34" s="524">
        <f>财务基础数据!AI86*目录!$D$6</f>
        <v>0</v>
      </c>
      <c r="AE34" s="524">
        <f>财务基础数据!AJ86*目录!$D$6</f>
        <v>0</v>
      </c>
      <c r="AF34" s="524">
        <f>财务基础数据!AK86*目录!$D$6</f>
        <v>0</v>
      </c>
      <c r="AG34" s="524">
        <f>财务基础数据!AL86*目录!$D$6</f>
        <v>0</v>
      </c>
      <c r="AH34" s="198">
        <f>财务基础数据!AM86*目录!$D$6</f>
        <v>0</v>
      </c>
      <c r="AI34" s="198">
        <f>财务基础数据!AN86*目录!$D$6</f>
        <v>0</v>
      </c>
      <c r="AJ34" s="198">
        <f>财务基础数据!AO86*目录!$D$6</f>
        <v>0</v>
      </c>
      <c r="AK34" s="524">
        <f>IF(ISERROR(投资与减值!L158),"—",投资与减值!L158)</f>
        <v>0</v>
      </c>
      <c r="AL34" s="524">
        <f>IF(ISERROR(投资与减值!M158),"—",投资与减值!M158)</f>
        <v>0</v>
      </c>
      <c r="AM34" s="524">
        <f>IF(ISERROR(投资与减值!N158),"—",投资与减值!N158)</f>
        <v>0</v>
      </c>
      <c r="AN34" s="524">
        <f>IF(ISERROR(投资与减值!O158),"—",投资与减值!O158)</f>
        <v>0</v>
      </c>
      <c r="AO34" s="524">
        <f>IF(ISERROR(投资与减值!P158),"—",投资与减值!P158)</f>
        <v>0</v>
      </c>
      <c r="AP34" s="524">
        <f>IF(ISERROR(投资与减值!Q158),"—",投资与减值!Q158)</f>
        <v>0</v>
      </c>
      <c r="AQ34" s="524">
        <f>IF(ISERROR(投资与减值!R158),"—",投资与减值!R158)</f>
        <v>0</v>
      </c>
      <c r="AR34" s="524">
        <f>IF(ISERROR(投资与减值!S158),"—",投资与减值!S158)</f>
        <v>0</v>
      </c>
      <c r="AS34" s="524">
        <f>IF(ISERROR(投资与减值!T158),"—",投资与减值!T158)</f>
        <v>0</v>
      </c>
      <c r="AT34" s="524">
        <f>IF(ISERROR(投资与减值!U158),"—",投资与减值!U158)</f>
        <v>0</v>
      </c>
      <c r="AU34" s="556"/>
    </row>
    <row r="35" spans="1:52" ht="15" customHeight="1">
      <c r="A35" s="30"/>
      <c r="B35" s="530" t="s">
        <v>403</v>
      </c>
      <c r="E35" s="524">
        <f>财务基础数据!J164*目录!$D$6</f>
        <v>0</v>
      </c>
      <c r="F35" s="524">
        <f>财务基础数据!K164*目录!$D$6</f>
        <v>0</v>
      </c>
      <c r="G35" s="524">
        <f>财务基础数据!L164*目录!$D$6</f>
        <v>0</v>
      </c>
      <c r="H35" s="524">
        <f>财务基础数据!M164*目录!$D$6</f>
        <v>0</v>
      </c>
      <c r="I35" s="524">
        <f>财务基础数据!N164*目录!$D$6</f>
        <v>0</v>
      </c>
      <c r="J35" s="524">
        <f>财务基础数据!O164*目录!$D$6</f>
        <v>0</v>
      </c>
      <c r="K35" s="524">
        <f>财务基础数据!P164*目录!$D$6</f>
        <v>0</v>
      </c>
      <c r="L35" s="524">
        <f>财务基础数据!Q164*目录!$D$6</f>
        <v>0</v>
      </c>
      <c r="M35" s="524">
        <f>财务基础数据!R164*目录!$D$6</f>
        <v>0</v>
      </c>
      <c r="N35" s="524">
        <f>财务基础数据!S164*目录!$D$6</f>
        <v>0</v>
      </c>
      <c r="O35" s="524">
        <f>财务基础数据!T164*目录!$D$6</f>
        <v>0</v>
      </c>
      <c r="P35" s="524">
        <f>财务基础数据!U164*目录!$D$6</f>
        <v>0</v>
      </c>
      <c r="Q35" s="524">
        <f>财务基础数据!V164*目录!$D$6</f>
        <v>0</v>
      </c>
      <c r="R35" s="524">
        <f>财务基础数据!W164*目录!$D$6</f>
        <v>0</v>
      </c>
      <c r="S35" s="524">
        <f>财务基础数据!X164*目录!$D$6</f>
        <v>0</v>
      </c>
      <c r="T35" s="524">
        <f>财务基础数据!Y164*目录!$D$6</f>
        <v>0</v>
      </c>
      <c r="U35" s="524">
        <f>财务基础数据!Z164*目录!$D$6</f>
        <v>0</v>
      </c>
      <c r="V35" s="524">
        <f>财务基础数据!AA164*目录!$D$6</f>
        <v>0</v>
      </c>
      <c r="W35" s="524">
        <f>财务基础数据!AB164*目录!$D$6</f>
        <v>0</v>
      </c>
      <c r="X35" s="524">
        <f>财务基础数据!AC164*目录!$D$6</f>
        <v>0</v>
      </c>
      <c r="Y35" s="524">
        <f>财务基础数据!AD164*目录!$D$6</f>
        <v>0</v>
      </c>
      <c r="Z35" s="524">
        <f>财务基础数据!AE164*目录!$D$6</f>
        <v>0</v>
      </c>
      <c r="AA35" s="524">
        <f>财务基础数据!AF164*目录!$D$6</f>
        <v>0</v>
      </c>
      <c r="AB35" s="524">
        <f>财务基础数据!AG164*目录!$D$6</f>
        <v>0</v>
      </c>
      <c r="AC35" s="524">
        <f>财务基础数据!AH164*目录!$D$6</f>
        <v>0</v>
      </c>
      <c r="AD35" s="524">
        <f>财务基础数据!AI164*目录!$D$6</f>
        <v>0</v>
      </c>
      <c r="AE35" s="524">
        <f>财务基础数据!AJ164*目录!$D$6</f>
        <v>0</v>
      </c>
      <c r="AF35" s="524">
        <f>财务基础数据!AK164*目录!$D$6</f>
        <v>0</v>
      </c>
      <c r="AG35" s="524">
        <f>财务基础数据!AL164*目录!$D$6</f>
        <v>0</v>
      </c>
      <c r="AH35" s="198">
        <f>财务基础数据!AM164*目录!$D$6</f>
        <v>0</v>
      </c>
      <c r="AI35" s="198">
        <f>财务基础数据!AN164*目录!$D$6</f>
        <v>0</v>
      </c>
      <c r="AJ35" s="198">
        <f>财务基础数据!AO164*目录!$D$6</f>
        <v>0</v>
      </c>
      <c r="AK35" s="524">
        <f>IF(ISERROR(投资与减值!L118),"—",投资与减值!L118)</f>
        <v>0</v>
      </c>
      <c r="AL35" s="524">
        <f>IF(ISERROR(投资与减值!M118),"—",投资与减值!M118)</f>
        <v>0</v>
      </c>
      <c r="AM35" s="524">
        <f>IF(ISERROR(投资与减值!N118),"—",投资与减值!N118)</f>
        <v>0</v>
      </c>
      <c r="AN35" s="524">
        <f>IF(ISERROR(投资与减值!O118),"—",投资与减值!O118)</f>
        <v>0</v>
      </c>
      <c r="AO35" s="524">
        <f>IF(ISERROR(投资与减值!P118),"—",投资与减值!P118)</f>
        <v>0</v>
      </c>
      <c r="AP35" s="524">
        <f>IF(ISERROR(投资与减值!Q118),"—",投资与减值!Q118)</f>
        <v>0</v>
      </c>
      <c r="AQ35" s="524">
        <f>IF(ISERROR(投资与减值!R118),"—",投资与减值!R118)</f>
        <v>0</v>
      </c>
      <c r="AR35" s="524">
        <f>IF(ISERROR(投资与减值!S118),"—",投资与减值!S118)</f>
        <v>0</v>
      </c>
      <c r="AS35" s="524">
        <f>IF(ISERROR(投资与减值!T118),"—",投资与减值!T118)</f>
        <v>0</v>
      </c>
      <c r="AT35" s="524">
        <f>IF(ISERROR(投资与减值!U118),"—",投资与减值!U118)</f>
        <v>0</v>
      </c>
      <c r="AU35" s="556"/>
    </row>
    <row r="36" spans="1:52" ht="15" customHeight="1">
      <c r="B36" s="530" t="s">
        <v>326</v>
      </c>
      <c r="E36" s="524">
        <f>财务基础数据!J87*目录!$D$6</f>
        <v>0</v>
      </c>
      <c r="F36" s="524">
        <f>财务基础数据!K87*目录!$D$6</f>
        <v>0</v>
      </c>
      <c r="G36" s="524">
        <f>财务基础数据!L87*目录!$D$6</f>
        <v>0</v>
      </c>
      <c r="H36" s="524">
        <f>财务基础数据!M87*目录!$D$6</f>
        <v>0</v>
      </c>
      <c r="I36" s="524">
        <f>财务基础数据!N87*目录!$D$6</f>
        <v>0</v>
      </c>
      <c r="J36" s="524">
        <f>财务基础数据!O87*目录!$D$6</f>
        <v>0</v>
      </c>
      <c r="K36" s="524">
        <f>财务基础数据!P87*目录!$D$6</f>
        <v>0</v>
      </c>
      <c r="L36" s="524">
        <f>财务基础数据!Q87*目录!$D$6</f>
        <v>0</v>
      </c>
      <c r="M36" s="524">
        <f>财务基础数据!R87*目录!$D$6</f>
        <v>0</v>
      </c>
      <c r="N36" s="524">
        <f>财务基础数据!S87*目录!$D$6</f>
        <v>0</v>
      </c>
      <c r="O36" s="524">
        <f>财务基础数据!T87*目录!$D$6</f>
        <v>0</v>
      </c>
      <c r="P36" s="524">
        <f>财务基础数据!U87*目录!$D$6</f>
        <v>0</v>
      </c>
      <c r="Q36" s="524">
        <f>财务基础数据!V87*目录!$D$6</f>
        <v>0</v>
      </c>
      <c r="R36" s="524">
        <f>财务基础数据!W87*目录!$D$6</f>
        <v>0</v>
      </c>
      <c r="S36" s="524">
        <f>财务基础数据!X87*目录!$D$6</f>
        <v>0</v>
      </c>
      <c r="T36" s="524">
        <f>财务基础数据!Y87*目录!$D$6</f>
        <v>0</v>
      </c>
      <c r="U36" s="524">
        <f>财务基础数据!Z87*目录!$D$6</f>
        <v>0</v>
      </c>
      <c r="V36" s="524">
        <f>财务基础数据!AA87*目录!$D$6</f>
        <v>0</v>
      </c>
      <c r="W36" s="524">
        <f>财务基础数据!AB87*目录!$D$6</f>
        <v>0</v>
      </c>
      <c r="X36" s="524">
        <f>财务基础数据!AC87*目录!$D$6</f>
        <v>0</v>
      </c>
      <c r="Y36" s="524">
        <f>财务基础数据!AD87*目录!$D$6</f>
        <v>0</v>
      </c>
      <c r="Z36" s="524">
        <f>财务基础数据!AE87*目录!$D$6</f>
        <v>0</v>
      </c>
      <c r="AA36" s="524">
        <f>财务基础数据!AF87*目录!$D$6</f>
        <v>0</v>
      </c>
      <c r="AB36" s="524">
        <f>财务基础数据!AG87*目录!$D$6</f>
        <v>0</v>
      </c>
      <c r="AC36" s="524">
        <f>财务基础数据!AH87*目录!$D$6</f>
        <v>0</v>
      </c>
      <c r="AD36" s="524">
        <f>财务基础数据!AI87*目录!$D$6</f>
        <v>0</v>
      </c>
      <c r="AE36" s="524">
        <f>财务基础数据!AJ87*目录!$D$6</f>
        <v>0</v>
      </c>
      <c r="AF36" s="524">
        <f>财务基础数据!AK87*目录!$D$6</f>
        <v>0</v>
      </c>
      <c r="AG36" s="524">
        <f>财务基础数据!AL87*目录!$D$6</f>
        <v>0</v>
      </c>
      <c r="AH36" s="198">
        <f>财务基础数据!AM87*目录!$D$6</f>
        <v>0</v>
      </c>
      <c r="AI36" s="198">
        <f>财务基础数据!AN87*目录!$D$6</f>
        <v>0</v>
      </c>
      <c r="AJ36" s="198">
        <f>财务基础数据!AO87*目录!$D$6</f>
        <v>0</v>
      </c>
      <c r="AK36" s="188">
        <f>IF(ISERROR(投资与减值!L63),"—",投资与减值!L63)</f>
        <v>0</v>
      </c>
      <c r="AL36" s="188">
        <f>IF(ISERROR(投资与减值!M63),"—",投资与减值!M63)</f>
        <v>0</v>
      </c>
      <c r="AM36" s="188">
        <f>IF(ISERROR(投资与减值!N63),"—",投资与减值!N63)</f>
        <v>0</v>
      </c>
      <c r="AN36" s="188">
        <f>IF(ISERROR(投资与减值!O63),"—",投资与减值!O63)</f>
        <v>0</v>
      </c>
      <c r="AO36" s="188">
        <f>IF(ISERROR(投资与减值!P63),"—",投资与减值!P63)</f>
        <v>0</v>
      </c>
      <c r="AP36" s="188">
        <f>IF(ISERROR(投资与减值!Q63),"—",投资与减值!Q63)</f>
        <v>0</v>
      </c>
      <c r="AQ36" s="188">
        <f>IF(ISERROR(投资与减值!R63),"—",投资与减值!R63)</f>
        <v>0</v>
      </c>
      <c r="AR36" s="188">
        <f>IF(ISERROR(投资与减值!S63),"—",投资与减值!S63)</f>
        <v>0</v>
      </c>
      <c r="AS36" s="188">
        <f>IF(ISERROR(投资与减值!T63),"—",投资与减值!T63)</f>
        <v>0</v>
      </c>
      <c r="AT36" s="188">
        <f>IF(ISERROR(投资与减值!U63),"—",投资与减值!U63)</f>
        <v>0</v>
      </c>
      <c r="AU36" s="556"/>
    </row>
    <row r="37" spans="1:52" ht="15" customHeight="1">
      <c r="B37" s="530" t="s">
        <v>404</v>
      </c>
      <c r="E37" s="524">
        <f>财务基础数据!J88*目录!$D$6</f>
        <v>0</v>
      </c>
      <c r="F37" s="524">
        <f>财务基础数据!K88*目录!$D$6</f>
        <v>0</v>
      </c>
      <c r="G37" s="524">
        <f>财务基础数据!L88*目录!$D$6</f>
        <v>0</v>
      </c>
      <c r="H37" s="524">
        <f>财务基础数据!M88*目录!$D$6</f>
        <v>0</v>
      </c>
      <c r="I37" s="524">
        <f>财务基础数据!N88*目录!$D$6</f>
        <v>0</v>
      </c>
      <c r="J37" s="524">
        <f>财务基础数据!O88*目录!$D$6</f>
        <v>0</v>
      </c>
      <c r="K37" s="524">
        <f>财务基础数据!P88*目录!$D$6</f>
        <v>0</v>
      </c>
      <c r="L37" s="524">
        <f>财务基础数据!Q88*目录!$D$6</f>
        <v>0</v>
      </c>
      <c r="M37" s="524">
        <f>财务基础数据!R88*目录!$D$6</f>
        <v>0</v>
      </c>
      <c r="N37" s="524">
        <f>财务基础数据!S88*目录!$D$6</f>
        <v>0</v>
      </c>
      <c r="O37" s="524">
        <f>财务基础数据!T88*目录!$D$6</f>
        <v>0</v>
      </c>
      <c r="P37" s="524">
        <f>财务基础数据!U88*目录!$D$6</f>
        <v>0</v>
      </c>
      <c r="Q37" s="524">
        <f>财务基础数据!V88*目录!$D$6</f>
        <v>0</v>
      </c>
      <c r="R37" s="524">
        <f>财务基础数据!W88*目录!$D$6</f>
        <v>0</v>
      </c>
      <c r="S37" s="524">
        <f>财务基础数据!X88*目录!$D$6</f>
        <v>0</v>
      </c>
      <c r="T37" s="524">
        <f>财务基础数据!Y88*目录!$D$6</f>
        <v>0</v>
      </c>
      <c r="U37" s="524">
        <f>财务基础数据!Z88*目录!$D$6</f>
        <v>0</v>
      </c>
      <c r="V37" s="524">
        <f>财务基础数据!AA88*目录!$D$6</f>
        <v>0</v>
      </c>
      <c r="W37" s="524">
        <f>财务基础数据!AB88*目录!$D$6</f>
        <v>0</v>
      </c>
      <c r="X37" s="524">
        <f>财务基础数据!AC88*目录!$D$6</f>
        <v>0</v>
      </c>
      <c r="Y37" s="524">
        <f>财务基础数据!AD88*目录!$D$6</f>
        <v>0</v>
      </c>
      <c r="Z37" s="524">
        <f>财务基础数据!AE88*目录!$D$6</f>
        <v>0</v>
      </c>
      <c r="AA37" s="524">
        <f>财务基础数据!AF88*目录!$D$6</f>
        <v>0</v>
      </c>
      <c r="AB37" s="524">
        <f>财务基础数据!AG88*目录!$D$6</f>
        <v>0</v>
      </c>
      <c r="AC37" s="524">
        <f>财务基础数据!AH88*目录!$D$6</f>
        <v>0</v>
      </c>
      <c r="AD37" s="524">
        <f>财务基础数据!AI88*目录!$D$6</f>
        <v>0</v>
      </c>
      <c r="AE37" s="524">
        <f>财务基础数据!AJ88*目录!$D$6</f>
        <v>0</v>
      </c>
      <c r="AF37" s="524">
        <f>财务基础数据!AK88*目录!$D$6</f>
        <v>0</v>
      </c>
      <c r="AG37" s="524">
        <f>财务基础数据!AL88*目录!$D$6</f>
        <v>0</v>
      </c>
      <c r="AH37" s="198">
        <f>财务基础数据!AM88*目录!$D$6</f>
        <v>0</v>
      </c>
      <c r="AI37" s="198">
        <f>财务基础数据!AN88*目录!$D$6</f>
        <v>0</v>
      </c>
      <c r="AJ37" s="198">
        <f>财务基础数据!AO88*目录!$D$6</f>
        <v>0</v>
      </c>
      <c r="AK37" s="548">
        <f>IF(财务基础数据!$AM$4=0,AG37,IF(财务基础数据!$AM$4=1,AH37,IF(财务基础数据!$AM$4=2,AI37,AJ37)))</f>
        <v>0</v>
      </c>
      <c r="AL37" s="548">
        <f>AK37</f>
        <v>0</v>
      </c>
      <c r="AM37" s="548">
        <f t="shared" ref="AM37:AT37" si="5">AL37</f>
        <v>0</v>
      </c>
      <c r="AN37" s="548">
        <f t="shared" si="5"/>
        <v>0</v>
      </c>
      <c r="AO37" s="548">
        <f t="shared" si="5"/>
        <v>0</v>
      </c>
      <c r="AP37" s="548">
        <f t="shared" si="5"/>
        <v>0</v>
      </c>
      <c r="AQ37" s="548">
        <f t="shared" si="5"/>
        <v>0</v>
      </c>
      <c r="AR37" s="548">
        <f t="shared" si="5"/>
        <v>0</v>
      </c>
      <c r="AS37" s="548">
        <f t="shared" si="5"/>
        <v>0</v>
      </c>
      <c r="AT37" s="548">
        <f t="shared" si="5"/>
        <v>0</v>
      </c>
      <c r="AU37" s="556"/>
    </row>
    <row r="38" spans="1:52" ht="15" customHeight="1">
      <c r="B38" s="530" t="s">
        <v>327</v>
      </c>
      <c r="E38" s="524">
        <f>财务基础数据!J89*目录!$D$6</f>
        <v>0</v>
      </c>
      <c r="F38" s="524">
        <f>财务基础数据!K89*目录!$D$6</f>
        <v>0</v>
      </c>
      <c r="G38" s="524">
        <f>财务基础数据!L89*目录!$D$6</f>
        <v>0</v>
      </c>
      <c r="H38" s="524">
        <f>财务基础数据!M89*目录!$D$6</f>
        <v>0</v>
      </c>
      <c r="I38" s="524">
        <f>财务基础数据!N89*目录!$D$6</f>
        <v>0</v>
      </c>
      <c r="J38" s="524">
        <f>财务基础数据!O89*目录!$D$6</f>
        <v>0</v>
      </c>
      <c r="K38" s="524">
        <f>财务基础数据!P89*目录!$D$6</f>
        <v>0</v>
      </c>
      <c r="L38" s="524">
        <f>财务基础数据!Q89*目录!$D$6</f>
        <v>0</v>
      </c>
      <c r="M38" s="524">
        <f>财务基础数据!R89*目录!$D$6</f>
        <v>0</v>
      </c>
      <c r="N38" s="524">
        <f>财务基础数据!S89*目录!$D$6</f>
        <v>0</v>
      </c>
      <c r="O38" s="524">
        <f>财务基础数据!T89*目录!$D$6</f>
        <v>0</v>
      </c>
      <c r="P38" s="524">
        <f>财务基础数据!U89*目录!$D$6</f>
        <v>0</v>
      </c>
      <c r="Q38" s="524">
        <f>财务基础数据!V89*目录!$D$6</f>
        <v>0</v>
      </c>
      <c r="R38" s="524">
        <f>财务基础数据!W89*目录!$D$6</f>
        <v>0</v>
      </c>
      <c r="S38" s="524">
        <f>财务基础数据!X89*目录!$D$6</f>
        <v>0</v>
      </c>
      <c r="T38" s="524">
        <f>财务基础数据!Y89*目录!$D$6</f>
        <v>0</v>
      </c>
      <c r="U38" s="524">
        <f>财务基础数据!Z89*目录!$D$6</f>
        <v>0</v>
      </c>
      <c r="V38" s="524">
        <f>财务基础数据!AA89*目录!$D$6</f>
        <v>0</v>
      </c>
      <c r="W38" s="524">
        <f>财务基础数据!AB89*目录!$D$6</f>
        <v>0</v>
      </c>
      <c r="X38" s="524">
        <f>财务基础数据!AC89*目录!$D$6</f>
        <v>0</v>
      </c>
      <c r="Y38" s="524">
        <f>财务基础数据!AD89*目录!$D$6</f>
        <v>0</v>
      </c>
      <c r="Z38" s="524">
        <f>财务基础数据!AE89*目录!$D$6</f>
        <v>0</v>
      </c>
      <c r="AA38" s="524">
        <f>财务基础数据!AF89*目录!$D$6</f>
        <v>0</v>
      </c>
      <c r="AB38" s="524">
        <f>财务基础数据!AG89*目录!$D$6</f>
        <v>0</v>
      </c>
      <c r="AC38" s="524">
        <f>财务基础数据!AH89*目录!$D$6</f>
        <v>0</v>
      </c>
      <c r="AD38" s="524">
        <f>财务基础数据!AI89*目录!$D$6</f>
        <v>0</v>
      </c>
      <c r="AE38" s="524">
        <f>财务基础数据!AJ89*目录!$D$6</f>
        <v>0</v>
      </c>
      <c r="AF38" s="524">
        <f>财务基础数据!AK89*目录!$D$6</f>
        <v>0</v>
      </c>
      <c r="AG38" s="524">
        <f>财务基础数据!AL89*目录!$D$6</f>
        <v>0</v>
      </c>
      <c r="AH38" s="198">
        <f>财务基础数据!AM89*目录!$D$6</f>
        <v>0</v>
      </c>
      <c r="AI38" s="198">
        <f>财务基础数据!AN89*目录!$D$6</f>
        <v>0</v>
      </c>
      <c r="AJ38" s="198">
        <f>财务基础数据!AO89*目录!$D$6</f>
        <v>0</v>
      </c>
      <c r="AK38" s="188">
        <f>IF(ISERROR(投资与减值!L83),"—",投资与减值!L83)</f>
        <v>0</v>
      </c>
      <c r="AL38" s="188">
        <f>IF(ISERROR(投资与减值!M83),"—",投资与减值!M83)</f>
        <v>0</v>
      </c>
      <c r="AM38" s="188">
        <f>IF(ISERROR(投资与减值!N83),"—",投资与减值!N83)</f>
        <v>0</v>
      </c>
      <c r="AN38" s="188">
        <f>IF(ISERROR(投资与减值!O83),"—",投资与减值!O83)</f>
        <v>0</v>
      </c>
      <c r="AO38" s="188">
        <f>IF(ISERROR(投资与减值!P83),"—",投资与减值!P83)</f>
        <v>0</v>
      </c>
      <c r="AP38" s="188">
        <f>IF(ISERROR(投资与减值!Q83),"—",投资与减值!Q83)</f>
        <v>0</v>
      </c>
      <c r="AQ38" s="188">
        <f>IF(ISERROR(投资与减值!R83),"—",投资与减值!R83)</f>
        <v>0</v>
      </c>
      <c r="AR38" s="188">
        <f>IF(ISERROR(投资与减值!S83),"—",投资与减值!S83)</f>
        <v>0</v>
      </c>
      <c r="AS38" s="188">
        <f>IF(ISERROR(投资与减值!T83),"—",投资与减值!T83)</f>
        <v>0</v>
      </c>
      <c r="AT38" s="188">
        <f>IF(ISERROR(投资与减值!U83),"—",投资与减值!U83)</f>
        <v>0</v>
      </c>
      <c r="AU38" s="556"/>
    </row>
    <row r="39" spans="1:52" ht="15" customHeight="1">
      <c r="B39" s="530" t="s">
        <v>151</v>
      </c>
      <c r="C39" s="162"/>
      <c r="D39" s="527"/>
      <c r="E39" s="524">
        <f>财务基础数据!J90*目录!$D$6</f>
        <v>0</v>
      </c>
      <c r="F39" s="524">
        <f>财务基础数据!K90*目录!$D$6</f>
        <v>0</v>
      </c>
      <c r="G39" s="524">
        <f>财务基础数据!L90*目录!$D$6</f>
        <v>0</v>
      </c>
      <c r="H39" s="524">
        <f>财务基础数据!M90*目录!$D$6</f>
        <v>0</v>
      </c>
      <c r="I39" s="524">
        <f>财务基础数据!N90*目录!$D$6</f>
        <v>0</v>
      </c>
      <c r="J39" s="524">
        <f>财务基础数据!O90*目录!$D$6</f>
        <v>0</v>
      </c>
      <c r="K39" s="524">
        <f>财务基础数据!P90*目录!$D$6</f>
        <v>0</v>
      </c>
      <c r="L39" s="524">
        <f>财务基础数据!Q90*目录!$D$6</f>
        <v>0</v>
      </c>
      <c r="M39" s="524">
        <f>财务基础数据!R90*目录!$D$6</f>
        <v>0</v>
      </c>
      <c r="N39" s="524">
        <f>财务基础数据!S90*目录!$D$6</f>
        <v>0</v>
      </c>
      <c r="O39" s="524">
        <f>财务基础数据!T90*目录!$D$6</f>
        <v>0</v>
      </c>
      <c r="P39" s="524">
        <f>财务基础数据!U90*目录!$D$6</f>
        <v>0</v>
      </c>
      <c r="Q39" s="524">
        <f>财务基础数据!V90*目录!$D$6</f>
        <v>0</v>
      </c>
      <c r="R39" s="524">
        <f>财务基础数据!W90*目录!$D$6</f>
        <v>0</v>
      </c>
      <c r="S39" s="524">
        <f>财务基础数据!X90*目录!$D$6</f>
        <v>0</v>
      </c>
      <c r="T39" s="524">
        <f>财务基础数据!Y90*目录!$D$6</f>
        <v>0</v>
      </c>
      <c r="U39" s="524">
        <f>财务基础数据!Z90*目录!$D$6</f>
        <v>0</v>
      </c>
      <c r="V39" s="524">
        <f>财务基础数据!AA90*目录!$D$6</f>
        <v>0</v>
      </c>
      <c r="W39" s="524">
        <f>财务基础数据!AB90*目录!$D$6</f>
        <v>0</v>
      </c>
      <c r="X39" s="524">
        <f>财务基础数据!AC90*目录!$D$6</f>
        <v>0</v>
      </c>
      <c r="Y39" s="524">
        <f>财务基础数据!AD90*目录!$D$6</f>
        <v>0</v>
      </c>
      <c r="Z39" s="524">
        <f>财务基础数据!AE90*目录!$D$6</f>
        <v>0</v>
      </c>
      <c r="AA39" s="524">
        <f>财务基础数据!AF90*目录!$D$6</f>
        <v>0</v>
      </c>
      <c r="AB39" s="524">
        <f>财务基础数据!AG90*目录!$D$6</f>
        <v>0</v>
      </c>
      <c r="AC39" s="524">
        <f>财务基础数据!AH90*目录!$D$6</f>
        <v>0</v>
      </c>
      <c r="AD39" s="524">
        <f>财务基础数据!AI90*目录!$D$6</f>
        <v>0</v>
      </c>
      <c r="AE39" s="524">
        <f>财务基础数据!AJ90*目录!$D$6</f>
        <v>0</v>
      </c>
      <c r="AF39" s="524">
        <f>财务基础数据!AK90*目录!$D$6</f>
        <v>0</v>
      </c>
      <c r="AG39" s="524">
        <f>财务基础数据!AL90*目录!$D$6</f>
        <v>0</v>
      </c>
      <c r="AH39" s="198">
        <f>财务基础数据!AM90*目录!$D$6</f>
        <v>0</v>
      </c>
      <c r="AI39" s="198">
        <f>财务基础数据!AN90*目录!$D$6</f>
        <v>0</v>
      </c>
      <c r="AJ39" s="198">
        <f>财务基础数据!AO90*目录!$D$6</f>
        <v>0</v>
      </c>
      <c r="AK39" s="188">
        <f>IF(ISERROR(资产预测!L115),"—",资产预测!L115)</f>
        <v>0</v>
      </c>
      <c r="AL39" s="188">
        <f>IF(ISERROR(资产预测!M115),"—",资产预测!M115)</f>
        <v>0</v>
      </c>
      <c r="AM39" s="188">
        <f>IF(ISERROR(资产预测!N115),"—",资产预测!N115)</f>
        <v>0</v>
      </c>
      <c r="AN39" s="188">
        <f>IF(ISERROR(资产预测!O115),"—",资产预测!O115)</f>
        <v>0</v>
      </c>
      <c r="AO39" s="188">
        <f>IF(ISERROR(资产预测!P115),"—",资产预测!P115)</f>
        <v>0</v>
      </c>
      <c r="AP39" s="188">
        <f>IF(ISERROR(资产预测!Q115),"—",资产预测!Q115)</f>
        <v>0</v>
      </c>
      <c r="AQ39" s="188">
        <f>IF(ISERROR(资产预测!R115),"—",资产预测!R115)</f>
        <v>0</v>
      </c>
      <c r="AR39" s="188">
        <f>IF(ISERROR(资产预测!S115),"—",资产预测!S115)</f>
        <v>0</v>
      </c>
      <c r="AS39" s="188">
        <f>IF(ISERROR(资产预测!T115),"—",资产预测!T115)</f>
        <v>0</v>
      </c>
      <c r="AT39" s="188">
        <f>IF(ISERROR(资产预测!U115),"—",资产预测!U115)</f>
        <v>0</v>
      </c>
      <c r="AU39" s="556"/>
    </row>
    <row r="40" spans="1:52" ht="15" customHeight="1">
      <c r="B40" s="530" t="s">
        <v>405</v>
      </c>
      <c r="E40" s="524">
        <f>财务基础数据!J92*目录!$D$6</f>
        <v>0</v>
      </c>
      <c r="F40" s="524">
        <f>(财务基础数据!K92)*目录!$D$6</f>
        <v>0</v>
      </c>
      <c r="G40" s="524">
        <f>(财务基础数据!L92)*目录!$D$6</f>
        <v>0</v>
      </c>
      <c r="H40" s="524">
        <f>(财务基础数据!M92)*目录!$D$6</f>
        <v>0</v>
      </c>
      <c r="I40" s="524">
        <f>(财务基础数据!N92)*目录!$D$6</f>
        <v>0</v>
      </c>
      <c r="J40" s="524">
        <f>(财务基础数据!O92)*目录!$D$6</f>
        <v>0</v>
      </c>
      <c r="K40" s="524">
        <f>(财务基础数据!P92)*目录!$D$6</f>
        <v>0</v>
      </c>
      <c r="L40" s="524">
        <f>(财务基础数据!Q92)*目录!$D$6</f>
        <v>0</v>
      </c>
      <c r="M40" s="524">
        <f>(财务基础数据!R92)*目录!$D$6</f>
        <v>0</v>
      </c>
      <c r="N40" s="524">
        <f>(财务基础数据!S92)*目录!$D$6</f>
        <v>0</v>
      </c>
      <c r="O40" s="524">
        <f>(财务基础数据!T92)*目录!$D$6</f>
        <v>0</v>
      </c>
      <c r="P40" s="524">
        <f>(财务基础数据!U92)*目录!$D$6</f>
        <v>0</v>
      </c>
      <c r="Q40" s="524">
        <f>(财务基础数据!V92)*目录!$D$6</f>
        <v>0</v>
      </c>
      <c r="R40" s="524">
        <f>(财务基础数据!W92)*目录!$D$6</f>
        <v>0</v>
      </c>
      <c r="S40" s="524">
        <f>(财务基础数据!X92)*目录!$D$6</f>
        <v>0</v>
      </c>
      <c r="T40" s="524">
        <f>(财务基础数据!Y92)*目录!$D$6</f>
        <v>0</v>
      </c>
      <c r="U40" s="524">
        <f>(财务基础数据!Z92)*目录!$D$6</f>
        <v>0</v>
      </c>
      <c r="V40" s="524">
        <f>(财务基础数据!AA92)*目录!$D$6</f>
        <v>0</v>
      </c>
      <c r="W40" s="524">
        <f>(财务基础数据!AB92)*目录!$D$6</f>
        <v>0</v>
      </c>
      <c r="X40" s="524">
        <f>(财务基础数据!AC92)*目录!$D$6</f>
        <v>0</v>
      </c>
      <c r="Y40" s="524">
        <f>(财务基础数据!AD92)*目录!$D$6</f>
        <v>0</v>
      </c>
      <c r="Z40" s="524">
        <f>(财务基础数据!AE92)*目录!$D$6</f>
        <v>0</v>
      </c>
      <c r="AA40" s="524">
        <f>(财务基础数据!AF92)*目录!$D$6</f>
        <v>0</v>
      </c>
      <c r="AB40" s="524">
        <f>(财务基础数据!AG92)*目录!$D$6</f>
        <v>0</v>
      </c>
      <c r="AC40" s="524">
        <f>(财务基础数据!AH92)*目录!$D$6</f>
        <v>0</v>
      </c>
      <c r="AD40" s="524">
        <f>(财务基础数据!AI92)*目录!$D$6</f>
        <v>0</v>
      </c>
      <c r="AE40" s="524">
        <f>(财务基础数据!AJ92)*目录!$D$6</f>
        <v>0</v>
      </c>
      <c r="AF40" s="524">
        <f>(财务基础数据!AK92)*目录!$D$6</f>
        <v>0</v>
      </c>
      <c r="AG40" s="524">
        <f>(财务基础数据!AL92)*目录!$D$6</f>
        <v>0</v>
      </c>
      <c r="AH40" s="524">
        <f>(财务基础数据!AM92)*目录!$D$6</f>
        <v>0</v>
      </c>
      <c r="AI40" s="524">
        <f>(财务基础数据!AN92)*目录!$D$6</f>
        <v>0</v>
      </c>
      <c r="AJ40" s="524">
        <f>(财务基础数据!AO92)*目录!$D$6</f>
        <v>0</v>
      </c>
      <c r="AK40" s="548">
        <f>IF(财务基础数据!$AM$4=0,AG40,IF(财务基础数据!$AM$4=1,AH40,IF(财务基础数据!$AM$4=2,AI40,AJ40)))</f>
        <v>0</v>
      </c>
      <c r="AL40" s="548">
        <f t="shared" ref="AL40:AT40" si="6">AK40</f>
        <v>0</v>
      </c>
      <c r="AM40" s="548">
        <f t="shared" si="6"/>
        <v>0</v>
      </c>
      <c r="AN40" s="548">
        <f t="shared" si="6"/>
        <v>0</v>
      </c>
      <c r="AO40" s="548">
        <f t="shared" si="6"/>
        <v>0</v>
      </c>
      <c r="AP40" s="548">
        <f t="shared" si="6"/>
        <v>0</v>
      </c>
      <c r="AQ40" s="548">
        <f t="shared" si="6"/>
        <v>0</v>
      </c>
      <c r="AR40" s="548">
        <f t="shared" si="6"/>
        <v>0</v>
      </c>
      <c r="AS40" s="548">
        <f t="shared" si="6"/>
        <v>0</v>
      </c>
      <c r="AT40" s="548">
        <f t="shared" si="6"/>
        <v>0</v>
      </c>
      <c r="AU40" s="556"/>
    </row>
    <row r="41" spans="1:52" ht="15" customHeight="1">
      <c r="A41" s="161"/>
      <c r="B41" s="77" t="s">
        <v>328</v>
      </c>
      <c r="C41" s="186"/>
      <c r="D41" s="526"/>
      <c r="E41" s="531">
        <f>E42-SUM(E24:E40)</f>
        <v>0</v>
      </c>
      <c r="F41" s="531">
        <f t="shared" ref="F41:AJ41" si="7">F42-SUM(F24:F40)</f>
        <v>0</v>
      </c>
      <c r="G41" s="531">
        <f t="shared" si="7"/>
        <v>0</v>
      </c>
      <c r="H41" s="531">
        <f t="shared" si="7"/>
        <v>0</v>
      </c>
      <c r="I41" s="531">
        <f t="shared" si="7"/>
        <v>0</v>
      </c>
      <c r="J41" s="531">
        <f t="shared" si="7"/>
        <v>0</v>
      </c>
      <c r="K41" s="531">
        <f t="shared" si="7"/>
        <v>0</v>
      </c>
      <c r="L41" s="531">
        <f t="shared" si="7"/>
        <v>0</v>
      </c>
      <c r="M41" s="531">
        <f t="shared" si="7"/>
        <v>0</v>
      </c>
      <c r="N41" s="531">
        <f t="shared" si="7"/>
        <v>0</v>
      </c>
      <c r="O41" s="531">
        <f t="shared" si="7"/>
        <v>0</v>
      </c>
      <c r="P41" s="531">
        <f t="shared" si="7"/>
        <v>0</v>
      </c>
      <c r="Q41" s="531">
        <f t="shared" si="7"/>
        <v>0</v>
      </c>
      <c r="R41" s="531">
        <f t="shared" si="7"/>
        <v>0</v>
      </c>
      <c r="S41" s="531">
        <f t="shared" si="7"/>
        <v>0</v>
      </c>
      <c r="T41" s="531">
        <f t="shared" si="7"/>
        <v>0</v>
      </c>
      <c r="U41" s="531">
        <f t="shared" si="7"/>
        <v>0</v>
      </c>
      <c r="V41" s="531">
        <f t="shared" si="7"/>
        <v>0</v>
      </c>
      <c r="W41" s="531">
        <f t="shared" si="7"/>
        <v>0</v>
      </c>
      <c r="X41" s="531">
        <f t="shared" si="7"/>
        <v>0</v>
      </c>
      <c r="Y41" s="531">
        <f t="shared" si="7"/>
        <v>0</v>
      </c>
      <c r="Z41" s="531">
        <f t="shared" si="7"/>
        <v>0</v>
      </c>
      <c r="AA41" s="531">
        <f t="shared" si="7"/>
        <v>0</v>
      </c>
      <c r="AB41" s="531">
        <f t="shared" si="7"/>
        <v>0</v>
      </c>
      <c r="AC41" s="531">
        <f t="shared" si="7"/>
        <v>0</v>
      </c>
      <c r="AD41" s="531">
        <f t="shared" si="7"/>
        <v>0</v>
      </c>
      <c r="AE41" s="531">
        <f t="shared" si="7"/>
        <v>0</v>
      </c>
      <c r="AF41" s="531">
        <f t="shared" si="7"/>
        <v>0</v>
      </c>
      <c r="AG41" s="531">
        <f t="shared" si="7"/>
        <v>0</v>
      </c>
      <c r="AH41" s="531">
        <f t="shared" si="7"/>
        <v>0</v>
      </c>
      <c r="AI41" s="531">
        <f t="shared" si="7"/>
        <v>0</v>
      </c>
      <c r="AJ41" s="531">
        <f t="shared" si="7"/>
        <v>0</v>
      </c>
      <c r="AK41" s="550">
        <f>IF(财务基础数据!$AM$4=0,AG41,IF(财务基础数据!$AM$4=1,AH41,IF(财务基础数据!$AM$4=2,AI41,AJ41)))</f>
        <v>0</v>
      </c>
      <c r="AL41" s="550">
        <f t="shared" ref="AL41:AT41" si="8">AK41</f>
        <v>0</v>
      </c>
      <c r="AM41" s="550">
        <f t="shared" si="8"/>
        <v>0</v>
      </c>
      <c r="AN41" s="550">
        <f t="shared" si="8"/>
        <v>0</v>
      </c>
      <c r="AO41" s="550">
        <f t="shared" si="8"/>
        <v>0</v>
      </c>
      <c r="AP41" s="550">
        <f t="shared" si="8"/>
        <v>0</v>
      </c>
      <c r="AQ41" s="550">
        <f t="shared" si="8"/>
        <v>0</v>
      </c>
      <c r="AR41" s="550">
        <f t="shared" si="8"/>
        <v>0</v>
      </c>
      <c r="AS41" s="550">
        <f t="shared" si="8"/>
        <v>0</v>
      </c>
      <c r="AT41" s="550">
        <f t="shared" si="8"/>
        <v>0</v>
      </c>
      <c r="AU41" s="556"/>
    </row>
    <row r="42" spans="1:52" ht="15" customHeight="1">
      <c r="B42" s="131" t="s">
        <v>406</v>
      </c>
      <c r="C42" s="162"/>
      <c r="D42" s="527"/>
      <c r="E42" s="306">
        <f>财务基础数据!J94*目录!$D$6</f>
        <v>0</v>
      </c>
      <c r="F42" s="306">
        <f>财务基础数据!K94*目录!$D$6</f>
        <v>0</v>
      </c>
      <c r="G42" s="306">
        <f>财务基础数据!L94*目录!$D$6</f>
        <v>0</v>
      </c>
      <c r="H42" s="306">
        <f>财务基础数据!M94*目录!$D$6</f>
        <v>0</v>
      </c>
      <c r="I42" s="306">
        <f>财务基础数据!N94*目录!$D$6</f>
        <v>0</v>
      </c>
      <c r="J42" s="306">
        <f>财务基础数据!O94*目录!$D$6</f>
        <v>0</v>
      </c>
      <c r="K42" s="306">
        <f>财务基础数据!P94*目录!$D$6</f>
        <v>0</v>
      </c>
      <c r="L42" s="306">
        <f>财务基础数据!Q94*目录!$D$6</f>
        <v>0</v>
      </c>
      <c r="M42" s="306">
        <f>财务基础数据!R94*目录!$D$6</f>
        <v>0</v>
      </c>
      <c r="N42" s="306">
        <f>财务基础数据!S94*目录!$D$6</f>
        <v>0</v>
      </c>
      <c r="O42" s="306">
        <f>财务基础数据!T94*目录!$D$6</f>
        <v>0</v>
      </c>
      <c r="P42" s="306">
        <f>财务基础数据!U94*目录!$D$6</f>
        <v>0</v>
      </c>
      <c r="Q42" s="306">
        <f>财务基础数据!V94*目录!$D$6</f>
        <v>0</v>
      </c>
      <c r="R42" s="306">
        <f>财务基础数据!W94*目录!$D$6</f>
        <v>0</v>
      </c>
      <c r="S42" s="306">
        <f>财务基础数据!X94*目录!$D$6</f>
        <v>0</v>
      </c>
      <c r="T42" s="306">
        <f>财务基础数据!Y94*目录!$D$6</f>
        <v>0</v>
      </c>
      <c r="U42" s="306">
        <f>财务基础数据!Z94*目录!$D$6</f>
        <v>0</v>
      </c>
      <c r="V42" s="306">
        <f>财务基础数据!AA94*目录!$D$6</f>
        <v>0</v>
      </c>
      <c r="W42" s="306">
        <f>财务基础数据!AB94*目录!$D$6</f>
        <v>0</v>
      </c>
      <c r="X42" s="306">
        <f>财务基础数据!AC94*目录!$D$6</f>
        <v>0</v>
      </c>
      <c r="Y42" s="306">
        <f>财务基础数据!AD94*目录!$D$6</f>
        <v>0</v>
      </c>
      <c r="Z42" s="306">
        <f>财务基础数据!AE94*目录!$D$6</f>
        <v>0</v>
      </c>
      <c r="AA42" s="306">
        <f>财务基础数据!AF94*目录!$D$6</f>
        <v>0</v>
      </c>
      <c r="AB42" s="306">
        <f>财务基础数据!AG94*目录!$D$6</f>
        <v>0</v>
      </c>
      <c r="AC42" s="306">
        <f>财务基础数据!AH94*目录!$D$6</f>
        <v>0</v>
      </c>
      <c r="AD42" s="306">
        <f>财务基础数据!AI94*目录!$D$6</f>
        <v>0</v>
      </c>
      <c r="AE42" s="306">
        <f>财务基础数据!AJ94*目录!$D$6</f>
        <v>0</v>
      </c>
      <c r="AF42" s="306">
        <f>财务基础数据!AK94*目录!$D$6</f>
        <v>0</v>
      </c>
      <c r="AG42" s="306">
        <f>财务基础数据!AL94*目录!$D$6</f>
        <v>0</v>
      </c>
      <c r="AH42" s="306">
        <f>财务基础数据!AM94*目录!$D$6</f>
        <v>0</v>
      </c>
      <c r="AI42" s="306">
        <f>财务基础数据!AN94*目录!$D$6</f>
        <v>0</v>
      </c>
      <c r="AJ42" s="306">
        <f>财务基础数据!AO94*目录!$D$6</f>
        <v>0</v>
      </c>
      <c r="AK42" s="114">
        <f>SUM(AK24:AK41)</f>
        <v>0</v>
      </c>
      <c r="AL42" s="114">
        <f t="shared" ref="AL42:AT42" si="9">SUM(AL24:AL41)</f>
        <v>0</v>
      </c>
      <c r="AM42" s="114">
        <f t="shared" si="9"/>
        <v>0</v>
      </c>
      <c r="AN42" s="114">
        <f t="shared" si="9"/>
        <v>0</v>
      </c>
      <c r="AO42" s="114">
        <f t="shared" si="9"/>
        <v>0</v>
      </c>
      <c r="AP42" s="114">
        <f t="shared" si="9"/>
        <v>0</v>
      </c>
      <c r="AQ42" s="114">
        <f t="shared" si="9"/>
        <v>0</v>
      </c>
      <c r="AR42" s="114">
        <f t="shared" si="9"/>
        <v>0</v>
      </c>
      <c r="AS42" s="114">
        <f t="shared" si="9"/>
        <v>0</v>
      </c>
      <c r="AT42" s="114">
        <f t="shared" si="9"/>
        <v>0</v>
      </c>
      <c r="AU42" s="556"/>
    </row>
    <row r="43" spans="1:52" s="511" customFormat="1" ht="15" customHeight="1">
      <c r="B43" s="310"/>
      <c r="C43" s="532"/>
      <c r="D43" s="533"/>
      <c r="E43" s="529"/>
      <c r="F43" s="529"/>
      <c r="G43" s="529"/>
      <c r="H43" s="529"/>
      <c r="I43" s="529"/>
      <c r="J43" s="529"/>
      <c r="K43" s="529"/>
      <c r="L43" s="529"/>
      <c r="M43" s="529"/>
      <c r="N43" s="529"/>
      <c r="O43" s="529"/>
      <c r="P43" s="529"/>
      <c r="Q43" s="529"/>
      <c r="R43" s="529"/>
      <c r="S43" s="529"/>
      <c r="T43" s="545"/>
      <c r="U43" s="529"/>
      <c r="V43" s="529"/>
      <c r="W43" s="529"/>
      <c r="X43" s="529"/>
      <c r="Y43" s="529"/>
      <c r="Z43" s="529"/>
      <c r="AA43" s="529"/>
      <c r="AB43" s="529"/>
      <c r="AC43" s="529"/>
      <c r="AD43" s="529"/>
      <c r="AE43" s="529"/>
      <c r="AF43" s="529"/>
      <c r="AG43" s="529"/>
      <c r="AH43" s="545"/>
      <c r="AI43" s="545"/>
      <c r="AJ43" s="545"/>
      <c r="AK43" s="551"/>
      <c r="AL43" s="551"/>
      <c r="AM43" s="551"/>
      <c r="AN43" s="551"/>
      <c r="AO43" s="551"/>
      <c r="AP43" s="551"/>
      <c r="AQ43" s="551"/>
      <c r="AR43" s="551"/>
      <c r="AS43" s="551"/>
      <c r="AT43" s="551"/>
      <c r="AU43" s="556"/>
    </row>
    <row r="44" spans="1:52" ht="15" customHeight="1">
      <c r="E44" s="524"/>
      <c r="F44" s="524"/>
      <c r="G44" s="524"/>
      <c r="H44" s="524"/>
      <c r="I44" s="524"/>
      <c r="J44" s="524"/>
      <c r="K44" s="524"/>
      <c r="L44" s="524"/>
      <c r="M44" s="524"/>
      <c r="N44" s="524"/>
      <c r="O44" s="524"/>
      <c r="P44" s="524"/>
      <c r="Q44" s="524"/>
      <c r="R44" s="524"/>
      <c r="S44" s="524"/>
      <c r="T44" s="524"/>
      <c r="U44" s="524"/>
      <c r="V44" s="524"/>
      <c r="W44" s="524"/>
      <c r="X44" s="524"/>
      <c r="Y44" s="524"/>
      <c r="Z44" s="524"/>
      <c r="AA44" s="524"/>
      <c r="AB44" s="524"/>
      <c r="AC44" s="524"/>
      <c r="AD44" s="524"/>
      <c r="AE44" s="524"/>
      <c r="AF44" s="524"/>
      <c r="AG44" s="524"/>
      <c r="AH44" s="198"/>
      <c r="AI44" s="198"/>
      <c r="AJ44" s="198"/>
      <c r="AK44" s="524"/>
      <c r="AL44" s="524"/>
      <c r="AM44" s="524"/>
      <c r="AN44" s="524"/>
      <c r="AO44" s="524"/>
      <c r="AP44" s="524"/>
      <c r="AQ44" s="524"/>
      <c r="AR44" s="524"/>
      <c r="AS44" s="524"/>
      <c r="AT44" s="524"/>
      <c r="AU44" s="556"/>
    </row>
    <row r="45" spans="1:52" s="161" customFormat="1" ht="15" customHeight="1">
      <c r="A45" s="96"/>
      <c r="B45" s="534" t="s">
        <v>407</v>
      </c>
      <c r="C45" s="519"/>
      <c r="D45" s="520"/>
      <c r="E45" s="535">
        <f t="shared" ref="E45:AJ45" si="10">IF(ISERROR(E21+E42),"—",E21+E42)</f>
        <v>0</v>
      </c>
      <c r="F45" s="535">
        <f t="shared" si="10"/>
        <v>0</v>
      </c>
      <c r="G45" s="535">
        <f t="shared" si="10"/>
        <v>0</v>
      </c>
      <c r="H45" s="535">
        <f t="shared" si="10"/>
        <v>0</v>
      </c>
      <c r="I45" s="535">
        <f t="shared" si="10"/>
        <v>0</v>
      </c>
      <c r="J45" s="535">
        <f t="shared" si="10"/>
        <v>0</v>
      </c>
      <c r="K45" s="535">
        <f t="shared" si="10"/>
        <v>0</v>
      </c>
      <c r="L45" s="535">
        <f t="shared" si="10"/>
        <v>0</v>
      </c>
      <c r="M45" s="535">
        <f t="shared" si="10"/>
        <v>0</v>
      </c>
      <c r="N45" s="535">
        <f t="shared" si="10"/>
        <v>0</v>
      </c>
      <c r="O45" s="535">
        <f t="shared" si="10"/>
        <v>0</v>
      </c>
      <c r="P45" s="535">
        <f t="shared" si="10"/>
        <v>0</v>
      </c>
      <c r="Q45" s="535">
        <f t="shared" si="10"/>
        <v>0</v>
      </c>
      <c r="R45" s="535">
        <f t="shared" si="10"/>
        <v>0</v>
      </c>
      <c r="S45" s="535">
        <f t="shared" si="10"/>
        <v>0</v>
      </c>
      <c r="T45" s="535">
        <f t="shared" si="10"/>
        <v>0</v>
      </c>
      <c r="U45" s="535">
        <f t="shared" si="10"/>
        <v>0</v>
      </c>
      <c r="V45" s="535">
        <f t="shared" si="10"/>
        <v>0</v>
      </c>
      <c r="W45" s="535">
        <f t="shared" si="10"/>
        <v>0</v>
      </c>
      <c r="X45" s="535">
        <f t="shared" si="10"/>
        <v>0</v>
      </c>
      <c r="Y45" s="535">
        <f t="shared" si="10"/>
        <v>0</v>
      </c>
      <c r="Z45" s="535">
        <f t="shared" si="10"/>
        <v>0</v>
      </c>
      <c r="AA45" s="535">
        <f t="shared" si="10"/>
        <v>0</v>
      </c>
      <c r="AB45" s="535">
        <f t="shared" si="10"/>
        <v>0</v>
      </c>
      <c r="AC45" s="535">
        <f t="shared" si="10"/>
        <v>0</v>
      </c>
      <c r="AD45" s="535">
        <f t="shared" si="10"/>
        <v>0</v>
      </c>
      <c r="AE45" s="535">
        <f t="shared" si="10"/>
        <v>0</v>
      </c>
      <c r="AF45" s="535">
        <f t="shared" si="10"/>
        <v>0</v>
      </c>
      <c r="AG45" s="535">
        <f t="shared" si="10"/>
        <v>0</v>
      </c>
      <c r="AH45" s="535">
        <f t="shared" si="10"/>
        <v>0</v>
      </c>
      <c r="AI45" s="535">
        <f t="shared" si="10"/>
        <v>0</v>
      </c>
      <c r="AJ45" s="535">
        <f t="shared" si="10"/>
        <v>0</v>
      </c>
      <c r="AK45" s="535">
        <f t="shared" ref="AK45:AT45" si="11">IF(ISERROR(AK21+AK42),"—",AK21+AK42)</f>
        <v>0</v>
      </c>
      <c r="AL45" s="535">
        <f t="shared" si="11"/>
        <v>0</v>
      </c>
      <c r="AM45" s="535">
        <f t="shared" si="11"/>
        <v>0</v>
      </c>
      <c r="AN45" s="535">
        <f t="shared" si="11"/>
        <v>0</v>
      </c>
      <c r="AO45" s="535">
        <f t="shared" si="11"/>
        <v>0</v>
      </c>
      <c r="AP45" s="535">
        <f t="shared" si="11"/>
        <v>0</v>
      </c>
      <c r="AQ45" s="535">
        <f t="shared" si="11"/>
        <v>0</v>
      </c>
      <c r="AR45" s="535">
        <f t="shared" si="11"/>
        <v>0</v>
      </c>
      <c r="AS45" s="535">
        <f t="shared" si="11"/>
        <v>0</v>
      </c>
      <c r="AT45" s="535">
        <f t="shared" si="11"/>
        <v>0</v>
      </c>
      <c r="AU45" s="556"/>
    </row>
    <row r="46" spans="1:52" s="161" customFormat="1" ht="15" customHeight="1">
      <c r="A46" s="96"/>
      <c r="B46" s="162"/>
      <c r="C46" s="97"/>
      <c r="D46" s="514"/>
      <c r="E46" s="536"/>
      <c r="F46" s="536"/>
      <c r="G46" s="536"/>
      <c r="H46" s="536"/>
      <c r="I46" s="536"/>
      <c r="J46" s="536"/>
      <c r="K46" s="536"/>
      <c r="L46" s="536"/>
      <c r="M46" s="536"/>
      <c r="N46" s="536"/>
      <c r="O46" s="536"/>
      <c r="P46" s="536"/>
      <c r="Q46" s="536"/>
      <c r="R46" s="536"/>
      <c r="S46" s="536"/>
      <c r="T46" s="536"/>
      <c r="U46" s="536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52"/>
      <c r="AI46" s="552"/>
      <c r="AJ46" s="552"/>
      <c r="AK46" s="536"/>
      <c r="AL46" s="536"/>
      <c r="AM46" s="536"/>
      <c r="AN46" s="536"/>
      <c r="AO46" s="536"/>
      <c r="AP46" s="536"/>
      <c r="AQ46" s="536"/>
      <c r="AR46" s="536"/>
      <c r="AS46" s="536"/>
      <c r="AT46" s="536"/>
      <c r="AU46" s="556"/>
      <c r="AZ46" s="389"/>
    </row>
    <row r="47" spans="1:52" s="161" customFormat="1" ht="15" customHeight="1">
      <c r="A47" s="96"/>
      <c r="B47" s="522" t="s">
        <v>408</v>
      </c>
      <c r="C47" s="97"/>
      <c r="D47" s="514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52"/>
      <c r="AI47" s="552"/>
      <c r="AJ47" s="552"/>
      <c r="AK47" s="536"/>
      <c r="AL47" s="536"/>
      <c r="AM47" s="536"/>
      <c r="AN47" s="536"/>
      <c r="AO47" s="536"/>
      <c r="AP47" s="536"/>
      <c r="AQ47" s="536"/>
      <c r="AR47" s="536"/>
      <c r="AS47" s="536"/>
      <c r="AT47" s="536"/>
      <c r="AU47" s="556"/>
    </row>
    <row r="48" spans="1:52" ht="15" customHeight="1"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18"/>
      <c r="AI48" s="118"/>
      <c r="AJ48" s="11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556"/>
    </row>
    <row r="49" spans="1:48" ht="15" customHeight="1">
      <c r="B49" s="537" t="s">
        <v>332</v>
      </c>
      <c r="C49" s="537"/>
      <c r="D49" s="538"/>
      <c r="E49" s="188">
        <f>财务基础数据!J97*目录!$D$6</f>
        <v>0</v>
      </c>
      <c r="F49" s="188">
        <f>财务基础数据!K97*目录!$D$6</f>
        <v>0</v>
      </c>
      <c r="G49" s="188">
        <f>财务基础数据!L97*目录!$D$6</f>
        <v>0</v>
      </c>
      <c r="H49" s="188">
        <f>财务基础数据!M97*目录!$D$6</f>
        <v>0</v>
      </c>
      <c r="I49" s="188">
        <f>财务基础数据!N97*目录!$D$6</f>
        <v>0</v>
      </c>
      <c r="J49" s="188">
        <f>财务基础数据!O97*目录!$D$6</f>
        <v>0</v>
      </c>
      <c r="K49" s="188">
        <f>财务基础数据!P97*目录!$D$6</f>
        <v>0</v>
      </c>
      <c r="L49" s="188">
        <f>财务基础数据!Q97*目录!$D$6</f>
        <v>0</v>
      </c>
      <c r="M49" s="188">
        <f>财务基础数据!R97*目录!$D$6</f>
        <v>0</v>
      </c>
      <c r="N49" s="188">
        <f>财务基础数据!S97*目录!$D$6</f>
        <v>0</v>
      </c>
      <c r="O49" s="188">
        <f>财务基础数据!T97*目录!$D$6</f>
        <v>0</v>
      </c>
      <c r="P49" s="188">
        <f>财务基础数据!U97*目录!$D$6</f>
        <v>0</v>
      </c>
      <c r="Q49" s="188">
        <f>财务基础数据!V97*目录!$D$6</f>
        <v>0</v>
      </c>
      <c r="R49" s="188">
        <f>财务基础数据!W97*目录!$D$6</f>
        <v>0</v>
      </c>
      <c r="S49" s="188">
        <f>财务基础数据!X97*目录!$D$6</f>
        <v>0</v>
      </c>
      <c r="T49" s="188">
        <f>财务基础数据!Y97*目录!$D$6</f>
        <v>0</v>
      </c>
      <c r="U49" s="188">
        <f>财务基础数据!Z97*目录!$D$6</f>
        <v>0</v>
      </c>
      <c r="V49" s="188">
        <f>财务基础数据!AA97*目录!$D$6</f>
        <v>0</v>
      </c>
      <c r="W49" s="188">
        <f>财务基础数据!AB97*目录!$D$6</f>
        <v>0</v>
      </c>
      <c r="X49" s="188">
        <f>财务基础数据!AC97*目录!$D$6</f>
        <v>0</v>
      </c>
      <c r="Y49" s="188">
        <f>财务基础数据!AD97*目录!$D$6</f>
        <v>0</v>
      </c>
      <c r="Z49" s="188">
        <f>财务基础数据!AE97*目录!$D$6</f>
        <v>0</v>
      </c>
      <c r="AA49" s="188">
        <f>财务基础数据!AF97*目录!$D$6</f>
        <v>0</v>
      </c>
      <c r="AB49" s="188">
        <f>财务基础数据!AG97*目录!$D$6</f>
        <v>0</v>
      </c>
      <c r="AC49" s="188">
        <f>财务基础数据!AH97*目录!$D$6</f>
        <v>0</v>
      </c>
      <c r="AD49" s="188">
        <f>财务基础数据!AI97*目录!$D$6</f>
        <v>0</v>
      </c>
      <c r="AE49" s="188">
        <f>财务基础数据!AJ97*目录!$D$6</f>
        <v>0</v>
      </c>
      <c r="AF49" s="188">
        <f>财务基础数据!AK97*目录!$D$6</f>
        <v>0</v>
      </c>
      <c r="AG49" s="188">
        <f>财务基础数据!AL97*目录!$D$6</f>
        <v>0</v>
      </c>
      <c r="AH49" s="118">
        <f>财务基础数据!AM97*目录!$D$6</f>
        <v>0</v>
      </c>
      <c r="AI49" s="118">
        <f>财务基础数据!AN97*目录!$D$6</f>
        <v>0</v>
      </c>
      <c r="AJ49" s="118">
        <f>财务基础数据!AO97*目录!$D$6</f>
        <v>0</v>
      </c>
      <c r="AK49" s="188">
        <f>IF(ISERROR(资产预测!L204),"—",资产预测!L204)</f>
        <v>0</v>
      </c>
      <c r="AL49" s="188">
        <f>IF(ISERROR(资产预测!M204),"—",资产预测!M204)</f>
        <v>0</v>
      </c>
      <c r="AM49" s="188">
        <f>IF(ISERROR(资产预测!N204),"—",资产预测!N204)</f>
        <v>0</v>
      </c>
      <c r="AN49" s="188">
        <f>IF(ISERROR(资产预测!O204),"—",资产预测!O204)</f>
        <v>0</v>
      </c>
      <c r="AO49" s="188">
        <f>IF(ISERROR(资产预测!P204),"—",资产预测!P204)</f>
        <v>0</v>
      </c>
      <c r="AP49" s="188">
        <f>IF(ISERROR(资产预测!Q204),"—",资产预测!Q204)</f>
        <v>0</v>
      </c>
      <c r="AQ49" s="188">
        <f>IF(ISERROR(资产预测!R204),"—",资产预测!R204)</f>
        <v>0</v>
      </c>
      <c r="AR49" s="188">
        <f>IF(ISERROR(资产预测!S204),"—",资产预测!S204)</f>
        <v>0</v>
      </c>
      <c r="AS49" s="188">
        <f>IF(ISERROR(资产预测!T204),"—",资产预测!T204)</f>
        <v>0</v>
      </c>
      <c r="AT49" s="188">
        <f>IF(ISERROR(资产预测!U204),"—",资产预测!U204)</f>
        <v>0</v>
      </c>
      <c r="AU49" s="556"/>
    </row>
    <row r="50" spans="1:48" ht="15" customHeight="1">
      <c r="B50" s="530" t="s">
        <v>140</v>
      </c>
      <c r="C50" s="537"/>
      <c r="D50" s="538"/>
      <c r="E50" s="188">
        <f>财务基础数据!J98*目录!$D$6</f>
        <v>0</v>
      </c>
      <c r="F50" s="188">
        <f>财务基础数据!K98*目录!$D$6</f>
        <v>0</v>
      </c>
      <c r="G50" s="188">
        <f>财务基础数据!L98*目录!$D$6</f>
        <v>0</v>
      </c>
      <c r="H50" s="188">
        <f>财务基础数据!M98*目录!$D$6</f>
        <v>0</v>
      </c>
      <c r="I50" s="188">
        <f>财务基础数据!N98*目录!$D$6</f>
        <v>0</v>
      </c>
      <c r="J50" s="188">
        <f>财务基础数据!O98*目录!$D$6</f>
        <v>0</v>
      </c>
      <c r="K50" s="188">
        <f>财务基础数据!P98*目录!$D$6</f>
        <v>0</v>
      </c>
      <c r="L50" s="188">
        <f>财务基础数据!Q98*目录!$D$6</f>
        <v>0</v>
      </c>
      <c r="M50" s="188">
        <f>财务基础数据!R98*目录!$D$6</f>
        <v>0</v>
      </c>
      <c r="N50" s="188">
        <f>财务基础数据!S98*目录!$D$6</f>
        <v>0</v>
      </c>
      <c r="O50" s="188">
        <f>财务基础数据!T98*目录!$D$6</f>
        <v>0</v>
      </c>
      <c r="P50" s="188">
        <f>财务基础数据!U98*目录!$D$6</f>
        <v>0</v>
      </c>
      <c r="Q50" s="188">
        <f>财务基础数据!V98*目录!$D$6</f>
        <v>0</v>
      </c>
      <c r="R50" s="188">
        <f>财务基础数据!W98*目录!$D$6</f>
        <v>0</v>
      </c>
      <c r="S50" s="188">
        <f>财务基础数据!X98*目录!$D$6</f>
        <v>0</v>
      </c>
      <c r="T50" s="188">
        <f>财务基础数据!Y98*目录!$D$6</f>
        <v>0</v>
      </c>
      <c r="U50" s="188">
        <f>财务基础数据!Z98*目录!$D$6</f>
        <v>0</v>
      </c>
      <c r="V50" s="188">
        <f>财务基础数据!AA98*目录!$D$6</f>
        <v>0</v>
      </c>
      <c r="W50" s="188">
        <f>财务基础数据!AB98*目录!$D$6</f>
        <v>0</v>
      </c>
      <c r="X50" s="188">
        <f>财务基础数据!AC98*目录!$D$6</f>
        <v>0</v>
      </c>
      <c r="Y50" s="188">
        <f>财务基础数据!AD98*目录!$D$6</f>
        <v>0</v>
      </c>
      <c r="Z50" s="188">
        <f>财务基础数据!AE98*目录!$D$6</f>
        <v>0</v>
      </c>
      <c r="AA50" s="188">
        <f>财务基础数据!AF98*目录!$D$6</f>
        <v>0</v>
      </c>
      <c r="AB50" s="188">
        <f>财务基础数据!AG98*目录!$D$6</f>
        <v>0</v>
      </c>
      <c r="AC50" s="188">
        <f>财务基础数据!AH98*目录!$D$6</f>
        <v>0</v>
      </c>
      <c r="AD50" s="188">
        <f>财务基础数据!AI98*目录!$D$6</f>
        <v>0</v>
      </c>
      <c r="AE50" s="188">
        <f>财务基础数据!AJ98*目录!$D$6</f>
        <v>0</v>
      </c>
      <c r="AF50" s="188">
        <f>财务基础数据!AK98*目录!$D$6</f>
        <v>0</v>
      </c>
      <c r="AG50" s="188">
        <f>财务基础数据!AL98*目录!$D$6</f>
        <v>0</v>
      </c>
      <c r="AH50" s="118">
        <f>财务基础数据!AM98*目录!$D$6</f>
        <v>0</v>
      </c>
      <c r="AI50" s="118">
        <f>财务基础数据!AN98*目录!$D$6</f>
        <v>0</v>
      </c>
      <c r="AJ50" s="118">
        <f>财务基础数据!AO98*目录!$D$6</f>
        <v>0</v>
      </c>
      <c r="AK50" s="188">
        <f>IF(ISERROR(资产预测!L83),"—",资产预测!L83)</f>
        <v>0</v>
      </c>
      <c r="AL50" s="188">
        <f>IF(ISERROR(资产预测!M83),"—",资产预测!M83)</f>
        <v>0</v>
      </c>
      <c r="AM50" s="188">
        <f>IF(ISERROR(资产预测!N83),"—",资产预测!N83)</f>
        <v>0</v>
      </c>
      <c r="AN50" s="188">
        <f>IF(ISERROR(资产预测!O83),"—",资产预测!O83)</f>
        <v>0</v>
      </c>
      <c r="AO50" s="188">
        <f>IF(ISERROR(资产预测!P83),"—",资产预测!P83)</f>
        <v>0</v>
      </c>
      <c r="AP50" s="188">
        <f>IF(ISERROR(资产预测!Q83),"—",资产预测!Q83)</f>
        <v>0</v>
      </c>
      <c r="AQ50" s="188">
        <f>IF(ISERROR(资产预测!R83),"—",资产预测!R83)</f>
        <v>0</v>
      </c>
      <c r="AR50" s="188">
        <f>IF(ISERROR(资产预测!S83),"—",资产预测!S83)</f>
        <v>0</v>
      </c>
      <c r="AS50" s="188">
        <f>IF(ISERROR(资产预测!T83),"—",资产预测!T83)</f>
        <v>0</v>
      </c>
      <c r="AT50" s="188">
        <f>IF(ISERROR(资产预测!U83),"—",资产预测!U83)</f>
        <v>0</v>
      </c>
      <c r="AU50" s="556"/>
    </row>
    <row r="51" spans="1:48" ht="15" customHeight="1">
      <c r="B51" s="530" t="s">
        <v>141</v>
      </c>
      <c r="C51" s="537"/>
      <c r="D51" s="538"/>
      <c r="E51" s="524">
        <f>财务基础数据!J152*目录!$D$6</f>
        <v>0</v>
      </c>
      <c r="F51" s="524">
        <f>财务基础数据!K152*目录!$D$6</f>
        <v>0</v>
      </c>
      <c r="G51" s="524">
        <f>财务基础数据!L152*目录!$D$6</f>
        <v>0</v>
      </c>
      <c r="H51" s="524">
        <f>财务基础数据!M152*目录!$D$6</f>
        <v>0</v>
      </c>
      <c r="I51" s="524">
        <f>财务基础数据!N152*目录!$D$6</f>
        <v>0</v>
      </c>
      <c r="J51" s="524">
        <f>财务基础数据!O152*目录!$D$6</f>
        <v>0</v>
      </c>
      <c r="K51" s="524">
        <f>财务基础数据!P152*目录!$D$6</f>
        <v>0</v>
      </c>
      <c r="L51" s="524">
        <f>财务基础数据!Q152*目录!$D$6</f>
        <v>0</v>
      </c>
      <c r="M51" s="524">
        <f>财务基础数据!R152*目录!$D$6</f>
        <v>0</v>
      </c>
      <c r="N51" s="524">
        <f>财务基础数据!S152*目录!$D$6</f>
        <v>0</v>
      </c>
      <c r="O51" s="524">
        <f>财务基础数据!T152*目录!$D$6</f>
        <v>0</v>
      </c>
      <c r="P51" s="524">
        <f>财务基础数据!U152*目录!$D$6</f>
        <v>0</v>
      </c>
      <c r="Q51" s="524">
        <f>财务基础数据!V152*目录!$D$6</f>
        <v>0</v>
      </c>
      <c r="R51" s="524">
        <f>财务基础数据!W152*目录!$D$6</f>
        <v>0</v>
      </c>
      <c r="S51" s="524">
        <f>财务基础数据!X152*目录!$D$6</f>
        <v>0</v>
      </c>
      <c r="T51" s="524">
        <f>财务基础数据!Y152*目录!$D$6</f>
        <v>0</v>
      </c>
      <c r="U51" s="524">
        <f>财务基础数据!Z152*目录!$D$6</f>
        <v>0</v>
      </c>
      <c r="V51" s="524">
        <f>财务基础数据!AA152*目录!$D$6</f>
        <v>0</v>
      </c>
      <c r="W51" s="524">
        <f>财务基础数据!AB152*目录!$D$6</f>
        <v>0</v>
      </c>
      <c r="X51" s="524">
        <f>财务基础数据!AC152*目录!$D$6</f>
        <v>0</v>
      </c>
      <c r="Y51" s="524">
        <f>财务基础数据!AD152*目录!$D$6</f>
        <v>0</v>
      </c>
      <c r="Z51" s="524">
        <f>财务基础数据!AE152*目录!$D$6</f>
        <v>0</v>
      </c>
      <c r="AA51" s="524">
        <f>财务基础数据!AF152*目录!$D$6</f>
        <v>0</v>
      </c>
      <c r="AB51" s="524">
        <f>财务基础数据!AG152*目录!$D$6</f>
        <v>0</v>
      </c>
      <c r="AC51" s="524">
        <f>财务基础数据!AH152*目录!$D$6</f>
        <v>0</v>
      </c>
      <c r="AD51" s="524">
        <f>财务基础数据!AI152*目录!$D$6</f>
        <v>0</v>
      </c>
      <c r="AE51" s="524">
        <f>财务基础数据!AJ152*目录!$D$6</f>
        <v>0</v>
      </c>
      <c r="AF51" s="524">
        <f>财务基础数据!AK152*目录!$D$6</f>
        <v>0</v>
      </c>
      <c r="AG51" s="524">
        <f>财务基础数据!AL152*目录!$D$6</f>
        <v>0</v>
      </c>
      <c r="AH51" s="524">
        <f>财务基础数据!AM152*目录!$D$6</f>
        <v>0</v>
      </c>
      <c r="AI51" s="524">
        <f>财务基础数据!AN152*目录!$D$6</f>
        <v>0</v>
      </c>
      <c r="AJ51" s="524">
        <f>财务基础数据!AO152*目录!$D$6</f>
        <v>0</v>
      </c>
      <c r="AK51" s="188">
        <f>IF(ISERROR(资产预测!L87),"—",资产预测!L87)</f>
        <v>0</v>
      </c>
      <c r="AL51" s="188">
        <f>IF(ISERROR(资产预测!M87),"—",资产预测!M87)</f>
        <v>0</v>
      </c>
      <c r="AM51" s="188">
        <f>IF(ISERROR(资产预测!N87),"—",资产预测!N87)</f>
        <v>0</v>
      </c>
      <c r="AN51" s="188">
        <f>IF(ISERROR(资产预测!O87),"—",资产预测!O87)</f>
        <v>0</v>
      </c>
      <c r="AO51" s="188">
        <f>IF(ISERROR(资产预测!P87),"—",资产预测!P87)</f>
        <v>0</v>
      </c>
      <c r="AP51" s="188">
        <f>IF(ISERROR(资产预测!Q87),"—",资产预测!Q87)</f>
        <v>0</v>
      </c>
      <c r="AQ51" s="188">
        <f>IF(ISERROR(资产预测!R87),"—",资产预测!R87)</f>
        <v>0</v>
      </c>
      <c r="AR51" s="188">
        <f>IF(ISERROR(资产预测!S87),"—",资产预测!S87)</f>
        <v>0</v>
      </c>
      <c r="AS51" s="188">
        <f>IF(ISERROR(资产预测!T87),"—",资产预测!T87)</f>
        <v>0</v>
      </c>
      <c r="AT51" s="188">
        <f>IF(ISERROR(资产预测!U87),"—",资产预测!U87)</f>
        <v>0</v>
      </c>
      <c r="AU51" s="556"/>
      <c r="AV51" s="557"/>
    </row>
    <row r="52" spans="1:48" ht="15" customHeight="1">
      <c r="B52" s="530" t="s">
        <v>120</v>
      </c>
      <c r="C52" s="537"/>
      <c r="D52" s="538"/>
      <c r="E52" s="188">
        <f>(财务基础数据!J99)*目录!$D$6</f>
        <v>0</v>
      </c>
      <c r="F52" s="188">
        <f>(财务基础数据!K99)*目录!$D$6</f>
        <v>0</v>
      </c>
      <c r="G52" s="188">
        <f>(财务基础数据!L99)*目录!$D$6</f>
        <v>0</v>
      </c>
      <c r="H52" s="188">
        <f>(财务基础数据!M99)*目录!$D$6</f>
        <v>0</v>
      </c>
      <c r="I52" s="188">
        <f>(财务基础数据!N99)*目录!$D$6</f>
        <v>0</v>
      </c>
      <c r="J52" s="188">
        <f>(财务基础数据!O99)*目录!$D$6</f>
        <v>0</v>
      </c>
      <c r="K52" s="188">
        <f>(财务基础数据!P99)*目录!$D$6</f>
        <v>0</v>
      </c>
      <c r="L52" s="188">
        <f>(财务基础数据!Q99)*目录!$D$6</f>
        <v>0</v>
      </c>
      <c r="M52" s="188">
        <f>(财务基础数据!R99)*目录!$D$6</f>
        <v>0</v>
      </c>
      <c r="N52" s="188">
        <f>(财务基础数据!S99)*目录!$D$6</f>
        <v>0</v>
      </c>
      <c r="O52" s="188">
        <f>(财务基础数据!T99)*目录!$D$6</f>
        <v>0</v>
      </c>
      <c r="P52" s="188">
        <f>(财务基础数据!U99)*目录!$D$6</f>
        <v>0</v>
      </c>
      <c r="Q52" s="188">
        <f>(财务基础数据!V99)*目录!$D$6</f>
        <v>0</v>
      </c>
      <c r="R52" s="188">
        <f>(财务基础数据!W99)*目录!$D$6</f>
        <v>0</v>
      </c>
      <c r="S52" s="188">
        <f>(财务基础数据!X99)*目录!$D$6</f>
        <v>0</v>
      </c>
      <c r="T52" s="188">
        <f>(财务基础数据!Y99)*目录!$D$6</f>
        <v>0</v>
      </c>
      <c r="U52" s="188">
        <f>(财务基础数据!Z99)*目录!$D$6</f>
        <v>0</v>
      </c>
      <c r="V52" s="188">
        <f>(财务基础数据!AA99)*目录!$D$6</f>
        <v>0</v>
      </c>
      <c r="W52" s="188">
        <f>(财务基础数据!AB99)*目录!$D$6</f>
        <v>0</v>
      </c>
      <c r="X52" s="188">
        <f>(财务基础数据!AC99)*目录!$D$6</f>
        <v>0</v>
      </c>
      <c r="Y52" s="188">
        <f>(财务基础数据!AD99)*目录!$D$6</f>
        <v>0</v>
      </c>
      <c r="Z52" s="188">
        <f>(财务基础数据!AE99)*目录!$D$6</f>
        <v>0</v>
      </c>
      <c r="AA52" s="188">
        <f>(财务基础数据!AF99)*目录!$D$6</f>
        <v>0</v>
      </c>
      <c r="AB52" s="188">
        <f>(财务基础数据!AG99)*目录!$D$6</f>
        <v>0</v>
      </c>
      <c r="AC52" s="188">
        <f>(财务基础数据!AH99)*目录!$D$6</f>
        <v>0</v>
      </c>
      <c r="AD52" s="188">
        <f>(财务基础数据!AI99)*目录!$D$6</f>
        <v>0</v>
      </c>
      <c r="AE52" s="188">
        <f>(财务基础数据!AJ99)*目录!$D$6</f>
        <v>0</v>
      </c>
      <c r="AF52" s="188">
        <f>(财务基础数据!AK99)*目录!$D$6</f>
        <v>0</v>
      </c>
      <c r="AG52" s="188">
        <f>(财务基础数据!AL99)*目录!$D$6</f>
        <v>0</v>
      </c>
      <c r="AH52" s="188">
        <f>(财务基础数据!AM99)*目录!$D$6</f>
        <v>0</v>
      </c>
      <c r="AI52" s="188">
        <f>(财务基础数据!AN99)*目录!$D$6</f>
        <v>0</v>
      </c>
      <c r="AJ52" s="188">
        <f>(财务基础数据!AO99)*目录!$D$6</f>
        <v>0</v>
      </c>
      <c r="AK52" s="188">
        <f>IF(ISERROR(资产预测!L38),"—",资产预测!L38)</f>
        <v>0</v>
      </c>
      <c r="AL52" s="188">
        <f>IF(ISERROR(资产预测!M38),"—",资产预测!M38)</f>
        <v>0</v>
      </c>
      <c r="AM52" s="188">
        <f>IF(ISERROR(资产预测!N38),"—",资产预测!N38)</f>
        <v>0</v>
      </c>
      <c r="AN52" s="188">
        <f>IF(ISERROR(资产预测!O38),"—",资产预测!O38)</f>
        <v>0</v>
      </c>
      <c r="AO52" s="188">
        <f>IF(ISERROR(资产预测!P38),"—",资产预测!P38)</f>
        <v>0</v>
      </c>
      <c r="AP52" s="188">
        <f>IF(ISERROR(资产预测!Q38),"—",资产预测!Q38)</f>
        <v>0</v>
      </c>
      <c r="AQ52" s="188">
        <f>IF(ISERROR(资产预测!R38),"—",资产预测!R38)</f>
        <v>0</v>
      </c>
      <c r="AR52" s="188">
        <f>IF(ISERROR(资产预测!S38),"—",资产预测!S38)</f>
        <v>0</v>
      </c>
      <c r="AS52" s="188">
        <f>IF(ISERROR(资产预测!T38),"—",资产预测!T38)</f>
        <v>0</v>
      </c>
      <c r="AT52" s="188">
        <f>IF(ISERROR(资产预测!U38),"—",资产预测!U38)</f>
        <v>0</v>
      </c>
      <c r="AU52" s="556"/>
      <c r="AV52" s="557"/>
    </row>
    <row r="53" spans="1:48" ht="15" customHeight="1">
      <c r="B53" s="530" t="s">
        <v>122</v>
      </c>
      <c r="C53" s="537"/>
      <c r="D53" s="538"/>
      <c r="E53" s="188">
        <f>(财务基础数据!J100)*目录!$D$6</f>
        <v>0</v>
      </c>
      <c r="F53" s="188">
        <f>(财务基础数据!K100)*目录!$D$6</f>
        <v>0</v>
      </c>
      <c r="G53" s="188">
        <f>(财务基础数据!L100)*目录!$D$6</f>
        <v>0</v>
      </c>
      <c r="H53" s="188">
        <f>(财务基础数据!M100)*目录!$D$6</f>
        <v>0</v>
      </c>
      <c r="I53" s="188">
        <f>(财务基础数据!N100)*目录!$D$6</f>
        <v>0</v>
      </c>
      <c r="J53" s="188">
        <f>(财务基础数据!O100)*目录!$D$6</f>
        <v>0</v>
      </c>
      <c r="K53" s="188">
        <f>(财务基础数据!P100)*目录!$D$6</f>
        <v>0</v>
      </c>
      <c r="L53" s="188">
        <f>(财务基础数据!Q100)*目录!$D$6</f>
        <v>0</v>
      </c>
      <c r="M53" s="188">
        <f>(财务基础数据!R100)*目录!$D$6</f>
        <v>0</v>
      </c>
      <c r="N53" s="188">
        <f>(财务基础数据!S100)*目录!$D$6</f>
        <v>0</v>
      </c>
      <c r="O53" s="188">
        <f>(财务基础数据!T100)*目录!$D$6</f>
        <v>0</v>
      </c>
      <c r="P53" s="188">
        <f>(财务基础数据!U100)*目录!$D$6</f>
        <v>0</v>
      </c>
      <c r="Q53" s="188">
        <f>(财务基础数据!V100)*目录!$D$6</f>
        <v>0</v>
      </c>
      <c r="R53" s="188">
        <f>(财务基础数据!W100)*目录!$D$6</f>
        <v>0</v>
      </c>
      <c r="S53" s="188">
        <f>(财务基础数据!X100)*目录!$D$6</f>
        <v>0</v>
      </c>
      <c r="T53" s="188">
        <f>(财务基础数据!Y100)*目录!$D$6</f>
        <v>0</v>
      </c>
      <c r="U53" s="188">
        <f>(财务基础数据!Z100)*目录!$D$6</f>
        <v>0</v>
      </c>
      <c r="V53" s="188">
        <f>(财务基础数据!AA100)*目录!$D$6</f>
        <v>0</v>
      </c>
      <c r="W53" s="188">
        <f>(财务基础数据!AB100)*目录!$D$6</f>
        <v>0</v>
      </c>
      <c r="X53" s="188">
        <f>(财务基础数据!AC100)*目录!$D$6</f>
        <v>0</v>
      </c>
      <c r="Y53" s="188">
        <f>(财务基础数据!AD100)*目录!$D$6</f>
        <v>0</v>
      </c>
      <c r="Z53" s="188">
        <f>(财务基础数据!AE100)*目录!$D$6</f>
        <v>0</v>
      </c>
      <c r="AA53" s="188">
        <f>(财务基础数据!AF100)*目录!$D$6</f>
        <v>0</v>
      </c>
      <c r="AB53" s="188">
        <f>(财务基础数据!AG100)*目录!$D$6</f>
        <v>0</v>
      </c>
      <c r="AC53" s="188">
        <f>(财务基础数据!AH100)*目录!$D$6</f>
        <v>0</v>
      </c>
      <c r="AD53" s="188">
        <f>(财务基础数据!AI100)*目录!$D$6</f>
        <v>0</v>
      </c>
      <c r="AE53" s="188">
        <f>(财务基础数据!AJ100)*目录!$D$6</f>
        <v>0</v>
      </c>
      <c r="AF53" s="188">
        <f>(财务基础数据!AK100)*目录!$D$6</f>
        <v>0</v>
      </c>
      <c r="AG53" s="188">
        <f>(财务基础数据!AL100)*目录!$D$6</f>
        <v>0</v>
      </c>
      <c r="AH53" s="188">
        <f>(财务基础数据!AM100)*目录!$D$6</f>
        <v>0</v>
      </c>
      <c r="AI53" s="188">
        <f>(财务基础数据!AN100)*目录!$D$6</f>
        <v>0</v>
      </c>
      <c r="AJ53" s="188">
        <f>(财务基础数据!AO100)*目录!$D$6</f>
        <v>0</v>
      </c>
      <c r="AK53" s="188">
        <f>IF(ISERROR(资产预测!L42),"—",资产预测!L42)</f>
        <v>0</v>
      </c>
      <c r="AL53" s="188">
        <f>IF(ISERROR(资产预测!M42),"—",资产预测!M42)</f>
        <v>0</v>
      </c>
      <c r="AM53" s="188">
        <f>IF(ISERROR(资产预测!N42),"—",资产预测!N42)</f>
        <v>0</v>
      </c>
      <c r="AN53" s="188">
        <f>IF(ISERROR(资产预测!O42),"—",资产预测!O42)</f>
        <v>0</v>
      </c>
      <c r="AO53" s="188">
        <f>IF(ISERROR(资产预测!P42),"—",资产预测!P42)</f>
        <v>0</v>
      </c>
      <c r="AP53" s="188">
        <f>IF(ISERROR(资产预测!Q42),"—",资产预测!Q42)</f>
        <v>0</v>
      </c>
      <c r="AQ53" s="188">
        <f>IF(ISERROR(资产预测!R42),"—",资产预测!R42)</f>
        <v>0</v>
      </c>
      <c r="AR53" s="188">
        <f>IF(ISERROR(资产预测!S42),"—",资产预测!S42)</f>
        <v>0</v>
      </c>
      <c r="AS53" s="188">
        <f>IF(ISERROR(资产预测!T42),"—",资产预测!T42)</f>
        <v>0</v>
      </c>
      <c r="AT53" s="188">
        <f>IF(ISERROR(资产预测!U42),"—",资产预测!U42)</f>
        <v>0</v>
      </c>
      <c r="AU53" s="556"/>
      <c r="AV53" s="557"/>
    </row>
    <row r="54" spans="1:48" ht="15" customHeight="1">
      <c r="B54" s="530" t="s">
        <v>409</v>
      </c>
      <c r="C54" s="537"/>
      <c r="D54" s="538"/>
      <c r="E54" s="188">
        <f>财务基础数据!J101*目录!$D$6</f>
        <v>0</v>
      </c>
      <c r="F54" s="188">
        <f>财务基础数据!K101*目录!$D$6</f>
        <v>0</v>
      </c>
      <c r="G54" s="188">
        <f>财务基础数据!L101*目录!$D$6</f>
        <v>0</v>
      </c>
      <c r="H54" s="188">
        <f>财务基础数据!M101*目录!$D$6</f>
        <v>0</v>
      </c>
      <c r="I54" s="188">
        <f>财务基础数据!N101*目录!$D$6</f>
        <v>0</v>
      </c>
      <c r="J54" s="188">
        <f>财务基础数据!O101*目录!$D$6</f>
        <v>0</v>
      </c>
      <c r="K54" s="188">
        <f>财务基础数据!P101*目录!$D$6</f>
        <v>0</v>
      </c>
      <c r="L54" s="188">
        <f>财务基础数据!Q101*目录!$D$6</f>
        <v>0</v>
      </c>
      <c r="M54" s="188">
        <f>财务基础数据!R101*目录!$D$6</f>
        <v>0</v>
      </c>
      <c r="N54" s="188">
        <f>财务基础数据!S101*目录!$D$6</f>
        <v>0</v>
      </c>
      <c r="O54" s="188">
        <f>财务基础数据!T101*目录!$D$6</f>
        <v>0</v>
      </c>
      <c r="P54" s="188">
        <f>财务基础数据!U101*目录!$D$6</f>
        <v>0</v>
      </c>
      <c r="Q54" s="188">
        <f>财务基础数据!V101*目录!$D$6</f>
        <v>0</v>
      </c>
      <c r="R54" s="188">
        <f>财务基础数据!W101*目录!$D$6</f>
        <v>0</v>
      </c>
      <c r="S54" s="188">
        <f>财务基础数据!X101*目录!$D$6</f>
        <v>0</v>
      </c>
      <c r="T54" s="188">
        <f>财务基础数据!Y101*目录!$D$6</f>
        <v>0</v>
      </c>
      <c r="U54" s="188">
        <f>财务基础数据!Z101*目录!$D$6</f>
        <v>0</v>
      </c>
      <c r="V54" s="188">
        <f>财务基础数据!AA101*目录!$D$6</f>
        <v>0</v>
      </c>
      <c r="W54" s="188">
        <f>财务基础数据!AB101*目录!$D$6</f>
        <v>0</v>
      </c>
      <c r="X54" s="188">
        <f>财务基础数据!AC101*目录!$D$6</f>
        <v>0</v>
      </c>
      <c r="Y54" s="188">
        <f>财务基础数据!AD101*目录!$D$6</f>
        <v>0</v>
      </c>
      <c r="Z54" s="188">
        <f>财务基础数据!AE101*目录!$D$6</f>
        <v>0</v>
      </c>
      <c r="AA54" s="188">
        <f>财务基础数据!AF101*目录!$D$6</f>
        <v>0</v>
      </c>
      <c r="AB54" s="188">
        <f>财务基础数据!AG101*目录!$D$6</f>
        <v>0</v>
      </c>
      <c r="AC54" s="188">
        <f>财务基础数据!AH101*目录!$D$6</f>
        <v>0</v>
      </c>
      <c r="AD54" s="188">
        <f>财务基础数据!AI101*目录!$D$6</f>
        <v>0</v>
      </c>
      <c r="AE54" s="188">
        <f>财务基础数据!AJ101*目录!$D$6</f>
        <v>0</v>
      </c>
      <c r="AF54" s="188">
        <f>财务基础数据!AK101*目录!$D$6</f>
        <v>0</v>
      </c>
      <c r="AG54" s="188">
        <f>财务基础数据!AL101*目录!$D$6</f>
        <v>0</v>
      </c>
      <c r="AH54" s="118">
        <f>财务基础数据!AM101*目录!$D$6</f>
        <v>0</v>
      </c>
      <c r="AI54" s="118">
        <f>财务基础数据!AN101*目录!$D$6</f>
        <v>0</v>
      </c>
      <c r="AJ54" s="118">
        <f>财务基础数据!AO101*目录!$D$6</f>
        <v>0</v>
      </c>
      <c r="AK54" s="188">
        <f>IF(ISERROR(资产预测!L46),"—",资产预测!L46)</f>
        <v>0</v>
      </c>
      <c r="AL54" s="188">
        <f>IF(ISERROR(资产预测!M46),"—",资产预测!M46)</f>
        <v>0</v>
      </c>
      <c r="AM54" s="188">
        <f>IF(ISERROR(资产预测!N46),"—",资产预测!N46)</f>
        <v>0</v>
      </c>
      <c r="AN54" s="188">
        <f>IF(ISERROR(资产预测!O46),"—",资产预测!O46)</f>
        <v>0</v>
      </c>
      <c r="AO54" s="188">
        <f>IF(ISERROR(资产预测!P46),"—",资产预测!P46)</f>
        <v>0</v>
      </c>
      <c r="AP54" s="188">
        <f>IF(ISERROR(资产预测!Q46),"—",资产预测!Q46)</f>
        <v>0</v>
      </c>
      <c r="AQ54" s="188">
        <f>IF(ISERROR(资产预测!R46),"—",资产预测!R46)</f>
        <v>0</v>
      </c>
      <c r="AR54" s="188">
        <f>IF(ISERROR(资产预测!S46),"—",资产预测!S46)</f>
        <v>0</v>
      </c>
      <c r="AS54" s="188">
        <f>IF(ISERROR(资产预测!T46),"—",资产预测!T46)</f>
        <v>0</v>
      </c>
      <c r="AT54" s="188">
        <f>IF(ISERROR(资产预测!U46),"—",资产预测!U46)</f>
        <v>0</v>
      </c>
      <c r="AU54" s="556"/>
      <c r="AV54" s="557"/>
    </row>
    <row r="55" spans="1:48" ht="15" customHeight="1">
      <c r="B55" s="530" t="s">
        <v>125</v>
      </c>
      <c r="C55" s="537"/>
      <c r="D55" s="538"/>
      <c r="E55" s="188">
        <f>财务基础数据!J146*目录!$D$6</f>
        <v>0</v>
      </c>
      <c r="F55" s="188">
        <f>财务基础数据!K146*目录!$D$6</f>
        <v>0</v>
      </c>
      <c r="G55" s="188">
        <f>财务基础数据!L146*目录!$D$6</f>
        <v>0</v>
      </c>
      <c r="H55" s="188">
        <f>财务基础数据!M146*目录!$D$6</f>
        <v>0</v>
      </c>
      <c r="I55" s="188">
        <f>财务基础数据!N146*目录!$D$6</f>
        <v>0</v>
      </c>
      <c r="J55" s="188">
        <f>财务基础数据!O146*目录!$D$6</f>
        <v>0</v>
      </c>
      <c r="K55" s="188">
        <f>财务基础数据!P146*目录!$D$6</f>
        <v>0</v>
      </c>
      <c r="L55" s="188">
        <f>财务基础数据!Q146*目录!$D$6</f>
        <v>0</v>
      </c>
      <c r="M55" s="188">
        <f>财务基础数据!R146*目录!$D$6</f>
        <v>0</v>
      </c>
      <c r="N55" s="188">
        <f>财务基础数据!S146*目录!$D$6</f>
        <v>0</v>
      </c>
      <c r="O55" s="188">
        <f>财务基础数据!T146*目录!$D$6</f>
        <v>0</v>
      </c>
      <c r="P55" s="188">
        <f>财务基础数据!U146*目录!$D$6</f>
        <v>0</v>
      </c>
      <c r="Q55" s="188">
        <f>财务基础数据!V146*目录!$D$6</f>
        <v>0</v>
      </c>
      <c r="R55" s="188">
        <f>财务基础数据!W146*目录!$D$6</f>
        <v>0</v>
      </c>
      <c r="S55" s="188">
        <f>财务基础数据!X146*目录!$D$6</f>
        <v>0</v>
      </c>
      <c r="T55" s="188">
        <f>财务基础数据!Y146*目录!$D$6</f>
        <v>0</v>
      </c>
      <c r="U55" s="188">
        <f>财务基础数据!Z146*目录!$D$6</f>
        <v>0</v>
      </c>
      <c r="V55" s="188">
        <f>财务基础数据!AA146*目录!$D$6</f>
        <v>0</v>
      </c>
      <c r="W55" s="188">
        <f>财务基础数据!AB146*目录!$D$6</f>
        <v>0</v>
      </c>
      <c r="X55" s="188">
        <f>财务基础数据!AC146*目录!$D$6</f>
        <v>0</v>
      </c>
      <c r="Y55" s="188">
        <f>财务基础数据!AD146*目录!$D$6</f>
        <v>0</v>
      </c>
      <c r="Z55" s="188">
        <f>财务基础数据!AE146*目录!$D$6</f>
        <v>0</v>
      </c>
      <c r="AA55" s="188">
        <f>财务基础数据!AF146*目录!$D$6</f>
        <v>0</v>
      </c>
      <c r="AB55" s="188">
        <f>财务基础数据!AG146*目录!$D$6</f>
        <v>0</v>
      </c>
      <c r="AC55" s="188">
        <f>财务基础数据!AH146*目录!$D$6</f>
        <v>0</v>
      </c>
      <c r="AD55" s="188">
        <f>财务基础数据!AI146*目录!$D$6</f>
        <v>0</v>
      </c>
      <c r="AE55" s="188">
        <f>财务基础数据!AJ146*目录!$D$6</f>
        <v>0</v>
      </c>
      <c r="AF55" s="188">
        <f>财务基础数据!AK146*目录!$D$6</f>
        <v>0</v>
      </c>
      <c r="AG55" s="188">
        <f>财务基础数据!AL146*目录!$D$6</f>
        <v>0</v>
      </c>
      <c r="AH55" s="118">
        <f>财务基础数据!AM146*目录!$D$6</f>
        <v>0</v>
      </c>
      <c r="AI55" s="118">
        <f>财务基础数据!AN146*目录!$D$6</f>
        <v>0</v>
      </c>
      <c r="AJ55" s="118">
        <f>财务基础数据!AO146*目录!$D$6</f>
        <v>0</v>
      </c>
      <c r="AK55" s="188">
        <f>IF(ISERROR(资产预测!L49),"—",资产预测!L49)</f>
        <v>0</v>
      </c>
      <c r="AL55" s="188">
        <f>IF(ISERROR(资产预测!M49),"—",资产预测!M49)</f>
        <v>0</v>
      </c>
      <c r="AM55" s="188">
        <f>IF(ISERROR(资产预测!N49),"—",资产预测!N49)</f>
        <v>0</v>
      </c>
      <c r="AN55" s="188">
        <f>IF(ISERROR(资产预测!O49),"—",资产预测!O49)</f>
        <v>0</v>
      </c>
      <c r="AO55" s="188">
        <f>IF(ISERROR(资产预测!P49),"—",资产预测!P49)</f>
        <v>0</v>
      </c>
      <c r="AP55" s="188">
        <f>IF(ISERROR(资产预测!Q49),"—",资产预测!Q49)</f>
        <v>0</v>
      </c>
      <c r="AQ55" s="188">
        <f>IF(ISERROR(资产预测!R49),"—",资产预测!R49)</f>
        <v>0</v>
      </c>
      <c r="AR55" s="188">
        <f>IF(ISERROR(资产预测!S49),"—",资产预测!S49)</f>
        <v>0</v>
      </c>
      <c r="AS55" s="188">
        <f>IF(ISERROR(资产预测!T49),"—",资产预测!T49)</f>
        <v>0</v>
      </c>
      <c r="AT55" s="188">
        <f>IF(ISERROR(资产预测!U49),"—",资产预测!U49)</f>
        <v>0</v>
      </c>
      <c r="AU55" s="556"/>
      <c r="AV55" s="557"/>
    </row>
    <row r="56" spans="1:48" ht="15" customHeight="1">
      <c r="B56" s="530" t="s">
        <v>126</v>
      </c>
      <c r="C56" s="537"/>
      <c r="D56" s="538"/>
      <c r="E56" s="188">
        <f>(财务基础数据!J102+财务基础数据!J103)*目录!$D$6</f>
        <v>0</v>
      </c>
      <c r="F56" s="188">
        <f>(财务基础数据!K102+财务基础数据!K103)*目录!$D$6</f>
        <v>0</v>
      </c>
      <c r="G56" s="188">
        <f>(财务基础数据!L102+财务基础数据!L103)*目录!$D$6</f>
        <v>0</v>
      </c>
      <c r="H56" s="188">
        <f>(财务基础数据!M102+财务基础数据!M103)*目录!$D$6</f>
        <v>0</v>
      </c>
      <c r="I56" s="188">
        <f>(财务基础数据!N102+财务基础数据!N103)*目录!$D$6</f>
        <v>0</v>
      </c>
      <c r="J56" s="188">
        <f>(财务基础数据!O102+财务基础数据!O103)*目录!$D$6</f>
        <v>0</v>
      </c>
      <c r="K56" s="188">
        <f>(财务基础数据!P102+财务基础数据!P103)*目录!$D$6</f>
        <v>0</v>
      </c>
      <c r="L56" s="188">
        <f>(财务基础数据!Q102+财务基础数据!Q103)*目录!$D$6</f>
        <v>0</v>
      </c>
      <c r="M56" s="188">
        <f>(财务基础数据!R102+财务基础数据!R103)*目录!$D$6</f>
        <v>0</v>
      </c>
      <c r="N56" s="188">
        <f>(财务基础数据!S102+财务基础数据!S103)*目录!$D$6</f>
        <v>0</v>
      </c>
      <c r="O56" s="188">
        <f>(财务基础数据!T102+财务基础数据!T103)*目录!$D$6</f>
        <v>0</v>
      </c>
      <c r="P56" s="188">
        <f>(财务基础数据!U102+财务基础数据!U103)*目录!$D$6</f>
        <v>0</v>
      </c>
      <c r="Q56" s="188">
        <f>(财务基础数据!V102+财务基础数据!V103)*目录!$D$6</f>
        <v>0</v>
      </c>
      <c r="R56" s="188">
        <f>(财务基础数据!W102+财务基础数据!W103)*目录!$D$6</f>
        <v>0</v>
      </c>
      <c r="S56" s="188">
        <f>(财务基础数据!X102+财务基础数据!X103)*目录!$D$6</f>
        <v>0</v>
      </c>
      <c r="T56" s="188">
        <f>(财务基础数据!Y102+财务基础数据!Y103)*目录!$D$6</f>
        <v>0</v>
      </c>
      <c r="U56" s="188">
        <f>(财务基础数据!Z102+财务基础数据!Z103)*目录!$D$6</f>
        <v>0</v>
      </c>
      <c r="V56" s="188">
        <f>(财务基础数据!AA102+财务基础数据!AA103)*目录!$D$6</f>
        <v>0</v>
      </c>
      <c r="W56" s="188">
        <f>(财务基础数据!AB102+财务基础数据!AB103)*目录!$D$6</f>
        <v>0</v>
      </c>
      <c r="X56" s="188">
        <f>(财务基础数据!AC102+财务基础数据!AC103)*目录!$D$6</f>
        <v>0</v>
      </c>
      <c r="Y56" s="188">
        <f>(财务基础数据!AD102+财务基础数据!AD103)*目录!$D$6</f>
        <v>0</v>
      </c>
      <c r="Z56" s="188">
        <f>(财务基础数据!AE102+财务基础数据!AE103)*目录!$D$6</f>
        <v>0</v>
      </c>
      <c r="AA56" s="188">
        <f>(财务基础数据!AF102+财务基础数据!AF103)*目录!$D$6</f>
        <v>0</v>
      </c>
      <c r="AB56" s="188">
        <f>(财务基础数据!AG102+财务基础数据!AG103)*目录!$D$6</f>
        <v>0</v>
      </c>
      <c r="AC56" s="188">
        <f>(财务基础数据!AH102+财务基础数据!AH103)*目录!$D$6</f>
        <v>0</v>
      </c>
      <c r="AD56" s="188">
        <f>(财务基础数据!AI102+财务基础数据!AI103)*目录!$D$6</f>
        <v>0</v>
      </c>
      <c r="AE56" s="188">
        <f>(财务基础数据!AJ102+财务基础数据!AJ103)*目录!$D$6</f>
        <v>0</v>
      </c>
      <c r="AF56" s="188">
        <f>(财务基础数据!AK102+财务基础数据!AK103)*目录!$D$6</f>
        <v>0</v>
      </c>
      <c r="AG56" s="188">
        <f>(财务基础数据!AL102+财务基础数据!AL103)*目录!$D$6</f>
        <v>0</v>
      </c>
      <c r="AH56" s="188">
        <f>(财务基础数据!AM102+财务基础数据!AM103)*目录!$D$6</f>
        <v>0</v>
      </c>
      <c r="AI56" s="188">
        <f>(财务基础数据!AN102+财务基础数据!AN103)*目录!$D$6</f>
        <v>0</v>
      </c>
      <c r="AJ56" s="188">
        <f>(财务基础数据!AO102+财务基础数据!AO103)*目录!$D$6</f>
        <v>0</v>
      </c>
      <c r="AK56" s="188">
        <f>IF(ISERROR(资产预测!L52),"—",资产预测!L52)</f>
        <v>0</v>
      </c>
      <c r="AL56" s="188">
        <f>IF(ISERROR(资产预测!M52),"—",资产预测!M52)</f>
        <v>0</v>
      </c>
      <c r="AM56" s="188">
        <f>IF(ISERROR(资产预测!N52),"—",资产预测!N52)</f>
        <v>0</v>
      </c>
      <c r="AN56" s="188">
        <f>IF(ISERROR(资产预测!O52),"—",资产预测!O52)</f>
        <v>0</v>
      </c>
      <c r="AO56" s="188">
        <f>IF(ISERROR(资产预测!P52),"—",资产预测!P52)</f>
        <v>0</v>
      </c>
      <c r="AP56" s="188">
        <f>IF(ISERROR(资产预测!Q52),"—",资产预测!Q52)</f>
        <v>0</v>
      </c>
      <c r="AQ56" s="188">
        <f>IF(ISERROR(资产预测!R52),"—",资产预测!R52)</f>
        <v>0</v>
      </c>
      <c r="AR56" s="188">
        <f>IF(ISERROR(资产预测!S52),"—",资产预测!S52)</f>
        <v>0</v>
      </c>
      <c r="AS56" s="188">
        <f>IF(ISERROR(资产预测!T52),"—",资产预测!T52)</f>
        <v>0</v>
      </c>
      <c r="AT56" s="188">
        <f>IF(ISERROR(资产预测!U52),"—",资产预测!U52)</f>
        <v>0</v>
      </c>
      <c r="AU56" s="556"/>
      <c r="AV56" s="560"/>
    </row>
    <row r="57" spans="1:48" s="161" customFormat="1" ht="15" customHeight="1">
      <c r="A57" s="96"/>
      <c r="B57" s="430" t="s">
        <v>127</v>
      </c>
      <c r="C57" s="537"/>
      <c r="D57" s="538"/>
      <c r="E57" s="524">
        <f>(财务基础数据!J104)*目录!$D$6</f>
        <v>0</v>
      </c>
      <c r="F57" s="524">
        <f>(财务基础数据!K104)*目录!$D$6</f>
        <v>0</v>
      </c>
      <c r="G57" s="524">
        <f>(财务基础数据!L104)*目录!$D$6</f>
        <v>0</v>
      </c>
      <c r="H57" s="524">
        <f>(财务基础数据!M104)*目录!$D$6</f>
        <v>0</v>
      </c>
      <c r="I57" s="524">
        <f>(财务基础数据!N104)*目录!$D$6</f>
        <v>0</v>
      </c>
      <c r="J57" s="524">
        <f>(财务基础数据!O104)*目录!$D$6</f>
        <v>0</v>
      </c>
      <c r="K57" s="524">
        <f>(财务基础数据!P104)*目录!$D$6</f>
        <v>0</v>
      </c>
      <c r="L57" s="524">
        <f>(财务基础数据!Q104)*目录!$D$6</f>
        <v>0</v>
      </c>
      <c r="M57" s="524">
        <f>(财务基础数据!R104)*目录!$D$6</f>
        <v>0</v>
      </c>
      <c r="N57" s="524">
        <f>(财务基础数据!S104)*目录!$D$6</f>
        <v>0</v>
      </c>
      <c r="O57" s="524">
        <f>(财务基础数据!T104)*目录!$D$6</f>
        <v>0</v>
      </c>
      <c r="P57" s="524">
        <f>(财务基础数据!U104)*目录!$D$6</f>
        <v>0</v>
      </c>
      <c r="Q57" s="524">
        <f>(财务基础数据!V104)*目录!$D$6</f>
        <v>0</v>
      </c>
      <c r="R57" s="524">
        <f>(财务基础数据!W104)*目录!$D$6</f>
        <v>0</v>
      </c>
      <c r="S57" s="524">
        <f>(财务基础数据!X104)*目录!$D$6</f>
        <v>0</v>
      </c>
      <c r="T57" s="524">
        <f>(财务基础数据!Y104)*目录!$D$6</f>
        <v>0</v>
      </c>
      <c r="U57" s="524">
        <f>(财务基础数据!Z104)*目录!$D$6</f>
        <v>0</v>
      </c>
      <c r="V57" s="524">
        <f>(财务基础数据!AA104)*目录!$D$6</f>
        <v>0</v>
      </c>
      <c r="W57" s="524">
        <f>(财务基础数据!AB104)*目录!$D$6</f>
        <v>0</v>
      </c>
      <c r="X57" s="524">
        <f>(财务基础数据!AC104)*目录!$D$6</f>
        <v>0</v>
      </c>
      <c r="Y57" s="524">
        <f>(财务基础数据!AD104)*目录!$D$6</f>
        <v>0</v>
      </c>
      <c r="Z57" s="524">
        <f>(财务基础数据!AE104)*目录!$D$6</f>
        <v>0</v>
      </c>
      <c r="AA57" s="524">
        <f>(财务基础数据!AF104)*目录!$D$6</f>
        <v>0</v>
      </c>
      <c r="AB57" s="524">
        <f>(财务基础数据!AG104)*目录!$D$6</f>
        <v>0</v>
      </c>
      <c r="AC57" s="524">
        <f>(财务基础数据!AH104)*目录!$D$6</f>
        <v>0</v>
      </c>
      <c r="AD57" s="524">
        <f>(财务基础数据!AI104)*目录!$D$6</f>
        <v>0</v>
      </c>
      <c r="AE57" s="524">
        <f>(财务基础数据!AJ104)*目录!$D$6</f>
        <v>0</v>
      </c>
      <c r="AF57" s="524">
        <f>(财务基础数据!AK104)*目录!$D$6</f>
        <v>0</v>
      </c>
      <c r="AG57" s="524">
        <f>(财务基础数据!AL104)*目录!$D$6</f>
        <v>0</v>
      </c>
      <c r="AH57" s="524">
        <f>(财务基础数据!AM104)*目录!$D$6</f>
        <v>0</v>
      </c>
      <c r="AI57" s="524">
        <f>(财务基础数据!AN104)*目录!$D$6</f>
        <v>0</v>
      </c>
      <c r="AJ57" s="524">
        <f>(财务基础数据!AO104)*目录!$D$6</f>
        <v>0</v>
      </c>
      <c r="AK57" s="188">
        <f>IF(ISERROR(资产预测!L55),"—",资产预测!L55)</f>
        <v>0</v>
      </c>
      <c r="AL57" s="188">
        <f>IF(ISERROR(资产预测!M55),"—",资产预测!M55)</f>
        <v>0</v>
      </c>
      <c r="AM57" s="188">
        <f>IF(ISERROR(资产预测!N55),"—",资产预测!N55)</f>
        <v>0</v>
      </c>
      <c r="AN57" s="188">
        <f>IF(ISERROR(资产预测!O55),"—",资产预测!O55)</f>
        <v>0</v>
      </c>
      <c r="AO57" s="188">
        <f>IF(ISERROR(资产预测!P55),"—",资产预测!P55)</f>
        <v>0</v>
      </c>
      <c r="AP57" s="188">
        <f>IF(ISERROR(资产预测!Q55),"—",资产预测!Q55)</f>
        <v>0</v>
      </c>
      <c r="AQ57" s="188">
        <f>IF(ISERROR(资产预测!R55),"—",资产预测!R55)</f>
        <v>0</v>
      </c>
      <c r="AR57" s="188">
        <f>IF(ISERROR(资产预测!S55),"—",资产预测!S55)</f>
        <v>0</v>
      </c>
      <c r="AS57" s="188">
        <f>IF(ISERROR(资产预测!T55),"—",资产预测!T55)</f>
        <v>0</v>
      </c>
      <c r="AT57" s="188">
        <f>IF(ISERROR(资产预测!U55),"—",资产预测!U55)</f>
        <v>0</v>
      </c>
      <c r="AU57" s="556"/>
      <c r="AV57" s="557"/>
    </row>
    <row r="58" spans="1:48" s="161" customFormat="1" ht="15" customHeight="1">
      <c r="A58" s="96"/>
      <c r="B58" s="530" t="s">
        <v>128</v>
      </c>
      <c r="C58" s="537"/>
      <c r="D58" s="538"/>
      <c r="E58" s="524">
        <f>(财务基础数据!J156)*目录!$D$6</f>
        <v>0</v>
      </c>
      <c r="F58" s="524">
        <f>(财务基础数据!K156)*目录!$D$6</f>
        <v>0</v>
      </c>
      <c r="G58" s="524">
        <f>(财务基础数据!L156)*目录!$D$6</f>
        <v>0</v>
      </c>
      <c r="H58" s="524">
        <f>(财务基础数据!M156)*目录!$D$6</f>
        <v>0</v>
      </c>
      <c r="I58" s="524">
        <f>(财务基础数据!N156)*目录!$D$6</f>
        <v>0</v>
      </c>
      <c r="J58" s="524">
        <f>(财务基础数据!O156)*目录!$D$6</f>
        <v>0</v>
      </c>
      <c r="K58" s="524">
        <f>(财务基础数据!P156)*目录!$D$6</f>
        <v>0</v>
      </c>
      <c r="L58" s="524">
        <f>(财务基础数据!Q156)*目录!$D$6</f>
        <v>0</v>
      </c>
      <c r="M58" s="524">
        <f>(财务基础数据!R156)*目录!$D$6</f>
        <v>0</v>
      </c>
      <c r="N58" s="524">
        <f>(财务基础数据!S156)*目录!$D$6</f>
        <v>0</v>
      </c>
      <c r="O58" s="524">
        <f>(财务基础数据!T156)*目录!$D$6</f>
        <v>0</v>
      </c>
      <c r="P58" s="524">
        <f>(财务基础数据!U156)*目录!$D$6</f>
        <v>0</v>
      </c>
      <c r="Q58" s="524">
        <f>(财务基础数据!V156)*目录!$D$6</f>
        <v>0</v>
      </c>
      <c r="R58" s="524">
        <f>(财务基础数据!W156)*目录!$D$6</f>
        <v>0</v>
      </c>
      <c r="S58" s="524">
        <f>(财务基础数据!X156)*目录!$D$6</f>
        <v>0</v>
      </c>
      <c r="T58" s="524">
        <f>(财务基础数据!Y156)*目录!$D$6</f>
        <v>0</v>
      </c>
      <c r="U58" s="524">
        <f>(财务基础数据!Z156)*目录!$D$6</f>
        <v>0</v>
      </c>
      <c r="V58" s="524">
        <f>(财务基础数据!AA156)*目录!$D$6</f>
        <v>0</v>
      </c>
      <c r="W58" s="524">
        <f>(财务基础数据!AB156)*目录!$D$6</f>
        <v>0</v>
      </c>
      <c r="X58" s="524">
        <f>(财务基础数据!AC156)*目录!$D$6</f>
        <v>0</v>
      </c>
      <c r="Y58" s="524">
        <f>(财务基础数据!AD156)*目录!$D$6</f>
        <v>0</v>
      </c>
      <c r="Z58" s="524">
        <f>(财务基础数据!AE156)*目录!$D$6</f>
        <v>0</v>
      </c>
      <c r="AA58" s="524">
        <f>(财务基础数据!AF156)*目录!$D$6</f>
        <v>0</v>
      </c>
      <c r="AB58" s="524">
        <f>(财务基础数据!AG156)*目录!$D$6</f>
        <v>0</v>
      </c>
      <c r="AC58" s="524">
        <f>(财务基础数据!AH156)*目录!$D$6</f>
        <v>0</v>
      </c>
      <c r="AD58" s="524">
        <f>(财务基础数据!AI156)*目录!$D$6</f>
        <v>0</v>
      </c>
      <c r="AE58" s="524">
        <f>(财务基础数据!AJ156)*目录!$D$6</f>
        <v>0</v>
      </c>
      <c r="AF58" s="524">
        <f>(财务基础数据!AK156)*目录!$D$6</f>
        <v>0</v>
      </c>
      <c r="AG58" s="524">
        <f>(财务基础数据!AL156)*目录!$D$6</f>
        <v>0</v>
      </c>
      <c r="AH58" s="198">
        <f>(财务基础数据!AM156)*目录!$D$6</f>
        <v>0</v>
      </c>
      <c r="AI58" s="198">
        <f>(财务基础数据!AN156)*目录!$D$6</f>
        <v>0</v>
      </c>
      <c r="AJ58" s="198">
        <f>(财务基础数据!AO156)*目录!$D$6</f>
        <v>0</v>
      </c>
      <c r="AK58" s="188">
        <f>IF(ISERROR(资产预测!L58),"—",资产预测!L58)</f>
        <v>0</v>
      </c>
      <c r="AL58" s="188">
        <f>IF(ISERROR(资产预测!M58),"—",资产预测!M58)</f>
        <v>0</v>
      </c>
      <c r="AM58" s="188">
        <f>IF(ISERROR(资产预测!N58),"—",资产预测!N58)</f>
        <v>0</v>
      </c>
      <c r="AN58" s="188">
        <f>IF(ISERROR(资产预测!O58),"—",资产预测!O58)</f>
        <v>0</v>
      </c>
      <c r="AO58" s="188">
        <f>IF(ISERROR(资产预测!P58),"—",资产预测!P58)</f>
        <v>0</v>
      </c>
      <c r="AP58" s="188">
        <f>IF(ISERROR(资产预测!Q58),"—",资产预测!Q58)</f>
        <v>0</v>
      </c>
      <c r="AQ58" s="188">
        <f>IF(ISERROR(资产预测!R58),"—",资产预测!R58)</f>
        <v>0</v>
      </c>
      <c r="AR58" s="188">
        <f>IF(ISERROR(资产预测!S58),"—",资产预测!S58)</f>
        <v>0</v>
      </c>
      <c r="AS58" s="188">
        <f>IF(ISERROR(资产预测!T58),"—",资产预测!T58)</f>
        <v>0</v>
      </c>
      <c r="AT58" s="188">
        <f>IF(ISERROR(资产预测!U58),"—",资产预测!U58)</f>
        <v>0</v>
      </c>
      <c r="AU58" s="556"/>
      <c r="AV58" s="557"/>
    </row>
    <row r="59" spans="1:48" s="161" customFormat="1" ht="15" customHeight="1">
      <c r="A59" s="30"/>
      <c r="B59" s="490" t="s">
        <v>410</v>
      </c>
      <c r="C59" s="537"/>
      <c r="D59" s="514"/>
      <c r="E59" s="188">
        <f>财务基础数据!J142*目录!$D$6</f>
        <v>0</v>
      </c>
      <c r="F59" s="188">
        <f>财务基础数据!K142*目录!$D$6</f>
        <v>0</v>
      </c>
      <c r="G59" s="188">
        <f>财务基础数据!L142*目录!$D$6</f>
        <v>0</v>
      </c>
      <c r="H59" s="188">
        <f>财务基础数据!M142*目录!$D$6</f>
        <v>0</v>
      </c>
      <c r="I59" s="188">
        <f>财务基础数据!N142*目录!$D$6</f>
        <v>0</v>
      </c>
      <c r="J59" s="188">
        <f>财务基础数据!O142*目录!$D$6</f>
        <v>0</v>
      </c>
      <c r="K59" s="188">
        <f>财务基础数据!P142*目录!$D$6</f>
        <v>0</v>
      </c>
      <c r="L59" s="188">
        <f>财务基础数据!Q142*目录!$D$6</f>
        <v>0</v>
      </c>
      <c r="M59" s="188">
        <f>财务基础数据!R142*目录!$D$6</f>
        <v>0</v>
      </c>
      <c r="N59" s="188">
        <f>财务基础数据!S142*目录!$D$6</f>
        <v>0</v>
      </c>
      <c r="O59" s="188">
        <f>财务基础数据!T142*目录!$D$6</f>
        <v>0</v>
      </c>
      <c r="P59" s="188">
        <f>财务基础数据!U142*目录!$D$6</f>
        <v>0</v>
      </c>
      <c r="Q59" s="188">
        <f>财务基础数据!V142*目录!$D$6</f>
        <v>0</v>
      </c>
      <c r="R59" s="188">
        <f>财务基础数据!W142*目录!$D$6</f>
        <v>0</v>
      </c>
      <c r="S59" s="188">
        <f>财务基础数据!X142*目录!$D$6</f>
        <v>0</v>
      </c>
      <c r="T59" s="188">
        <f>财务基础数据!Y142*目录!$D$6</f>
        <v>0</v>
      </c>
      <c r="U59" s="188">
        <f>财务基础数据!Z142*目录!$D$6</f>
        <v>0</v>
      </c>
      <c r="V59" s="188">
        <f>财务基础数据!AA142*目录!$D$6</f>
        <v>0</v>
      </c>
      <c r="W59" s="188">
        <f>财务基础数据!AB142*目录!$D$6</f>
        <v>0</v>
      </c>
      <c r="X59" s="188">
        <f>财务基础数据!AC142*目录!$D$6</f>
        <v>0</v>
      </c>
      <c r="Y59" s="188">
        <f>财务基础数据!AD142*目录!$D$6</f>
        <v>0</v>
      </c>
      <c r="Z59" s="188">
        <f>财务基础数据!AE142*目录!$D$6</f>
        <v>0</v>
      </c>
      <c r="AA59" s="188">
        <f>财务基础数据!AF142*目录!$D$6</f>
        <v>0</v>
      </c>
      <c r="AB59" s="188">
        <f>财务基础数据!AG142*目录!$D$6</f>
        <v>0</v>
      </c>
      <c r="AC59" s="188">
        <f>财务基础数据!AH142*目录!$D$6</f>
        <v>0</v>
      </c>
      <c r="AD59" s="188">
        <f>财务基础数据!AI142*目录!$D$6</f>
        <v>0</v>
      </c>
      <c r="AE59" s="188">
        <f>财务基础数据!AJ142*目录!$D$6</f>
        <v>0</v>
      </c>
      <c r="AF59" s="188">
        <f>财务基础数据!AK142*目录!$D$6</f>
        <v>0</v>
      </c>
      <c r="AG59" s="188">
        <f>财务基础数据!AL142*目录!$D$6</f>
        <v>0</v>
      </c>
      <c r="AH59" s="118">
        <f>财务基础数据!AM142*目录!$D$6</f>
        <v>0</v>
      </c>
      <c r="AI59" s="118">
        <f>财务基础数据!AN142*目录!$D$6</f>
        <v>0</v>
      </c>
      <c r="AJ59" s="118">
        <f>财务基础数据!AO142*目录!$D$6</f>
        <v>0</v>
      </c>
      <c r="AK59" s="548">
        <f>IF(财务基础数据!$AM$4=0,AG59,IF(财务基础数据!$AM$4=1,AH59,IF(财务基础数据!$AM$4=2,AI59,AJ59)))</f>
        <v>0</v>
      </c>
      <c r="AL59" s="548">
        <f t="shared" ref="AL59:AT59" si="12">AK59</f>
        <v>0</v>
      </c>
      <c r="AM59" s="548">
        <f t="shared" si="12"/>
        <v>0</v>
      </c>
      <c r="AN59" s="548">
        <f t="shared" si="12"/>
        <v>0</v>
      </c>
      <c r="AO59" s="548">
        <f t="shared" si="12"/>
        <v>0</v>
      </c>
      <c r="AP59" s="548">
        <f t="shared" si="12"/>
        <v>0</v>
      </c>
      <c r="AQ59" s="548">
        <f t="shared" si="12"/>
        <v>0</v>
      </c>
      <c r="AR59" s="548">
        <f t="shared" si="12"/>
        <v>0</v>
      </c>
      <c r="AS59" s="548">
        <f t="shared" si="12"/>
        <v>0</v>
      </c>
      <c r="AT59" s="548">
        <f t="shared" si="12"/>
        <v>0</v>
      </c>
      <c r="AU59" s="556"/>
      <c r="AV59" s="557"/>
    </row>
    <row r="60" spans="1:48" ht="15" customHeight="1">
      <c r="A60" s="161"/>
      <c r="B60" s="530" t="s">
        <v>411</v>
      </c>
      <c r="C60" s="537"/>
      <c r="E60" s="524">
        <f>(财务基础数据!J107+财务基础数据!J108)*目录!$D$6</f>
        <v>0</v>
      </c>
      <c r="F60" s="524">
        <f>(财务基础数据!K107+财务基础数据!K108)*目录!$D$6</f>
        <v>0</v>
      </c>
      <c r="G60" s="524">
        <f>(财务基础数据!L107+财务基础数据!L108)*目录!$D$6</f>
        <v>0</v>
      </c>
      <c r="H60" s="524">
        <f>(财务基础数据!M107+财务基础数据!M108)*目录!$D$6</f>
        <v>0</v>
      </c>
      <c r="I60" s="524">
        <f>(财务基础数据!N107+财务基础数据!N108)*目录!$D$6</f>
        <v>0</v>
      </c>
      <c r="J60" s="524">
        <f>(财务基础数据!O107+财务基础数据!O108)*目录!$D$6</f>
        <v>0</v>
      </c>
      <c r="K60" s="524">
        <f>(财务基础数据!P107+财务基础数据!P108)*目录!$D$6</f>
        <v>0</v>
      </c>
      <c r="L60" s="524">
        <f>(财务基础数据!Q107+财务基础数据!Q108)*目录!$D$6</f>
        <v>0</v>
      </c>
      <c r="M60" s="524">
        <f>(财务基础数据!R107+财务基础数据!R108)*目录!$D$6</f>
        <v>0</v>
      </c>
      <c r="N60" s="524">
        <f>(财务基础数据!S107+财务基础数据!S108)*目录!$D$6</f>
        <v>0</v>
      </c>
      <c r="O60" s="524">
        <f>(财务基础数据!T107+财务基础数据!T108)*目录!$D$6</f>
        <v>0</v>
      </c>
      <c r="P60" s="524">
        <f>(财务基础数据!U107+财务基础数据!U108)*目录!$D$6</f>
        <v>0</v>
      </c>
      <c r="Q60" s="524">
        <f>(财务基础数据!V107+财务基础数据!V108)*目录!$D$6</f>
        <v>0</v>
      </c>
      <c r="R60" s="524">
        <f>(财务基础数据!W107+财务基础数据!W108)*目录!$D$6</f>
        <v>0</v>
      </c>
      <c r="S60" s="524">
        <f>(财务基础数据!X107+财务基础数据!X108)*目录!$D$6</f>
        <v>0</v>
      </c>
      <c r="T60" s="524">
        <f>(财务基础数据!Y107+财务基础数据!Y108)*目录!$D$6</f>
        <v>0</v>
      </c>
      <c r="U60" s="524">
        <f>(财务基础数据!Z107+财务基础数据!Z108)*目录!$D$6</f>
        <v>0</v>
      </c>
      <c r="V60" s="524">
        <f>(财务基础数据!AA107+财务基础数据!AA108)*目录!$D$6</f>
        <v>0</v>
      </c>
      <c r="W60" s="524">
        <f>(财务基础数据!AB107+财务基础数据!AB108)*目录!$D$6</f>
        <v>0</v>
      </c>
      <c r="X60" s="524">
        <f>(财务基础数据!AC107+财务基础数据!AC108)*目录!$D$6</f>
        <v>0</v>
      </c>
      <c r="Y60" s="524">
        <f>(财务基础数据!AD107+财务基础数据!AD108)*目录!$D$6</f>
        <v>0</v>
      </c>
      <c r="Z60" s="524">
        <f>(财务基础数据!AE107+财务基础数据!AE108)*目录!$D$6</f>
        <v>0</v>
      </c>
      <c r="AA60" s="524">
        <f>(财务基础数据!AF107+财务基础数据!AF108)*目录!$D$6</f>
        <v>0</v>
      </c>
      <c r="AB60" s="524">
        <f>(财务基础数据!AG107+财务基础数据!AG108)*目录!$D$6</f>
        <v>0</v>
      </c>
      <c r="AC60" s="524">
        <f>(财务基础数据!AH107+财务基础数据!AH108)*目录!$D$6</f>
        <v>0</v>
      </c>
      <c r="AD60" s="524">
        <f>(财务基础数据!AI107+财务基础数据!AI108)*目录!$D$6</f>
        <v>0</v>
      </c>
      <c r="AE60" s="524">
        <f>(财务基础数据!AJ107+财务基础数据!AJ108)*目录!$D$6</f>
        <v>0</v>
      </c>
      <c r="AF60" s="524">
        <f>(财务基础数据!AK107+财务基础数据!AK108)*目录!$D$6</f>
        <v>0</v>
      </c>
      <c r="AG60" s="524">
        <f>(财务基础数据!AL107+财务基础数据!AL108)*目录!$D$6</f>
        <v>0</v>
      </c>
      <c r="AH60" s="198">
        <f>(财务基础数据!AM107+财务基础数据!AM108)*目录!$D$6</f>
        <v>0</v>
      </c>
      <c r="AI60" s="198">
        <f>(财务基础数据!AN107+财务基础数据!AN108)*目录!$D$6</f>
        <v>0</v>
      </c>
      <c r="AJ60" s="198">
        <f>(财务基础数据!AO107+财务基础数据!AO108)*目录!$D$6</f>
        <v>0</v>
      </c>
      <c r="AK60" s="548">
        <f>IF(财务基础数据!$AM$4=0,AG60,IF(财务基础数据!$AM$4=1,AH60,IF(财务基础数据!$AM$4=2,AI60,AJ60)))</f>
        <v>0</v>
      </c>
      <c r="AL60" s="548">
        <f t="shared" ref="AL60:AT60" si="13">AK60</f>
        <v>0</v>
      </c>
      <c r="AM60" s="548">
        <f t="shared" si="13"/>
        <v>0</v>
      </c>
      <c r="AN60" s="548">
        <f t="shared" si="13"/>
        <v>0</v>
      </c>
      <c r="AO60" s="548">
        <f t="shared" si="13"/>
        <v>0</v>
      </c>
      <c r="AP60" s="548">
        <f t="shared" si="13"/>
        <v>0</v>
      </c>
      <c r="AQ60" s="548">
        <f t="shared" si="13"/>
        <v>0</v>
      </c>
      <c r="AR60" s="548">
        <f t="shared" si="13"/>
        <v>0</v>
      </c>
      <c r="AS60" s="548">
        <f t="shared" si="13"/>
        <v>0</v>
      </c>
      <c r="AT60" s="548">
        <f t="shared" si="13"/>
        <v>0</v>
      </c>
      <c r="AU60" s="556"/>
      <c r="AV60" s="557"/>
    </row>
    <row r="61" spans="1:48" s="161" customFormat="1" ht="15" customHeight="1">
      <c r="A61" s="30"/>
      <c r="B61" s="539" t="s">
        <v>142</v>
      </c>
      <c r="C61" s="540"/>
      <c r="D61" s="541"/>
      <c r="E61" s="531">
        <f>E62-SUM(E49:E60)</f>
        <v>0</v>
      </c>
      <c r="F61" s="531">
        <f t="shared" ref="F61:AJ61" si="14">F62-SUM(F49:F60)</f>
        <v>0</v>
      </c>
      <c r="G61" s="531">
        <f t="shared" si="14"/>
        <v>0</v>
      </c>
      <c r="H61" s="531">
        <f t="shared" si="14"/>
        <v>0</v>
      </c>
      <c r="I61" s="531">
        <f t="shared" si="14"/>
        <v>0</v>
      </c>
      <c r="J61" s="531">
        <f t="shared" si="14"/>
        <v>0</v>
      </c>
      <c r="K61" s="531">
        <f t="shared" si="14"/>
        <v>0</v>
      </c>
      <c r="L61" s="531">
        <f t="shared" si="14"/>
        <v>0</v>
      </c>
      <c r="M61" s="531">
        <f t="shared" si="14"/>
        <v>0</v>
      </c>
      <c r="N61" s="531">
        <f t="shared" si="14"/>
        <v>0</v>
      </c>
      <c r="O61" s="531">
        <f t="shared" si="14"/>
        <v>0</v>
      </c>
      <c r="P61" s="531">
        <f t="shared" si="14"/>
        <v>0</v>
      </c>
      <c r="Q61" s="531">
        <f t="shared" si="14"/>
        <v>0</v>
      </c>
      <c r="R61" s="531">
        <f t="shared" si="14"/>
        <v>0</v>
      </c>
      <c r="S61" s="531">
        <f t="shared" si="14"/>
        <v>0</v>
      </c>
      <c r="T61" s="531">
        <f t="shared" si="14"/>
        <v>0</v>
      </c>
      <c r="U61" s="531">
        <f t="shared" si="14"/>
        <v>0</v>
      </c>
      <c r="V61" s="531">
        <f t="shared" si="14"/>
        <v>0</v>
      </c>
      <c r="W61" s="531">
        <f t="shared" si="14"/>
        <v>0</v>
      </c>
      <c r="X61" s="531">
        <f t="shared" si="14"/>
        <v>0</v>
      </c>
      <c r="Y61" s="531">
        <f t="shared" si="14"/>
        <v>0</v>
      </c>
      <c r="Z61" s="531">
        <f t="shared" si="14"/>
        <v>0</v>
      </c>
      <c r="AA61" s="531">
        <f t="shared" si="14"/>
        <v>0</v>
      </c>
      <c r="AB61" s="531">
        <f t="shared" si="14"/>
        <v>0</v>
      </c>
      <c r="AC61" s="531">
        <f t="shared" si="14"/>
        <v>0</v>
      </c>
      <c r="AD61" s="531">
        <f t="shared" si="14"/>
        <v>0</v>
      </c>
      <c r="AE61" s="531">
        <f t="shared" si="14"/>
        <v>0</v>
      </c>
      <c r="AF61" s="531">
        <f t="shared" si="14"/>
        <v>0</v>
      </c>
      <c r="AG61" s="531">
        <f t="shared" si="14"/>
        <v>0</v>
      </c>
      <c r="AH61" s="531">
        <f t="shared" si="14"/>
        <v>0</v>
      </c>
      <c r="AI61" s="531">
        <f t="shared" si="14"/>
        <v>0</v>
      </c>
      <c r="AJ61" s="531">
        <f t="shared" si="14"/>
        <v>0</v>
      </c>
      <c r="AK61" s="135">
        <f>IF(ISERROR(资产预测!L91),"—",资产预测!L91)</f>
        <v>0</v>
      </c>
      <c r="AL61" s="135">
        <f>IF(ISERROR(资产预测!M91),"—",资产预测!M91)</f>
        <v>0</v>
      </c>
      <c r="AM61" s="135">
        <f>IF(ISERROR(资产预测!N91),"—",资产预测!N91)</f>
        <v>0</v>
      </c>
      <c r="AN61" s="135">
        <f>IF(ISERROR(资产预测!O91),"—",资产预测!O91)</f>
        <v>0</v>
      </c>
      <c r="AO61" s="135">
        <f>IF(ISERROR(资产预测!P91),"—",资产预测!P91)</f>
        <v>0</v>
      </c>
      <c r="AP61" s="135">
        <f>IF(ISERROR(资产预测!Q91),"—",资产预测!Q91)</f>
        <v>0</v>
      </c>
      <c r="AQ61" s="135">
        <f>IF(ISERROR(资产预测!R91),"—",资产预测!R91)</f>
        <v>0</v>
      </c>
      <c r="AR61" s="135">
        <f>IF(ISERROR(资产预测!S91),"—",资产预测!S91)</f>
        <v>0</v>
      </c>
      <c r="AS61" s="135">
        <f>IF(ISERROR(资产预测!T91),"—",资产预测!T91)</f>
        <v>0</v>
      </c>
      <c r="AT61" s="135">
        <f>IF(ISERROR(资产预测!U91),"—",资产预测!U91)</f>
        <v>0</v>
      </c>
      <c r="AU61" s="556"/>
      <c r="AV61" s="560"/>
    </row>
    <row r="62" spans="1:48" s="161" customFormat="1" ht="15" customHeight="1">
      <c r="A62" s="96"/>
      <c r="B62" s="542" t="s">
        <v>412</v>
      </c>
      <c r="C62" s="537"/>
      <c r="D62" s="538"/>
      <c r="E62" s="536">
        <f>财务基础数据!J110*目录!$D$6</f>
        <v>0</v>
      </c>
      <c r="F62" s="536">
        <f>财务基础数据!K110*目录!$D$6</f>
        <v>0</v>
      </c>
      <c r="G62" s="536">
        <f>财务基础数据!L110*目录!$D$6</f>
        <v>0</v>
      </c>
      <c r="H62" s="536">
        <f>财务基础数据!M110*目录!$D$6</f>
        <v>0</v>
      </c>
      <c r="I62" s="536">
        <f>财务基础数据!N110*目录!$D$6</f>
        <v>0</v>
      </c>
      <c r="J62" s="536">
        <f>财务基础数据!O110*目录!$D$6</f>
        <v>0</v>
      </c>
      <c r="K62" s="536">
        <f>财务基础数据!P110*目录!$D$6</f>
        <v>0</v>
      </c>
      <c r="L62" s="536">
        <f>财务基础数据!Q110*目录!$D$6</f>
        <v>0</v>
      </c>
      <c r="M62" s="536">
        <f>财务基础数据!R110*目录!$D$6</f>
        <v>0</v>
      </c>
      <c r="N62" s="536">
        <f>财务基础数据!S110*目录!$D$6</f>
        <v>0</v>
      </c>
      <c r="O62" s="536">
        <f>财务基础数据!T110*目录!$D$6</f>
        <v>0</v>
      </c>
      <c r="P62" s="536">
        <f>财务基础数据!U110*目录!$D$6</f>
        <v>0</v>
      </c>
      <c r="Q62" s="536">
        <f>财务基础数据!V110*目录!$D$6</f>
        <v>0</v>
      </c>
      <c r="R62" s="536">
        <f>财务基础数据!W110*目录!$D$6</f>
        <v>0</v>
      </c>
      <c r="S62" s="536">
        <f>财务基础数据!X110*目录!$D$6</f>
        <v>0</v>
      </c>
      <c r="T62" s="536">
        <f>财务基础数据!Y110*目录!$D$6</f>
        <v>0</v>
      </c>
      <c r="U62" s="536">
        <f>财务基础数据!Z110*目录!$D$6</f>
        <v>0</v>
      </c>
      <c r="V62" s="536">
        <f>财务基础数据!AA110*目录!$D$6</f>
        <v>0</v>
      </c>
      <c r="W62" s="536">
        <f>财务基础数据!AB110*目录!$D$6</f>
        <v>0</v>
      </c>
      <c r="X62" s="536">
        <f>财务基础数据!AC110*目录!$D$6</f>
        <v>0</v>
      </c>
      <c r="Y62" s="536">
        <f>财务基础数据!AD110*目录!$D$6</f>
        <v>0</v>
      </c>
      <c r="Z62" s="536">
        <f>财务基础数据!AE110*目录!$D$6</f>
        <v>0</v>
      </c>
      <c r="AA62" s="536">
        <f>财务基础数据!AF110*目录!$D$6</f>
        <v>0</v>
      </c>
      <c r="AB62" s="536">
        <f>财务基础数据!AG110*目录!$D$6</f>
        <v>0</v>
      </c>
      <c r="AC62" s="536">
        <f>财务基础数据!AH110*目录!$D$6</f>
        <v>0</v>
      </c>
      <c r="AD62" s="536">
        <f>财务基础数据!AI110*目录!$D$6</f>
        <v>0</v>
      </c>
      <c r="AE62" s="536">
        <f>财务基础数据!AJ110*目录!$D$6</f>
        <v>0</v>
      </c>
      <c r="AF62" s="536">
        <f>财务基础数据!AK110*目录!$D$6</f>
        <v>0</v>
      </c>
      <c r="AG62" s="536">
        <f>财务基础数据!AL110*目录!$D$6</f>
        <v>0</v>
      </c>
      <c r="AH62" s="536">
        <f>财务基础数据!AM110*目录!$D$6</f>
        <v>0</v>
      </c>
      <c r="AI62" s="536">
        <f>财务基础数据!AN110*目录!$D$6</f>
        <v>0</v>
      </c>
      <c r="AJ62" s="536">
        <f>财务基础数据!AO110*目录!$D$6</f>
        <v>0</v>
      </c>
      <c r="AK62" s="536">
        <f t="shared" ref="AK62:AT62" si="15">SUM(AK49:AK61)</f>
        <v>0</v>
      </c>
      <c r="AL62" s="536">
        <f t="shared" si="15"/>
        <v>0</v>
      </c>
      <c r="AM62" s="536">
        <f t="shared" si="15"/>
        <v>0</v>
      </c>
      <c r="AN62" s="536">
        <f t="shared" si="15"/>
        <v>0</v>
      </c>
      <c r="AO62" s="536">
        <f t="shared" si="15"/>
        <v>0</v>
      </c>
      <c r="AP62" s="536">
        <f t="shared" si="15"/>
        <v>0</v>
      </c>
      <c r="AQ62" s="536">
        <f t="shared" si="15"/>
        <v>0</v>
      </c>
      <c r="AR62" s="536">
        <f t="shared" si="15"/>
        <v>0</v>
      </c>
      <c r="AS62" s="536">
        <f t="shared" si="15"/>
        <v>0</v>
      </c>
      <c r="AT62" s="536">
        <f t="shared" si="15"/>
        <v>0</v>
      </c>
      <c r="AU62" s="556"/>
      <c r="AV62" s="557"/>
    </row>
    <row r="63" spans="1:48" s="512" customFormat="1" ht="15" customHeight="1">
      <c r="A63" s="511"/>
      <c r="B63" s="310"/>
      <c r="C63" s="543"/>
      <c r="D63" s="544"/>
      <c r="E63" s="529"/>
      <c r="F63" s="529"/>
      <c r="G63" s="529"/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529"/>
      <c r="AH63" s="545"/>
      <c r="AI63" s="545"/>
      <c r="AJ63" s="545"/>
      <c r="AK63" s="553"/>
      <c r="AL63" s="553"/>
      <c r="AM63" s="553"/>
      <c r="AN63" s="553"/>
      <c r="AO63" s="553"/>
      <c r="AP63" s="553"/>
      <c r="AQ63" s="553"/>
      <c r="AR63" s="553"/>
      <c r="AS63" s="553"/>
      <c r="AT63" s="553"/>
      <c r="AU63" s="556"/>
      <c r="AV63" s="557"/>
    </row>
    <row r="64" spans="1:48" s="161" customFormat="1" ht="15" customHeight="1">
      <c r="A64" s="96"/>
      <c r="B64" s="537"/>
      <c r="C64" s="537"/>
      <c r="D64" s="53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18"/>
      <c r="AI64" s="118"/>
      <c r="AJ64" s="118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556"/>
      <c r="AV64" s="557"/>
    </row>
    <row r="65" spans="1:48" ht="15" customHeight="1">
      <c r="B65" s="150" t="s">
        <v>336</v>
      </c>
      <c r="E65" s="188">
        <f>财务基础数据!J111*目录!$D$6</f>
        <v>0</v>
      </c>
      <c r="F65" s="188">
        <f>财务基础数据!K111*目录!$D$6</f>
        <v>0</v>
      </c>
      <c r="G65" s="188">
        <f>财务基础数据!L111*目录!$D$6</f>
        <v>0</v>
      </c>
      <c r="H65" s="188">
        <f>财务基础数据!M111*目录!$D$6</f>
        <v>0</v>
      </c>
      <c r="I65" s="188">
        <f>财务基础数据!N111*目录!$D$6</f>
        <v>0</v>
      </c>
      <c r="J65" s="188">
        <f>财务基础数据!O111*目录!$D$6</f>
        <v>0</v>
      </c>
      <c r="K65" s="188">
        <f>财务基础数据!P111*目录!$D$6</f>
        <v>0</v>
      </c>
      <c r="L65" s="188">
        <f>财务基础数据!Q111*目录!$D$6</f>
        <v>0</v>
      </c>
      <c r="M65" s="188">
        <f>财务基础数据!R111*目录!$D$6</f>
        <v>0</v>
      </c>
      <c r="N65" s="188">
        <f>财务基础数据!S111*目录!$D$6</f>
        <v>0</v>
      </c>
      <c r="O65" s="188">
        <f>财务基础数据!T111*目录!$D$6</f>
        <v>0</v>
      </c>
      <c r="P65" s="188">
        <f>财务基础数据!U111*目录!$D$6</f>
        <v>0</v>
      </c>
      <c r="Q65" s="188">
        <f>财务基础数据!V111*目录!$D$6</f>
        <v>0</v>
      </c>
      <c r="R65" s="188">
        <f>财务基础数据!W111*目录!$D$6</f>
        <v>0</v>
      </c>
      <c r="S65" s="188">
        <f>财务基础数据!X111*目录!$D$6</f>
        <v>0</v>
      </c>
      <c r="T65" s="188">
        <f>财务基础数据!Y111*目录!$D$6</f>
        <v>0</v>
      </c>
      <c r="U65" s="188">
        <f>财务基础数据!Z111*目录!$D$6</f>
        <v>0</v>
      </c>
      <c r="V65" s="188">
        <f>财务基础数据!AA111*目录!$D$6</f>
        <v>0</v>
      </c>
      <c r="W65" s="188">
        <f>财务基础数据!AB111*目录!$D$6</f>
        <v>0</v>
      </c>
      <c r="X65" s="188">
        <f>财务基础数据!AC111*目录!$D$6</f>
        <v>0</v>
      </c>
      <c r="Y65" s="188">
        <f>财务基础数据!AD111*目录!$D$6</f>
        <v>0</v>
      </c>
      <c r="Z65" s="188">
        <f>财务基础数据!AE111*目录!$D$6</f>
        <v>0</v>
      </c>
      <c r="AA65" s="188">
        <f>财务基础数据!AF111*目录!$D$6</f>
        <v>0</v>
      </c>
      <c r="AB65" s="188">
        <f>财务基础数据!AG111*目录!$D$6</f>
        <v>0</v>
      </c>
      <c r="AC65" s="188">
        <f>财务基础数据!AH111*目录!$D$6</f>
        <v>0</v>
      </c>
      <c r="AD65" s="188">
        <f>财务基础数据!AI111*目录!$D$6</f>
        <v>0</v>
      </c>
      <c r="AE65" s="188">
        <f>财务基础数据!AJ111*目录!$D$6</f>
        <v>0</v>
      </c>
      <c r="AF65" s="188">
        <f>财务基础数据!AK111*目录!$D$6</f>
        <v>0</v>
      </c>
      <c r="AG65" s="188">
        <f>财务基础数据!AL111*目录!$D$6</f>
        <v>0</v>
      </c>
      <c r="AH65" s="118">
        <f>财务基础数据!AM111*目录!$D$6</f>
        <v>0</v>
      </c>
      <c r="AI65" s="118">
        <f>财务基础数据!AN111*目录!$D$6</f>
        <v>0</v>
      </c>
      <c r="AJ65" s="118">
        <f>财务基础数据!AO111*目录!$D$6</f>
        <v>0</v>
      </c>
      <c r="AK65" s="188">
        <f>IF(ISERROR(资产预测!L197),"—",资产预测!L197)</f>
        <v>0</v>
      </c>
      <c r="AL65" s="188">
        <f>IF(ISERROR(资产预测!M197),"—",资产预测!M197)</f>
        <v>0</v>
      </c>
      <c r="AM65" s="188">
        <f>IF(ISERROR(资产预测!N197),"—",资产预测!N197)</f>
        <v>0</v>
      </c>
      <c r="AN65" s="188">
        <f>IF(ISERROR(资产预测!O197),"—",资产预测!O197)</f>
        <v>0</v>
      </c>
      <c r="AO65" s="188">
        <f>IF(ISERROR(资产预测!P197),"—",资产预测!P197)</f>
        <v>0</v>
      </c>
      <c r="AP65" s="188">
        <f>IF(ISERROR(资产预测!Q197),"—",资产预测!Q197)</f>
        <v>0</v>
      </c>
      <c r="AQ65" s="188">
        <f>IF(ISERROR(资产预测!R197),"—",资产预测!R197)</f>
        <v>0</v>
      </c>
      <c r="AR65" s="188">
        <f>IF(ISERROR(资产预测!S197),"—",资产预测!S197)</f>
        <v>0</v>
      </c>
      <c r="AS65" s="188">
        <f>IF(ISERROR(资产预测!T197),"—",资产预测!T197)</f>
        <v>0</v>
      </c>
      <c r="AT65" s="188">
        <f>IF(ISERROR(资产预测!U197),"—",资产预测!U197)</f>
        <v>0</v>
      </c>
      <c r="AU65" s="556"/>
      <c r="AV65" s="557"/>
    </row>
    <row r="66" spans="1:48" s="513" customFormat="1" ht="15" customHeight="1">
      <c r="A66" s="96"/>
      <c r="B66" s="150" t="s">
        <v>338</v>
      </c>
      <c r="C66" s="97"/>
      <c r="D66" s="527"/>
      <c r="E66" s="188">
        <f>财务基础数据!J112*目录!$D$6</f>
        <v>0</v>
      </c>
      <c r="F66" s="188">
        <f>财务基础数据!K112*目录!$D$6</f>
        <v>0</v>
      </c>
      <c r="G66" s="188">
        <f>财务基础数据!L112*目录!$D$6</f>
        <v>0</v>
      </c>
      <c r="H66" s="188">
        <f>财务基础数据!M112*目录!$D$6</f>
        <v>0</v>
      </c>
      <c r="I66" s="188">
        <f>财务基础数据!N112*目录!$D$6</f>
        <v>0</v>
      </c>
      <c r="J66" s="188">
        <f>财务基础数据!O112*目录!$D$6</f>
        <v>0</v>
      </c>
      <c r="K66" s="188">
        <f>财务基础数据!P112*目录!$D$6</f>
        <v>0</v>
      </c>
      <c r="L66" s="188">
        <f>财务基础数据!Q112*目录!$D$6</f>
        <v>0</v>
      </c>
      <c r="M66" s="188">
        <f>财务基础数据!R112*目录!$D$6</f>
        <v>0</v>
      </c>
      <c r="N66" s="188">
        <f>财务基础数据!S112*目录!$D$6</f>
        <v>0</v>
      </c>
      <c r="O66" s="188">
        <f>财务基础数据!T112*目录!$D$6</f>
        <v>0</v>
      </c>
      <c r="P66" s="188">
        <f>财务基础数据!U112*目录!$D$6</f>
        <v>0</v>
      </c>
      <c r="Q66" s="188">
        <f>财务基础数据!V112*目录!$D$6</f>
        <v>0</v>
      </c>
      <c r="R66" s="188">
        <f>财务基础数据!W112*目录!$D$6</f>
        <v>0</v>
      </c>
      <c r="S66" s="188">
        <f>财务基础数据!X112*目录!$D$6</f>
        <v>0</v>
      </c>
      <c r="T66" s="188">
        <f>财务基础数据!Y112*目录!$D$6</f>
        <v>0</v>
      </c>
      <c r="U66" s="188">
        <f>财务基础数据!Z112*目录!$D$6</f>
        <v>0</v>
      </c>
      <c r="V66" s="188">
        <f>财务基础数据!AA112*目录!$D$6</f>
        <v>0</v>
      </c>
      <c r="W66" s="188">
        <f>财务基础数据!AB112*目录!$D$6</f>
        <v>0</v>
      </c>
      <c r="X66" s="188">
        <f>财务基础数据!AC112*目录!$D$6</f>
        <v>0</v>
      </c>
      <c r="Y66" s="188">
        <f>财务基础数据!AD112*目录!$D$6</f>
        <v>0</v>
      </c>
      <c r="Z66" s="188">
        <f>财务基础数据!AE112*目录!$D$6</f>
        <v>0</v>
      </c>
      <c r="AA66" s="188">
        <f>财务基础数据!AF112*目录!$D$6</f>
        <v>0</v>
      </c>
      <c r="AB66" s="188">
        <f>财务基础数据!AG112*目录!$D$6</f>
        <v>0</v>
      </c>
      <c r="AC66" s="188">
        <f>财务基础数据!AH112*目录!$D$6</f>
        <v>0</v>
      </c>
      <c r="AD66" s="188">
        <f>财务基础数据!AI112*目录!$D$6</f>
        <v>0</v>
      </c>
      <c r="AE66" s="188">
        <f>财务基础数据!AJ112*目录!$D$6</f>
        <v>0</v>
      </c>
      <c r="AF66" s="188">
        <f>财务基础数据!AK112*目录!$D$6</f>
        <v>0</v>
      </c>
      <c r="AG66" s="188">
        <f>财务基础数据!AL112*目录!$D$6</f>
        <v>0</v>
      </c>
      <c r="AH66" s="118">
        <f>财务基础数据!AM112*目录!$D$6</f>
        <v>0</v>
      </c>
      <c r="AI66" s="118">
        <f>财务基础数据!AN112*目录!$D$6</f>
        <v>0</v>
      </c>
      <c r="AJ66" s="118">
        <f>财务基础数据!AO112*目录!$D$6</f>
        <v>0</v>
      </c>
      <c r="AK66" s="188">
        <f>IF(ISERROR(资产预测!L185),"—",资产预测!L185)</f>
        <v>0</v>
      </c>
      <c r="AL66" s="188">
        <f>IF(ISERROR(资产预测!M185),"—",资产预测!M185)</f>
        <v>0</v>
      </c>
      <c r="AM66" s="188">
        <f>IF(ISERROR(资产预测!N185),"—",资产预测!N185)</f>
        <v>0</v>
      </c>
      <c r="AN66" s="188">
        <f>IF(ISERROR(资产预测!O185),"—",资产预测!O185)</f>
        <v>0</v>
      </c>
      <c r="AO66" s="188">
        <f>IF(ISERROR(资产预测!P185),"—",资产预测!P185)</f>
        <v>0</v>
      </c>
      <c r="AP66" s="188">
        <f>IF(ISERROR(资产预测!Q185),"—",资产预测!Q185)</f>
        <v>0</v>
      </c>
      <c r="AQ66" s="188">
        <f>IF(ISERROR(资产预测!R185),"—",资产预测!R185)</f>
        <v>0</v>
      </c>
      <c r="AR66" s="188">
        <f>IF(ISERROR(资产预测!S185),"—",资产预测!S185)</f>
        <v>0</v>
      </c>
      <c r="AS66" s="188">
        <f>IF(ISERROR(资产预测!T185),"—",资产预测!T185)</f>
        <v>0</v>
      </c>
      <c r="AT66" s="188">
        <f>IF(ISERROR(资产预测!U185),"—",资产预测!U185)</f>
        <v>0</v>
      </c>
      <c r="AU66" s="556"/>
      <c r="AV66" s="557"/>
    </row>
    <row r="67" spans="1:48" s="513" customFormat="1" ht="15" customHeight="1">
      <c r="A67" s="30"/>
      <c r="B67" s="150" t="s">
        <v>413</v>
      </c>
      <c r="C67" s="97"/>
      <c r="D67" s="514"/>
      <c r="E67" s="188">
        <f>财务基础数据!J165*目录!$D$6</f>
        <v>0</v>
      </c>
      <c r="F67" s="188">
        <f>财务基础数据!K165*目录!$D$6</f>
        <v>0</v>
      </c>
      <c r="G67" s="188">
        <f>财务基础数据!L165*目录!$D$6</f>
        <v>0</v>
      </c>
      <c r="H67" s="188">
        <f>财务基础数据!M165*目录!$D$6</f>
        <v>0</v>
      </c>
      <c r="I67" s="188">
        <f>财务基础数据!N165*目录!$D$6</f>
        <v>0</v>
      </c>
      <c r="J67" s="188">
        <f>财务基础数据!O165*目录!$D$6</f>
        <v>0</v>
      </c>
      <c r="K67" s="188">
        <f>财务基础数据!P165*目录!$D$6</f>
        <v>0</v>
      </c>
      <c r="L67" s="188">
        <f>财务基础数据!Q165*目录!$D$6</f>
        <v>0</v>
      </c>
      <c r="M67" s="188">
        <f>财务基础数据!R165*目录!$D$6</f>
        <v>0</v>
      </c>
      <c r="N67" s="188">
        <f>财务基础数据!S165*目录!$D$6</f>
        <v>0</v>
      </c>
      <c r="O67" s="188">
        <f>财务基础数据!T165*目录!$D$6</f>
        <v>0</v>
      </c>
      <c r="P67" s="188">
        <f>财务基础数据!U165*目录!$D$6</f>
        <v>0</v>
      </c>
      <c r="Q67" s="188">
        <f>财务基础数据!V165*目录!$D$6</f>
        <v>0</v>
      </c>
      <c r="R67" s="188">
        <f>财务基础数据!W165*目录!$D$6</f>
        <v>0</v>
      </c>
      <c r="S67" s="188">
        <f>财务基础数据!X165*目录!$D$6</f>
        <v>0</v>
      </c>
      <c r="T67" s="188">
        <f>财务基础数据!Y165*目录!$D$6</f>
        <v>0</v>
      </c>
      <c r="U67" s="188">
        <f>财务基础数据!Z165*目录!$D$6</f>
        <v>0</v>
      </c>
      <c r="V67" s="188">
        <f>财务基础数据!AA165*目录!$D$6</f>
        <v>0</v>
      </c>
      <c r="W67" s="188">
        <f>财务基础数据!AB165*目录!$D$6</f>
        <v>0</v>
      </c>
      <c r="X67" s="188">
        <f>财务基础数据!AC165*目录!$D$6</f>
        <v>0</v>
      </c>
      <c r="Y67" s="188">
        <f>财务基础数据!AD165*目录!$D$6</f>
        <v>0</v>
      </c>
      <c r="Z67" s="188">
        <f>财务基础数据!AE165*目录!$D$6</f>
        <v>0</v>
      </c>
      <c r="AA67" s="188">
        <f>财务基础数据!AF165*目录!$D$6</f>
        <v>0</v>
      </c>
      <c r="AB67" s="188">
        <f>财务基础数据!AG165*目录!$D$6</f>
        <v>0</v>
      </c>
      <c r="AC67" s="188">
        <f>财务基础数据!AH165*目录!$D$6</f>
        <v>0</v>
      </c>
      <c r="AD67" s="188">
        <f>财务基础数据!AI165*目录!$D$6</f>
        <v>0</v>
      </c>
      <c r="AE67" s="188">
        <f>财务基础数据!AJ165*目录!$D$6</f>
        <v>0</v>
      </c>
      <c r="AF67" s="188">
        <f>财务基础数据!AK165*目录!$D$6</f>
        <v>0</v>
      </c>
      <c r="AG67" s="188">
        <f>财务基础数据!AL165*目录!$D$6</f>
        <v>0</v>
      </c>
      <c r="AH67" s="118">
        <f>财务基础数据!AM165*目录!$D$6</f>
        <v>0</v>
      </c>
      <c r="AI67" s="118">
        <f>财务基础数据!AN165*目录!$D$6</f>
        <v>0</v>
      </c>
      <c r="AJ67" s="118">
        <f>财务基础数据!AO165*目录!$D$6</f>
        <v>0</v>
      </c>
      <c r="AK67" s="188">
        <f>IF(ISERROR(资产预测!L191),"—",资产预测!L191)</f>
        <v>0</v>
      </c>
      <c r="AL67" s="188">
        <f>IF(ISERROR(资产预测!M191),"—",资产预测!M191)</f>
        <v>0</v>
      </c>
      <c r="AM67" s="188">
        <f>IF(ISERROR(资产预测!N191),"—",资产预测!N191)</f>
        <v>0</v>
      </c>
      <c r="AN67" s="188">
        <f>IF(ISERROR(资产预测!O191),"—",资产预测!O191)</f>
        <v>0</v>
      </c>
      <c r="AO67" s="188">
        <f>IF(ISERROR(资产预测!P191),"—",资产预测!P191)</f>
        <v>0</v>
      </c>
      <c r="AP67" s="188">
        <f>IF(ISERROR(资产预测!Q191),"—",资产预测!Q191)</f>
        <v>0</v>
      </c>
      <c r="AQ67" s="188">
        <f>IF(ISERROR(资产预测!R191),"—",资产预测!R191)</f>
        <v>0</v>
      </c>
      <c r="AR67" s="188">
        <f>IF(ISERROR(资产预测!S191),"—",资产预测!S191)</f>
        <v>0</v>
      </c>
      <c r="AS67" s="188">
        <f>IF(ISERROR(资产预测!T191),"—",资产预测!T191)</f>
        <v>0</v>
      </c>
      <c r="AT67" s="188">
        <f>IF(ISERROR(资产预测!U191),"—",资产预测!U191)</f>
        <v>0</v>
      </c>
      <c r="AU67" s="556"/>
      <c r="AV67" s="557"/>
    </row>
    <row r="68" spans="1:48" s="513" customFormat="1" ht="15" customHeight="1">
      <c r="A68" s="96"/>
      <c r="B68" s="150" t="s">
        <v>340</v>
      </c>
      <c r="C68" s="97"/>
      <c r="D68" s="514"/>
      <c r="E68" s="188">
        <f>(财务基础数据!J157)*目录!$D$6</f>
        <v>0</v>
      </c>
      <c r="F68" s="188">
        <f>(财务基础数据!K157+财务基础数据!K138)*目录!$D$6</f>
        <v>0</v>
      </c>
      <c r="G68" s="188">
        <f>(财务基础数据!L157+财务基础数据!L138)*目录!$D$6</f>
        <v>0</v>
      </c>
      <c r="H68" s="188">
        <f>(财务基础数据!M157+财务基础数据!M138)*目录!$D$6</f>
        <v>0</v>
      </c>
      <c r="I68" s="188">
        <f>(财务基础数据!N157+财务基础数据!N138)*目录!$D$6</f>
        <v>0</v>
      </c>
      <c r="J68" s="188">
        <f>(财务基础数据!O157+财务基础数据!O138)*目录!$D$6</f>
        <v>0</v>
      </c>
      <c r="K68" s="188">
        <f>(财务基础数据!P157+财务基础数据!P138)*目录!$D$6</f>
        <v>0</v>
      </c>
      <c r="L68" s="188">
        <f>(财务基础数据!Q157+财务基础数据!Q138)*目录!$D$6</f>
        <v>0</v>
      </c>
      <c r="M68" s="188">
        <f>(财务基础数据!R157+财务基础数据!R138)*目录!$D$6</f>
        <v>0</v>
      </c>
      <c r="N68" s="188">
        <f>(财务基础数据!S157+财务基础数据!S138)*目录!$D$6</f>
        <v>0</v>
      </c>
      <c r="O68" s="188">
        <f>(财务基础数据!T157+财务基础数据!T138)*目录!$D$6</f>
        <v>0</v>
      </c>
      <c r="P68" s="188">
        <f>(财务基础数据!U157+财务基础数据!U138)*目录!$D$6</f>
        <v>0</v>
      </c>
      <c r="Q68" s="188">
        <f>(财务基础数据!V157+财务基础数据!V138)*目录!$D$6</f>
        <v>0</v>
      </c>
      <c r="R68" s="188">
        <f>(财务基础数据!W157+财务基础数据!W138)*目录!$D$6</f>
        <v>0</v>
      </c>
      <c r="S68" s="188">
        <f>(财务基础数据!X157+财务基础数据!X138)*目录!$D$6</f>
        <v>0</v>
      </c>
      <c r="T68" s="188">
        <f>(财务基础数据!Y157+财务基础数据!Y138)*目录!$D$6</f>
        <v>0</v>
      </c>
      <c r="U68" s="188">
        <f>(财务基础数据!Z157+财务基础数据!Z138)*目录!$D$6</f>
        <v>0</v>
      </c>
      <c r="V68" s="188">
        <f>(财务基础数据!AA157+财务基础数据!AA138)*目录!$D$6</f>
        <v>0</v>
      </c>
      <c r="W68" s="188">
        <f>(财务基础数据!AB157+财务基础数据!AB138)*目录!$D$6</f>
        <v>0</v>
      </c>
      <c r="X68" s="188">
        <f>(财务基础数据!AC157+财务基础数据!AC138)*目录!$D$6</f>
        <v>0</v>
      </c>
      <c r="Y68" s="188">
        <f>(财务基础数据!AD157+财务基础数据!AD138)*目录!$D$6</f>
        <v>0</v>
      </c>
      <c r="Z68" s="188">
        <f>(财务基础数据!AE157+财务基础数据!AE138)*目录!$D$6</f>
        <v>0</v>
      </c>
      <c r="AA68" s="188">
        <f>(财务基础数据!AF157+财务基础数据!AF138)*目录!$D$6</f>
        <v>0</v>
      </c>
      <c r="AB68" s="188">
        <f>(财务基础数据!AG157+财务基础数据!AG138)*目录!$D$6</f>
        <v>0</v>
      </c>
      <c r="AC68" s="188">
        <f>(财务基础数据!AH157+财务基础数据!AH138)*目录!$D$6</f>
        <v>0</v>
      </c>
      <c r="AD68" s="188">
        <f>(财务基础数据!AI157+财务基础数据!AI138)*目录!$D$6</f>
        <v>0</v>
      </c>
      <c r="AE68" s="188">
        <f>(财务基础数据!AJ157+财务基础数据!AJ138)*目录!$D$6</f>
        <v>0</v>
      </c>
      <c r="AF68" s="188">
        <f>(财务基础数据!AK157+财务基础数据!AK138)*目录!$D$6</f>
        <v>0</v>
      </c>
      <c r="AG68" s="188">
        <f>(财务基础数据!AL157+财务基础数据!AL138)*目录!$D$6</f>
        <v>0</v>
      </c>
      <c r="AH68" s="118">
        <f>(财务基础数据!AM157+财务基础数据!AM138)*目录!$D$6</f>
        <v>0</v>
      </c>
      <c r="AI68" s="118">
        <f>(财务基础数据!AN157+财务基础数据!AN138)*目录!$D$6</f>
        <v>0</v>
      </c>
      <c r="AJ68" s="118">
        <f>(财务基础数据!AO157+财务基础数据!AO138)*目录!$D$6</f>
        <v>0</v>
      </c>
      <c r="AK68" s="548">
        <f>IF(财务基础数据!$AM$4=0,AG68,IF(财务基础数据!$AM$4=1,AH68,IF(财务基础数据!$AM$4=2,AI68,AJ68)))</f>
        <v>0</v>
      </c>
      <c r="AL68" s="548">
        <f>AK68</f>
        <v>0</v>
      </c>
      <c r="AM68" s="548">
        <f t="shared" ref="AM68:AT71" si="16">AL68</f>
        <v>0</v>
      </c>
      <c r="AN68" s="548">
        <f t="shared" si="16"/>
        <v>0</v>
      </c>
      <c r="AO68" s="548">
        <f t="shared" si="16"/>
        <v>0</v>
      </c>
      <c r="AP68" s="548">
        <f t="shared" si="16"/>
        <v>0</v>
      </c>
      <c r="AQ68" s="548">
        <f t="shared" si="16"/>
        <v>0</v>
      </c>
      <c r="AR68" s="548">
        <f t="shared" si="16"/>
        <v>0</v>
      </c>
      <c r="AS68" s="548">
        <f t="shared" si="16"/>
        <v>0</v>
      </c>
      <c r="AT68" s="548">
        <f t="shared" si="16"/>
        <v>0</v>
      </c>
      <c r="AU68" s="556"/>
      <c r="AV68" s="560"/>
    </row>
    <row r="69" spans="1:48" s="513" customFormat="1" ht="15" customHeight="1">
      <c r="A69" s="96"/>
      <c r="B69" s="150" t="s">
        <v>414</v>
      </c>
      <c r="C69" s="97"/>
      <c r="D69" s="514"/>
      <c r="E69" s="188">
        <f>财务基础数据!J106*目录!$D$6</f>
        <v>0</v>
      </c>
      <c r="F69" s="188">
        <f>(财务基础数据!K106+财务基础数据!K114)*目录!$D$6</f>
        <v>0</v>
      </c>
      <c r="G69" s="188">
        <f>(财务基础数据!L106+财务基础数据!L114)*目录!$D$6</f>
        <v>0</v>
      </c>
      <c r="H69" s="188">
        <f>(财务基础数据!M106+财务基础数据!M114)*目录!$D$6</f>
        <v>0</v>
      </c>
      <c r="I69" s="188">
        <f>(财务基础数据!N106+财务基础数据!N114)*目录!$D$6</f>
        <v>0</v>
      </c>
      <c r="J69" s="188">
        <f>(财务基础数据!O106+财务基础数据!O114)*目录!$D$6</f>
        <v>0</v>
      </c>
      <c r="K69" s="188">
        <f>(财务基础数据!P106+财务基础数据!P114)*目录!$D$6</f>
        <v>0</v>
      </c>
      <c r="L69" s="188">
        <f>(财务基础数据!Q106+财务基础数据!Q114)*目录!$D$6</f>
        <v>0</v>
      </c>
      <c r="M69" s="188">
        <f>(财务基础数据!R106+财务基础数据!R114)*目录!$D$6</f>
        <v>0</v>
      </c>
      <c r="N69" s="188">
        <f>(财务基础数据!S106+财务基础数据!S114)*目录!$D$6</f>
        <v>0</v>
      </c>
      <c r="O69" s="188">
        <f>(财务基础数据!T106+财务基础数据!T114)*目录!$D$6</f>
        <v>0</v>
      </c>
      <c r="P69" s="188">
        <f>(财务基础数据!U106+财务基础数据!U114)*目录!$D$6</f>
        <v>0</v>
      </c>
      <c r="Q69" s="188">
        <f>(财务基础数据!V106+财务基础数据!V114)*目录!$D$6</f>
        <v>0</v>
      </c>
      <c r="R69" s="188">
        <f>(财务基础数据!W106+财务基础数据!W114)*目录!$D$6</f>
        <v>0</v>
      </c>
      <c r="S69" s="188">
        <f>(财务基础数据!X106+财务基础数据!X114)*目录!$D$6</f>
        <v>0</v>
      </c>
      <c r="T69" s="188">
        <f>(财务基础数据!Y106+财务基础数据!Y114)*目录!$D$6</f>
        <v>0</v>
      </c>
      <c r="U69" s="188">
        <f>(财务基础数据!Z106+财务基础数据!Z114)*目录!$D$6</f>
        <v>0</v>
      </c>
      <c r="V69" s="188">
        <f>(财务基础数据!AA106+财务基础数据!AA114)*目录!$D$6</f>
        <v>0</v>
      </c>
      <c r="W69" s="188">
        <f>(财务基础数据!AB106+财务基础数据!AB114)*目录!$D$6</f>
        <v>0</v>
      </c>
      <c r="X69" s="188">
        <f>(财务基础数据!AC106+财务基础数据!AC114)*目录!$D$6</f>
        <v>0</v>
      </c>
      <c r="Y69" s="188">
        <f>(财务基础数据!AD106+财务基础数据!AD114)*目录!$D$6</f>
        <v>0</v>
      </c>
      <c r="Z69" s="188">
        <f>(财务基础数据!AE106+财务基础数据!AE114)*目录!$D$6</f>
        <v>0</v>
      </c>
      <c r="AA69" s="188">
        <f>(财务基础数据!AF106+财务基础数据!AF114)*目录!$D$6</f>
        <v>0</v>
      </c>
      <c r="AB69" s="188">
        <f>(财务基础数据!AG106+财务基础数据!AG114)*目录!$D$6</f>
        <v>0</v>
      </c>
      <c r="AC69" s="188">
        <f>(财务基础数据!AH106+财务基础数据!AH114)*目录!$D$6</f>
        <v>0</v>
      </c>
      <c r="AD69" s="188">
        <f>(财务基础数据!AI106+财务基础数据!AI114)*目录!$D$6</f>
        <v>0</v>
      </c>
      <c r="AE69" s="188">
        <f>(财务基础数据!AJ106+财务基础数据!AJ114)*目录!$D$6</f>
        <v>0</v>
      </c>
      <c r="AF69" s="188">
        <f>(财务基础数据!AK106+财务基础数据!AK114)*目录!$D$6</f>
        <v>0</v>
      </c>
      <c r="AG69" s="188">
        <f>(财务基础数据!AL106+财务基础数据!AL114)*目录!$D$6</f>
        <v>0</v>
      </c>
      <c r="AH69" s="118">
        <f>(财务基础数据!AM106+财务基础数据!AM114)*目录!$D$6</f>
        <v>0</v>
      </c>
      <c r="AI69" s="118">
        <f>(财务基础数据!AN106+财务基础数据!AN114)*目录!$D$6</f>
        <v>0</v>
      </c>
      <c r="AJ69" s="118">
        <f>(财务基础数据!AO106+财务基础数据!AO114)*目录!$D$6</f>
        <v>0</v>
      </c>
      <c r="AK69" s="548">
        <f>IF(财务基础数据!$AM$4=0,AG69,IF(财务基础数据!$AM$4=1,AH69,IF(财务基础数据!$AM$4=2,AI69,AJ69)))</f>
        <v>0</v>
      </c>
      <c r="AL69" s="548">
        <f>AK69</f>
        <v>0</v>
      </c>
      <c r="AM69" s="548">
        <f t="shared" si="16"/>
        <v>0</v>
      </c>
      <c r="AN69" s="548">
        <f t="shared" si="16"/>
        <v>0</v>
      </c>
      <c r="AO69" s="548">
        <f t="shared" si="16"/>
        <v>0</v>
      </c>
      <c r="AP69" s="548">
        <f t="shared" si="16"/>
        <v>0</v>
      </c>
      <c r="AQ69" s="548">
        <f t="shared" si="16"/>
        <v>0</v>
      </c>
      <c r="AR69" s="548">
        <f t="shared" si="16"/>
        <v>0</v>
      </c>
      <c r="AS69" s="548">
        <f t="shared" si="16"/>
        <v>0</v>
      </c>
      <c r="AT69" s="548">
        <f t="shared" si="16"/>
        <v>0</v>
      </c>
      <c r="AU69" s="556"/>
    </row>
    <row r="70" spans="1:48" s="513" customFormat="1" ht="15" customHeight="1">
      <c r="A70" s="96"/>
      <c r="B70" s="150" t="s">
        <v>415</v>
      </c>
      <c r="C70" s="97"/>
      <c r="D70" s="514"/>
      <c r="E70" s="188">
        <f>(财务基础数据!J149+财务基础数据!J151)*目录!$D$6</f>
        <v>0</v>
      </c>
      <c r="F70" s="188">
        <f>(财务基础数据!K149+财务基础数据!K151)*目录!$D$6</f>
        <v>0</v>
      </c>
      <c r="G70" s="188">
        <f>(财务基础数据!L149+财务基础数据!L151)*目录!$D$6</f>
        <v>0</v>
      </c>
      <c r="H70" s="188">
        <f>(财务基础数据!M149+财务基础数据!M151)*目录!$D$6</f>
        <v>0</v>
      </c>
      <c r="I70" s="188">
        <f>(财务基础数据!N149+财务基础数据!N151)*目录!$D$6</f>
        <v>0</v>
      </c>
      <c r="J70" s="188">
        <f>(财务基础数据!O149+财务基础数据!O151)*目录!$D$6</f>
        <v>0</v>
      </c>
      <c r="K70" s="188">
        <f>(财务基础数据!P149+财务基础数据!P151)*目录!$D$6</f>
        <v>0</v>
      </c>
      <c r="L70" s="188">
        <f>(财务基础数据!Q149+财务基础数据!Q151)*目录!$D$6</f>
        <v>0</v>
      </c>
      <c r="M70" s="188">
        <f>(财务基础数据!R149+财务基础数据!R151)*目录!$D$6</f>
        <v>0</v>
      </c>
      <c r="N70" s="188">
        <f>(财务基础数据!S149+财务基础数据!S151)*目录!$D$6</f>
        <v>0</v>
      </c>
      <c r="O70" s="188">
        <f>(财务基础数据!T149+财务基础数据!T151)*目录!$D$6</f>
        <v>0</v>
      </c>
      <c r="P70" s="188">
        <f>(财务基础数据!U149+财务基础数据!U151)*目录!$D$6</f>
        <v>0</v>
      </c>
      <c r="Q70" s="188">
        <f>(财务基础数据!V149+财务基础数据!V151)*目录!$D$6</f>
        <v>0</v>
      </c>
      <c r="R70" s="188">
        <f>(财务基础数据!W149+财务基础数据!W151)*目录!$D$6</f>
        <v>0</v>
      </c>
      <c r="S70" s="188">
        <f>(财务基础数据!X149+财务基础数据!X151)*目录!$D$6</f>
        <v>0</v>
      </c>
      <c r="T70" s="188">
        <f>(财务基础数据!Y149+财务基础数据!Y151)*目录!$D$6</f>
        <v>0</v>
      </c>
      <c r="U70" s="188">
        <f>(财务基础数据!Z149+财务基础数据!Z151)*目录!$D$6</f>
        <v>0</v>
      </c>
      <c r="V70" s="188">
        <f>(财务基础数据!AA149+财务基础数据!AA151)*目录!$D$6</f>
        <v>0</v>
      </c>
      <c r="W70" s="188">
        <f>(财务基础数据!AB149+财务基础数据!AB151)*目录!$D$6</f>
        <v>0</v>
      </c>
      <c r="X70" s="188">
        <f>(财务基础数据!AC149+财务基础数据!AC151)*目录!$D$6</f>
        <v>0</v>
      </c>
      <c r="Y70" s="188">
        <f>(财务基础数据!AD149+财务基础数据!AD151)*目录!$D$6</f>
        <v>0</v>
      </c>
      <c r="Z70" s="188">
        <f>(财务基础数据!AE149+财务基础数据!AE151)*目录!$D$6</f>
        <v>0</v>
      </c>
      <c r="AA70" s="188">
        <f>(财务基础数据!AF149+财务基础数据!AF151)*目录!$D$6</f>
        <v>0</v>
      </c>
      <c r="AB70" s="188">
        <f>(财务基础数据!AG149+财务基础数据!AG151)*目录!$D$6</f>
        <v>0</v>
      </c>
      <c r="AC70" s="188">
        <f>(财务基础数据!AH149+财务基础数据!AH151)*目录!$D$6</f>
        <v>0</v>
      </c>
      <c r="AD70" s="188">
        <f>(财务基础数据!AI149+财务基础数据!AI151)*目录!$D$6</f>
        <v>0</v>
      </c>
      <c r="AE70" s="188">
        <f>(财务基础数据!AJ149+财务基础数据!AJ151)*目录!$D$6</f>
        <v>0</v>
      </c>
      <c r="AF70" s="188">
        <f>(财务基础数据!AK149+财务基础数据!AK151)*目录!$D$6</f>
        <v>0</v>
      </c>
      <c r="AG70" s="188">
        <f>(财务基础数据!AL149+财务基础数据!AL151)*目录!$D$6</f>
        <v>0</v>
      </c>
      <c r="AH70" s="118">
        <f>(财务基础数据!AM149+财务基础数据!AM151)*目录!$D$6</f>
        <v>0</v>
      </c>
      <c r="AI70" s="118">
        <f>(财务基础数据!AN149+财务基础数据!AN151)*目录!$D$6</f>
        <v>0</v>
      </c>
      <c r="AJ70" s="118">
        <f>(财务基础数据!AO149+财务基础数据!AO151)*目录!$D$6</f>
        <v>0</v>
      </c>
      <c r="AK70" s="548">
        <f>IF(财务基础数据!$AM$4=0,AG70,IF(财务基础数据!$AM$4=1,AH70,IF(财务基础数据!$AM$4=2,AI70,AJ70)))</f>
        <v>0</v>
      </c>
      <c r="AL70" s="548">
        <f>AK70</f>
        <v>0</v>
      </c>
      <c r="AM70" s="548">
        <f t="shared" si="16"/>
        <v>0</v>
      </c>
      <c r="AN70" s="548">
        <f t="shared" si="16"/>
        <v>0</v>
      </c>
      <c r="AO70" s="548">
        <f t="shared" si="16"/>
        <v>0</v>
      </c>
      <c r="AP70" s="548">
        <f t="shared" si="16"/>
        <v>0</v>
      </c>
      <c r="AQ70" s="548">
        <f t="shared" si="16"/>
        <v>0</v>
      </c>
      <c r="AR70" s="548">
        <f t="shared" si="16"/>
        <v>0</v>
      </c>
      <c r="AS70" s="548">
        <f t="shared" si="16"/>
        <v>0</v>
      </c>
      <c r="AT70" s="548">
        <f t="shared" si="16"/>
        <v>0</v>
      </c>
      <c r="AU70" s="556"/>
    </row>
    <row r="71" spans="1:48" ht="15" customHeight="1">
      <c r="B71" s="150" t="s">
        <v>416</v>
      </c>
      <c r="E71" s="188">
        <f>(财务基础数据!J117)*目录!$D$6</f>
        <v>0</v>
      </c>
      <c r="F71" s="188">
        <f>(财务基础数据!K117)*目录!$D$6</f>
        <v>0</v>
      </c>
      <c r="G71" s="188">
        <f>(财务基础数据!L117)*目录!$D$6</f>
        <v>0</v>
      </c>
      <c r="H71" s="188">
        <f>(财务基础数据!M117)*目录!$D$6</f>
        <v>0</v>
      </c>
      <c r="I71" s="188">
        <f>(财务基础数据!N117)*目录!$D$6</f>
        <v>0</v>
      </c>
      <c r="J71" s="188">
        <f>(财务基础数据!O117)*目录!$D$6</f>
        <v>0</v>
      </c>
      <c r="K71" s="188">
        <f>(财务基础数据!P117)*目录!$D$6</f>
        <v>0</v>
      </c>
      <c r="L71" s="188">
        <f>(财务基础数据!Q117)*目录!$D$6</f>
        <v>0</v>
      </c>
      <c r="M71" s="188">
        <f>(财务基础数据!R117)*目录!$D$6</f>
        <v>0</v>
      </c>
      <c r="N71" s="188">
        <f>(财务基础数据!S117)*目录!$D$6</f>
        <v>0</v>
      </c>
      <c r="O71" s="188">
        <f>(财务基础数据!T117)*目录!$D$6</f>
        <v>0</v>
      </c>
      <c r="P71" s="188">
        <f>(财务基础数据!U117)*目录!$D$6</f>
        <v>0</v>
      </c>
      <c r="Q71" s="188">
        <f>(财务基础数据!V117)*目录!$D$6</f>
        <v>0</v>
      </c>
      <c r="R71" s="188">
        <f>(财务基础数据!W117)*目录!$D$6</f>
        <v>0</v>
      </c>
      <c r="S71" s="188">
        <f>(财务基础数据!X117)*目录!$D$6</f>
        <v>0</v>
      </c>
      <c r="T71" s="188">
        <f>(财务基础数据!Y117)*目录!$D$6</f>
        <v>0</v>
      </c>
      <c r="U71" s="188">
        <f>(财务基础数据!Z117)*目录!$D$6</f>
        <v>0</v>
      </c>
      <c r="V71" s="188">
        <f>(财务基础数据!AA117)*目录!$D$6</f>
        <v>0</v>
      </c>
      <c r="W71" s="188">
        <f>(财务基础数据!AB117)*目录!$D$6</f>
        <v>0</v>
      </c>
      <c r="X71" s="188">
        <f>(财务基础数据!AC117)*目录!$D$6</f>
        <v>0</v>
      </c>
      <c r="Y71" s="188">
        <f>(财务基础数据!AD117)*目录!$D$6</f>
        <v>0</v>
      </c>
      <c r="Z71" s="188">
        <f>(财务基础数据!AE117)*目录!$D$6</f>
        <v>0</v>
      </c>
      <c r="AA71" s="188">
        <f>(财务基础数据!AF117)*目录!$D$6</f>
        <v>0</v>
      </c>
      <c r="AB71" s="188">
        <f>(财务基础数据!AG117)*目录!$D$6</f>
        <v>0</v>
      </c>
      <c r="AC71" s="188">
        <f>(财务基础数据!AH117)*目录!$D$6</f>
        <v>0</v>
      </c>
      <c r="AD71" s="188">
        <f>(财务基础数据!AI117)*目录!$D$6</f>
        <v>0</v>
      </c>
      <c r="AE71" s="188">
        <f>(财务基础数据!AJ117)*目录!$D$6</f>
        <v>0</v>
      </c>
      <c r="AF71" s="188">
        <f>(财务基础数据!AK117)*目录!$D$6</f>
        <v>0</v>
      </c>
      <c r="AG71" s="188">
        <f>(财务基础数据!AL117)*目录!$D$6</f>
        <v>0</v>
      </c>
      <c r="AH71" s="188">
        <f>(财务基础数据!AM117)*目录!$D$6</f>
        <v>0</v>
      </c>
      <c r="AI71" s="188">
        <f>(财务基础数据!AN117)*目录!$D$6</f>
        <v>0</v>
      </c>
      <c r="AJ71" s="188">
        <f>(财务基础数据!AO117)*目录!$D$6</f>
        <v>0</v>
      </c>
      <c r="AK71" s="548">
        <f>IF(财务基础数据!$AM$4=0,AG71,IF(财务基础数据!$AM$4=1,AH71,IF(财务基础数据!$AM$4=2,AI71,AJ71)))</f>
        <v>0</v>
      </c>
      <c r="AL71" s="548">
        <f>AK71</f>
        <v>0</v>
      </c>
      <c r="AM71" s="548">
        <f t="shared" si="16"/>
        <v>0</v>
      </c>
      <c r="AN71" s="548">
        <f t="shared" si="16"/>
        <v>0</v>
      </c>
      <c r="AO71" s="548">
        <f t="shared" si="16"/>
        <v>0</v>
      </c>
      <c r="AP71" s="548">
        <f t="shared" si="16"/>
        <v>0</v>
      </c>
      <c r="AQ71" s="548">
        <f t="shared" si="16"/>
        <v>0</v>
      </c>
      <c r="AR71" s="548">
        <f t="shared" si="16"/>
        <v>0</v>
      </c>
      <c r="AS71" s="548">
        <f t="shared" si="16"/>
        <v>0</v>
      </c>
      <c r="AT71" s="548">
        <f t="shared" si="16"/>
        <v>0</v>
      </c>
      <c r="AU71" s="556"/>
    </row>
    <row r="72" spans="1:48" ht="15" customHeight="1">
      <c r="A72" s="161"/>
      <c r="B72" s="561" t="s">
        <v>417</v>
      </c>
      <c r="C72" s="186"/>
      <c r="D72" s="526"/>
      <c r="E72" s="440">
        <f>E73-SUM(E65:E71)</f>
        <v>0</v>
      </c>
      <c r="F72" s="440">
        <f t="shared" ref="F72:AJ72" si="17">F73-SUM(F65:F71)</f>
        <v>0</v>
      </c>
      <c r="G72" s="440">
        <f t="shared" si="17"/>
        <v>0</v>
      </c>
      <c r="H72" s="440">
        <f t="shared" si="17"/>
        <v>0</v>
      </c>
      <c r="I72" s="440">
        <f t="shared" si="17"/>
        <v>0</v>
      </c>
      <c r="J72" s="440">
        <f t="shared" si="17"/>
        <v>0</v>
      </c>
      <c r="K72" s="440">
        <f t="shared" si="17"/>
        <v>0</v>
      </c>
      <c r="L72" s="440">
        <f t="shared" si="17"/>
        <v>0</v>
      </c>
      <c r="M72" s="440">
        <f t="shared" si="17"/>
        <v>0</v>
      </c>
      <c r="N72" s="440">
        <f t="shared" si="17"/>
        <v>0</v>
      </c>
      <c r="O72" s="440">
        <f t="shared" si="17"/>
        <v>0</v>
      </c>
      <c r="P72" s="440">
        <f t="shared" si="17"/>
        <v>0</v>
      </c>
      <c r="Q72" s="440">
        <f t="shared" si="17"/>
        <v>0</v>
      </c>
      <c r="R72" s="440">
        <f t="shared" si="17"/>
        <v>0</v>
      </c>
      <c r="S72" s="440">
        <f t="shared" si="17"/>
        <v>0</v>
      </c>
      <c r="T72" s="440">
        <f t="shared" si="17"/>
        <v>0</v>
      </c>
      <c r="U72" s="440">
        <f t="shared" si="17"/>
        <v>0</v>
      </c>
      <c r="V72" s="440">
        <f t="shared" si="17"/>
        <v>0</v>
      </c>
      <c r="W72" s="440">
        <f t="shared" si="17"/>
        <v>0</v>
      </c>
      <c r="X72" s="440">
        <f t="shared" si="17"/>
        <v>0</v>
      </c>
      <c r="Y72" s="440">
        <f t="shared" si="17"/>
        <v>0</v>
      </c>
      <c r="Z72" s="440">
        <f t="shared" si="17"/>
        <v>0</v>
      </c>
      <c r="AA72" s="440">
        <f t="shared" si="17"/>
        <v>0</v>
      </c>
      <c r="AB72" s="440">
        <f t="shared" si="17"/>
        <v>0</v>
      </c>
      <c r="AC72" s="440">
        <f t="shared" si="17"/>
        <v>0</v>
      </c>
      <c r="AD72" s="440">
        <f t="shared" si="17"/>
        <v>0</v>
      </c>
      <c r="AE72" s="440">
        <f t="shared" si="17"/>
        <v>0</v>
      </c>
      <c r="AF72" s="440">
        <f t="shared" si="17"/>
        <v>0</v>
      </c>
      <c r="AG72" s="440">
        <f t="shared" si="17"/>
        <v>0</v>
      </c>
      <c r="AH72" s="440">
        <f t="shared" si="17"/>
        <v>0</v>
      </c>
      <c r="AI72" s="440">
        <f t="shared" si="17"/>
        <v>0</v>
      </c>
      <c r="AJ72" s="440">
        <f t="shared" si="17"/>
        <v>0</v>
      </c>
      <c r="AK72" s="550">
        <f>IF(财务基础数据!$AM$4=0,AG72,IF(财务基础数据!$AM$4=1,AH72,IF(财务基础数据!$AM$4=2,AI72,AJ72)))</f>
        <v>0</v>
      </c>
      <c r="AL72" s="550">
        <f>AK72</f>
        <v>0</v>
      </c>
      <c r="AM72" s="550">
        <f t="shared" ref="AM72:AT72" si="18">AL72</f>
        <v>0</v>
      </c>
      <c r="AN72" s="550">
        <f t="shared" si="18"/>
        <v>0</v>
      </c>
      <c r="AO72" s="550">
        <f t="shared" si="18"/>
        <v>0</v>
      </c>
      <c r="AP72" s="550">
        <f t="shared" si="18"/>
        <v>0</v>
      </c>
      <c r="AQ72" s="550">
        <f t="shared" si="18"/>
        <v>0</v>
      </c>
      <c r="AR72" s="550">
        <f t="shared" si="18"/>
        <v>0</v>
      </c>
      <c r="AS72" s="550">
        <f t="shared" si="18"/>
        <v>0</v>
      </c>
      <c r="AT72" s="550">
        <f t="shared" si="18"/>
        <v>0</v>
      </c>
      <c r="AU72" s="556"/>
    </row>
    <row r="73" spans="1:48" ht="15" customHeight="1">
      <c r="A73" s="161"/>
      <c r="B73" s="437" t="s">
        <v>418</v>
      </c>
      <c r="C73" s="162"/>
      <c r="E73" s="306">
        <f>(财务基础数据!J118)*目录!$D$6</f>
        <v>0</v>
      </c>
      <c r="F73" s="306">
        <f>(财务基础数据!K118)*目录!$D$6</f>
        <v>0</v>
      </c>
      <c r="G73" s="306">
        <f>(财务基础数据!L118)*目录!$D$6</f>
        <v>0</v>
      </c>
      <c r="H73" s="306">
        <f>(财务基础数据!M118)*目录!$D$6</f>
        <v>0</v>
      </c>
      <c r="I73" s="306">
        <f>(财务基础数据!N118)*目录!$D$6</f>
        <v>0</v>
      </c>
      <c r="J73" s="306">
        <f>(财务基础数据!O118)*目录!$D$6</f>
        <v>0</v>
      </c>
      <c r="K73" s="306">
        <f>(财务基础数据!P118)*目录!$D$6</f>
        <v>0</v>
      </c>
      <c r="L73" s="306">
        <f>(财务基础数据!Q118)*目录!$D$6</f>
        <v>0</v>
      </c>
      <c r="M73" s="306">
        <f>(财务基础数据!R118)*目录!$D$6</f>
        <v>0</v>
      </c>
      <c r="N73" s="306">
        <f>(财务基础数据!S118)*目录!$D$6</f>
        <v>0</v>
      </c>
      <c r="O73" s="306">
        <f>(财务基础数据!T118)*目录!$D$6</f>
        <v>0</v>
      </c>
      <c r="P73" s="306">
        <f>(财务基础数据!U118)*目录!$D$6</f>
        <v>0</v>
      </c>
      <c r="Q73" s="306">
        <f>(财务基础数据!V118)*目录!$D$6</f>
        <v>0</v>
      </c>
      <c r="R73" s="306">
        <f>(财务基础数据!W118)*目录!$D$6</f>
        <v>0</v>
      </c>
      <c r="S73" s="306">
        <f>(财务基础数据!X118)*目录!$D$6</f>
        <v>0</v>
      </c>
      <c r="T73" s="306">
        <f>(财务基础数据!Y118)*目录!$D$6</f>
        <v>0</v>
      </c>
      <c r="U73" s="306">
        <f>(财务基础数据!Z118)*目录!$D$6</f>
        <v>0</v>
      </c>
      <c r="V73" s="306">
        <f>(财务基础数据!AA118)*目录!$D$6</f>
        <v>0</v>
      </c>
      <c r="W73" s="306">
        <f>(财务基础数据!AB118)*目录!$D$6</f>
        <v>0</v>
      </c>
      <c r="X73" s="306">
        <f>(财务基础数据!AC118)*目录!$D$6</f>
        <v>0</v>
      </c>
      <c r="Y73" s="306">
        <f>(财务基础数据!AD118)*目录!$D$6</f>
        <v>0</v>
      </c>
      <c r="Z73" s="306">
        <f>(财务基础数据!AE118)*目录!$D$6</f>
        <v>0</v>
      </c>
      <c r="AA73" s="306">
        <f>(财务基础数据!AF118)*目录!$D$6</f>
        <v>0</v>
      </c>
      <c r="AB73" s="306">
        <f>(财务基础数据!AG118)*目录!$D$6</f>
        <v>0</v>
      </c>
      <c r="AC73" s="306">
        <f>(财务基础数据!AH118)*目录!$D$6</f>
        <v>0</v>
      </c>
      <c r="AD73" s="306">
        <f>(财务基础数据!AI118)*目录!$D$6</f>
        <v>0</v>
      </c>
      <c r="AE73" s="306">
        <f>(财务基础数据!AJ118)*目录!$D$6</f>
        <v>0</v>
      </c>
      <c r="AF73" s="306">
        <f>(财务基础数据!AK118)*目录!$D$6</f>
        <v>0</v>
      </c>
      <c r="AG73" s="306">
        <f>(财务基础数据!AL118)*目录!$D$6</f>
        <v>0</v>
      </c>
      <c r="AH73" s="306">
        <f>(财务基础数据!AM118)*目录!$D$6</f>
        <v>0</v>
      </c>
      <c r="AI73" s="306">
        <f>(财务基础数据!AN118)*目录!$D$6</f>
        <v>0</v>
      </c>
      <c r="AJ73" s="306">
        <f>(财务基础数据!AO118)*目录!$D$6</f>
        <v>0</v>
      </c>
      <c r="AK73" s="306">
        <f t="shared" ref="AK73:AT73" si="19">SUM(AK65:AK72)</f>
        <v>0</v>
      </c>
      <c r="AL73" s="306">
        <f t="shared" si="19"/>
        <v>0</v>
      </c>
      <c r="AM73" s="306">
        <f t="shared" si="19"/>
        <v>0</v>
      </c>
      <c r="AN73" s="306">
        <f t="shared" si="19"/>
        <v>0</v>
      </c>
      <c r="AO73" s="306">
        <f t="shared" si="19"/>
        <v>0</v>
      </c>
      <c r="AP73" s="306">
        <f t="shared" si="19"/>
        <v>0</v>
      </c>
      <c r="AQ73" s="306">
        <f t="shared" si="19"/>
        <v>0</v>
      </c>
      <c r="AR73" s="306">
        <f t="shared" si="19"/>
        <v>0</v>
      </c>
      <c r="AS73" s="306">
        <f t="shared" si="19"/>
        <v>0</v>
      </c>
      <c r="AT73" s="306">
        <f t="shared" si="19"/>
        <v>0</v>
      </c>
      <c r="AU73" s="556"/>
    </row>
    <row r="74" spans="1:48" s="511" customFormat="1" ht="15" customHeight="1">
      <c r="A74" s="512"/>
      <c r="B74" s="310"/>
      <c r="C74" s="532"/>
      <c r="D74" s="528"/>
      <c r="E74" s="529"/>
      <c r="F74" s="529"/>
      <c r="G74" s="529"/>
      <c r="H74" s="529"/>
      <c r="I74" s="529"/>
      <c r="J74" s="529"/>
      <c r="K74" s="529"/>
      <c r="L74" s="529"/>
      <c r="M74" s="545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529"/>
      <c r="AG74" s="529"/>
      <c r="AH74" s="545"/>
      <c r="AI74" s="545"/>
      <c r="AJ74" s="545"/>
      <c r="AK74" s="551"/>
      <c r="AL74" s="551"/>
      <c r="AM74" s="551"/>
      <c r="AN74" s="551"/>
      <c r="AO74" s="551"/>
      <c r="AP74" s="551"/>
      <c r="AQ74" s="551"/>
      <c r="AR74" s="551"/>
      <c r="AS74" s="551"/>
      <c r="AT74" s="551"/>
      <c r="AU74" s="556"/>
    </row>
    <row r="75" spans="1:48" ht="15" customHeight="1"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6"/>
      <c r="AB75" s="536"/>
      <c r="AC75" s="536"/>
      <c r="AD75" s="536"/>
      <c r="AE75" s="536"/>
      <c r="AF75" s="536"/>
      <c r="AG75" s="536"/>
      <c r="AH75" s="552"/>
      <c r="AI75" s="552"/>
      <c r="AJ75" s="552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556"/>
    </row>
    <row r="76" spans="1:48" ht="15" customHeight="1">
      <c r="A76" s="161"/>
      <c r="B76" s="437" t="s">
        <v>419</v>
      </c>
      <c r="C76" s="162"/>
      <c r="E76" s="306">
        <f>(财务基础数据!J120)*目录!$D$6</f>
        <v>0</v>
      </c>
      <c r="F76" s="306">
        <f>(财务基础数据!K120)*目录!$D$6</f>
        <v>0</v>
      </c>
      <c r="G76" s="306">
        <f>(财务基础数据!L120)*目录!$D$6</f>
        <v>0</v>
      </c>
      <c r="H76" s="306">
        <f>(财务基础数据!M120)*目录!$D$6</f>
        <v>0</v>
      </c>
      <c r="I76" s="306">
        <f>(财务基础数据!N120)*目录!$D$6</f>
        <v>0</v>
      </c>
      <c r="J76" s="306">
        <f>(财务基础数据!O120)*目录!$D$6</f>
        <v>0</v>
      </c>
      <c r="K76" s="306">
        <f>(财务基础数据!P120)*目录!$D$6</f>
        <v>0</v>
      </c>
      <c r="L76" s="306">
        <f>(财务基础数据!Q120)*目录!$D$6</f>
        <v>0</v>
      </c>
      <c r="M76" s="306">
        <f>(财务基础数据!R120)*目录!$D$6</f>
        <v>0</v>
      </c>
      <c r="N76" s="306">
        <f>(财务基础数据!S120)*目录!$D$6</f>
        <v>0</v>
      </c>
      <c r="O76" s="306">
        <f>(财务基础数据!T120)*目录!$D$6</f>
        <v>0</v>
      </c>
      <c r="P76" s="306">
        <f>(财务基础数据!U120)*目录!$D$6</f>
        <v>0</v>
      </c>
      <c r="Q76" s="306">
        <f>(财务基础数据!V120)*目录!$D$6</f>
        <v>0</v>
      </c>
      <c r="R76" s="306">
        <f>(财务基础数据!W120)*目录!$D$6</f>
        <v>0</v>
      </c>
      <c r="S76" s="306">
        <f>(财务基础数据!X120)*目录!$D$6</f>
        <v>0</v>
      </c>
      <c r="T76" s="306">
        <f>(财务基础数据!Y120)*目录!$D$6</f>
        <v>0</v>
      </c>
      <c r="U76" s="306">
        <f>(财务基础数据!Z120)*目录!$D$6</f>
        <v>0</v>
      </c>
      <c r="V76" s="306">
        <f>(财务基础数据!AA120)*目录!$D$6</f>
        <v>0</v>
      </c>
      <c r="W76" s="306">
        <f>(财务基础数据!AB120)*目录!$D$6</f>
        <v>0</v>
      </c>
      <c r="X76" s="306">
        <f>(财务基础数据!AC120)*目录!$D$6</f>
        <v>0</v>
      </c>
      <c r="Y76" s="306">
        <f>(财务基础数据!AD120)*目录!$D$6</f>
        <v>0</v>
      </c>
      <c r="Z76" s="306">
        <f>(财务基础数据!AE120)*目录!$D$6</f>
        <v>0</v>
      </c>
      <c r="AA76" s="306">
        <f>(财务基础数据!AF120)*目录!$D$6</f>
        <v>0</v>
      </c>
      <c r="AB76" s="306">
        <f>(财务基础数据!AG120)*目录!$D$6</f>
        <v>0</v>
      </c>
      <c r="AC76" s="306">
        <f>(财务基础数据!AH120)*目录!$D$6</f>
        <v>0</v>
      </c>
      <c r="AD76" s="306">
        <f>(财务基础数据!AI120)*目录!$D$6</f>
        <v>0</v>
      </c>
      <c r="AE76" s="306">
        <f>(财务基础数据!AJ120)*目录!$D$6</f>
        <v>0</v>
      </c>
      <c r="AF76" s="306">
        <f>(财务基础数据!AK120)*目录!$D$6</f>
        <v>0</v>
      </c>
      <c r="AG76" s="306">
        <f>(财务基础数据!AL120)*目录!$D$6</f>
        <v>0</v>
      </c>
      <c r="AH76" s="306">
        <f>(财务基础数据!AM120)*目录!$D$6</f>
        <v>0</v>
      </c>
      <c r="AI76" s="306">
        <f>(财务基础数据!AN120)*目录!$D$6</f>
        <v>0</v>
      </c>
      <c r="AJ76" s="306">
        <f>(财务基础数据!AO120)*目录!$D$6</f>
        <v>0</v>
      </c>
      <c r="AK76" s="306">
        <f>AK62+AK73</f>
        <v>0</v>
      </c>
      <c r="AL76" s="306">
        <f t="shared" ref="AL76:AT76" si="20">AL62+AL73</f>
        <v>0</v>
      </c>
      <c r="AM76" s="306">
        <f t="shared" si="20"/>
        <v>0</v>
      </c>
      <c r="AN76" s="306">
        <f t="shared" si="20"/>
        <v>0</v>
      </c>
      <c r="AO76" s="306">
        <f t="shared" si="20"/>
        <v>0</v>
      </c>
      <c r="AP76" s="306">
        <f t="shared" si="20"/>
        <v>0</v>
      </c>
      <c r="AQ76" s="306">
        <f t="shared" si="20"/>
        <v>0</v>
      </c>
      <c r="AR76" s="306">
        <f t="shared" si="20"/>
        <v>0</v>
      </c>
      <c r="AS76" s="306">
        <f t="shared" si="20"/>
        <v>0</v>
      </c>
      <c r="AT76" s="306">
        <f t="shared" si="20"/>
        <v>0</v>
      </c>
      <c r="AU76" s="556"/>
    </row>
    <row r="77" spans="1:48" ht="15" customHeight="1">
      <c r="A77" s="161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18"/>
      <c r="AI77" s="118"/>
      <c r="AJ77" s="118"/>
      <c r="AK77" s="152"/>
      <c r="AL77" s="188"/>
      <c r="AM77" s="188"/>
      <c r="AN77" s="188"/>
      <c r="AO77" s="188"/>
      <c r="AP77" s="188"/>
      <c r="AQ77" s="188"/>
      <c r="AR77" s="188"/>
      <c r="AS77" s="188"/>
      <c r="AT77" s="188"/>
      <c r="AU77" s="556"/>
    </row>
    <row r="78" spans="1:48" ht="15" customHeight="1">
      <c r="A78" s="161"/>
      <c r="B78" s="150" t="s">
        <v>420</v>
      </c>
      <c r="D78" s="527"/>
      <c r="E78" s="524">
        <f>财务基础数据!J121*目录!$D$6</f>
        <v>0</v>
      </c>
      <c r="F78" s="524">
        <f>财务基础数据!K121*目录!$D$6</f>
        <v>0</v>
      </c>
      <c r="G78" s="524">
        <f>财务基础数据!L121*目录!$D$6</f>
        <v>0</v>
      </c>
      <c r="H78" s="524">
        <f>财务基础数据!M121*目录!$D$6</f>
        <v>0</v>
      </c>
      <c r="I78" s="524">
        <f>财务基础数据!N121*目录!$D$6</f>
        <v>0</v>
      </c>
      <c r="J78" s="524">
        <f>财务基础数据!O121*目录!$D$6</f>
        <v>0</v>
      </c>
      <c r="K78" s="524">
        <f>财务基础数据!P121*目录!$D$6</f>
        <v>0</v>
      </c>
      <c r="L78" s="524">
        <f>财务基础数据!Q121*目录!$D$6</f>
        <v>0</v>
      </c>
      <c r="M78" s="524">
        <f>财务基础数据!R121*目录!$D$6</f>
        <v>0</v>
      </c>
      <c r="N78" s="524">
        <f>财务基础数据!S121*目录!$D$6</f>
        <v>0</v>
      </c>
      <c r="O78" s="524">
        <f>财务基础数据!T121*目录!$D$6</f>
        <v>0</v>
      </c>
      <c r="P78" s="524">
        <f>财务基础数据!U121*目录!$D$6</f>
        <v>0</v>
      </c>
      <c r="Q78" s="524">
        <f>财务基础数据!V121*目录!$D$6</f>
        <v>0</v>
      </c>
      <c r="R78" s="524">
        <f>财务基础数据!W121*目录!$D$6</f>
        <v>0</v>
      </c>
      <c r="S78" s="524">
        <f>财务基础数据!X121*目录!$D$6</f>
        <v>0</v>
      </c>
      <c r="T78" s="524">
        <f>财务基础数据!Y121*目录!$D$6</f>
        <v>0</v>
      </c>
      <c r="U78" s="524">
        <f>财务基础数据!Z121*目录!$D$6</f>
        <v>0</v>
      </c>
      <c r="V78" s="524">
        <f>财务基础数据!AA121*目录!$D$6</f>
        <v>0</v>
      </c>
      <c r="W78" s="524">
        <f>财务基础数据!AB121*目录!$D$6</f>
        <v>0</v>
      </c>
      <c r="X78" s="524">
        <f>财务基础数据!AC121*目录!$D$6</f>
        <v>0</v>
      </c>
      <c r="Y78" s="524">
        <f>财务基础数据!AD121*目录!$D$6</f>
        <v>0</v>
      </c>
      <c r="Z78" s="524">
        <f>财务基础数据!AE121*目录!$D$6</f>
        <v>0</v>
      </c>
      <c r="AA78" s="524">
        <f>财务基础数据!AF121*目录!$D$6</f>
        <v>0</v>
      </c>
      <c r="AB78" s="524">
        <f>财务基础数据!AG121*目录!$D$6</f>
        <v>0</v>
      </c>
      <c r="AC78" s="524">
        <f>财务基础数据!AH121*目录!$D$6</f>
        <v>0</v>
      </c>
      <c r="AD78" s="524">
        <f>财务基础数据!AI121*目录!$D$6</f>
        <v>0</v>
      </c>
      <c r="AE78" s="524">
        <f>财务基础数据!AJ121*目录!$D$6</f>
        <v>0</v>
      </c>
      <c r="AF78" s="524">
        <f>财务基础数据!AK121*目录!$D$6</f>
        <v>0</v>
      </c>
      <c r="AG78" s="524">
        <f>财务基础数据!AL121*目录!$D$6</f>
        <v>0</v>
      </c>
      <c r="AH78" s="198">
        <f>财务基础数据!AM121*目录!$D$6</f>
        <v>0</v>
      </c>
      <c r="AI78" s="198">
        <f>财务基础数据!AN121*目录!$D$6</f>
        <v>0</v>
      </c>
      <c r="AJ78" s="198">
        <f>财务基础数据!AO121*目录!$D$6</f>
        <v>0</v>
      </c>
      <c r="AK78" s="198">
        <f>AG78+资产预测!L132+资产预测!L140-资产预测!L147+资产预测!L152+资产预测!L168</f>
        <v>0</v>
      </c>
      <c r="AL78" s="524">
        <f>IF(ISERROR(AK78+资产预测!M132+资产预测!M140-资产预测!M147+资产预测!M152+资产预测!M168),0,AK78+资产预测!M132+资产预测!M140-资产预测!M147+资产预测!M152+资产预测!M168)</f>
        <v>0</v>
      </c>
      <c r="AM78" s="524">
        <f>IF(ISERROR(AL78+资产预测!N140-资产预测!N147+资产预测!N152+资产预测!N168),0,AL78+资产预测!N140-资产预测!N147+资产预测!N152+资产预测!N168)</f>
        <v>0</v>
      </c>
      <c r="AN78" s="524">
        <f>IF(ISERROR(AM78+资产预测!O140-资产预测!O147+资产预测!O152+资产预测!O168),0,AM78+资产预测!O140-资产预测!O147+资产预测!O152+资产预测!O168)</f>
        <v>0</v>
      </c>
      <c r="AO78" s="524">
        <f>IF(ISERROR(AN78+资产预测!P140-资产预测!P147+资产预测!P152+资产预测!P168),0,AN78+资产预测!P140-资产预测!P147+资产预测!P152+资产预测!P168)</f>
        <v>0</v>
      </c>
      <c r="AP78" s="524">
        <f>IF(ISERROR(AO78+资产预测!Q140-资产预测!Q147+资产预测!Q152+资产预测!Q168),0,AO78+资产预测!Q140-资产预测!Q147+资产预测!Q152+资产预测!Q168)</f>
        <v>0</v>
      </c>
      <c r="AQ78" s="524">
        <f>IF(ISERROR(AP78+资产预测!R140-资产预测!R147+资产预测!R152+资产预测!R168),0,AP78+资产预测!R140-资产预测!R147+资产预测!R152+资产预测!R168)</f>
        <v>0</v>
      </c>
      <c r="AR78" s="524">
        <f>IF(ISERROR(AQ78+资产预测!S140-资产预测!S147+资产预测!S152+资产预测!S168),0,AQ78+资产预测!S140-资产预测!S147+资产预测!S152+资产预测!S168)</f>
        <v>0</v>
      </c>
      <c r="AS78" s="524">
        <f>IF(ISERROR(AR78+资产预测!T140-资产预测!T147+资产预测!T152+资产预测!T168),0,AR78+资产预测!T140-资产预测!T147+资产预测!T152+资产预测!T168)</f>
        <v>0</v>
      </c>
      <c r="AT78" s="524">
        <f>IF(ISERROR(AS78+资产预测!U140-资产预测!U147+资产预测!U152+资产预测!U168),0,AS78+资产预测!U140-资产预测!U147+资产预测!U152+资产预测!U168)</f>
        <v>0</v>
      </c>
      <c r="AU78" s="556"/>
    </row>
    <row r="79" spans="1:48" ht="15" customHeight="1">
      <c r="A79" s="155"/>
      <c r="B79" s="150" t="s">
        <v>421</v>
      </c>
      <c r="E79" s="524">
        <f>财务基础数据!J140*目录!$D$6</f>
        <v>0</v>
      </c>
      <c r="F79" s="524">
        <f>财务基础数据!K140*目录!$D$6</f>
        <v>0</v>
      </c>
      <c r="G79" s="524">
        <f>财务基础数据!L140*目录!$D$6</f>
        <v>0</v>
      </c>
      <c r="H79" s="524">
        <f>财务基础数据!M140*目录!$D$6</f>
        <v>0</v>
      </c>
      <c r="I79" s="524">
        <f>财务基础数据!N140*目录!$D$6</f>
        <v>0</v>
      </c>
      <c r="J79" s="524">
        <f>财务基础数据!O140*目录!$D$6</f>
        <v>0</v>
      </c>
      <c r="K79" s="524">
        <f>财务基础数据!P140*目录!$D$6</f>
        <v>0</v>
      </c>
      <c r="L79" s="524">
        <f>财务基础数据!Q140*目录!$D$6</f>
        <v>0</v>
      </c>
      <c r="M79" s="524">
        <f>财务基础数据!R140*目录!$D$6</f>
        <v>0</v>
      </c>
      <c r="N79" s="524">
        <f>财务基础数据!S140*目录!$D$6</f>
        <v>0</v>
      </c>
      <c r="O79" s="524">
        <f>财务基础数据!T140*目录!$D$6</f>
        <v>0</v>
      </c>
      <c r="P79" s="524">
        <f>财务基础数据!U140*目录!$D$6</f>
        <v>0</v>
      </c>
      <c r="Q79" s="524">
        <f>财务基础数据!V140*目录!$D$6</f>
        <v>0</v>
      </c>
      <c r="R79" s="524">
        <f>财务基础数据!W140*目录!$D$6</f>
        <v>0</v>
      </c>
      <c r="S79" s="524">
        <f>财务基础数据!X140*目录!$D$6</f>
        <v>0</v>
      </c>
      <c r="T79" s="524">
        <f>财务基础数据!Y140*目录!$D$6</f>
        <v>0</v>
      </c>
      <c r="U79" s="524">
        <f>财务基础数据!Z140*目录!$D$6</f>
        <v>0</v>
      </c>
      <c r="V79" s="524">
        <f>财务基础数据!AA140*目录!$D$6</f>
        <v>0</v>
      </c>
      <c r="W79" s="524">
        <f>财务基础数据!AB140*目录!$D$6</f>
        <v>0</v>
      </c>
      <c r="X79" s="524">
        <f>财务基础数据!AC140*目录!$D$6</f>
        <v>0</v>
      </c>
      <c r="Y79" s="524">
        <f>财务基础数据!AD140*目录!$D$6</f>
        <v>0</v>
      </c>
      <c r="Z79" s="524">
        <f>财务基础数据!AE140*目录!$D$6</f>
        <v>0</v>
      </c>
      <c r="AA79" s="524">
        <f>财务基础数据!AF140*目录!$D$6</f>
        <v>0</v>
      </c>
      <c r="AB79" s="524">
        <f>财务基础数据!AG140*目录!$D$6</f>
        <v>0</v>
      </c>
      <c r="AC79" s="524">
        <f>财务基础数据!AH140*目录!$D$6</f>
        <v>0</v>
      </c>
      <c r="AD79" s="524">
        <f>财务基础数据!AI140*目录!$D$6</f>
        <v>0</v>
      </c>
      <c r="AE79" s="524">
        <f>财务基础数据!AJ140*目录!$D$6</f>
        <v>0</v>
      </c>
      <c r="AF79" s="524">
        <f>财务基础数据!AK140*目录!$D$6</f>
        <v>0</v>
      </c>
      <c r="AG79" s="524">
        <f>财务基础数据!AL140*目录!$D$6</f>
        <v>0</v>
      </c>
      <c r="AH79" s="198">
        <f>财务基础数据!AM140*目录!$D$6</f>
        <v>0</v>
      </c>
      <c r="AI79" s="198">
        <f>财务基础数据!AN140*目录!$D$6</f>
        <v>0</v>
      </c>
      <c r="AJ79" s="198">
        <f>财务基础数据!AO140*目录!$D$6</f>
        <v>0</v>
      </c>
      <c r="AK79" s="548">
        <f>IF(财务基础数据!$AM$4=0,AG79,IF(财务基础数据!$AM$4=1,AH79,IF(财务基础数据!$AM$4=2,AI79,AJ79)))</f>
        <v>0</v>
      </c>
      <c r="AL79" s="548">
        <f>AK79</f>
        <v>0</v>
      </c>
      <c r="AM79" s="548">
        <f t="shared" ref="AM79:AT79" si="21">AL79</f>
        <v>0</v>
      </c>
      <c r="AN79" s="548">
        <f t="shared" si="21"/>
        <v>0</v>
      </c>
      <c r="AO79" s="548">
        <f t="shared" si="21"/>
        <v>0</v>
      </c>
      <c r="AP79" s="548">
        <f t="shared" si="21"/>
        <v>0</v>
      </c>
      <c r="AQ79" s="548">
        <f t="shared" si="21"/>
        <v>0</v>
      </c>
      <c r="AR79" s="548">
        <f t="shared" si="21"/>
        <v>0</v>
      </c>
      <c r="AS79" s="548">
        <f t="shared" si="21"/>
        <v>0</v>
      </c>
      <c r="AT79" s="548">
        <f t="shared" si="21"/>
        <v>0</v>
      </c>
      <c r="AU79" s="556"/>
    </row>
    <row r="80" spans="1:48" ht="15" customHeight="1">
      <c r="A80" s="155"/>
      <c r="B80" s="130" t="s">
        <v>422</v>
      </c>
      <c r="D80" s="527"/>
      <c r="E80" s="524">
        <f>E79-E81</f>
        <v>0</v>
      </c>
      <c r="F80" s="524">
        <f t="shared" ref="F80:AJ80" si="22">F79-F81</f>
        <v>0</v>
      </c>
      <c r="G80" s="524">
        <f t="shared" si="22"/>
        <v>0</v>
      </c>
      <c r="H80" s="524">
        <f t="shared" si="22"/>
        <v>0</v>
      </c>
      <c r="I80" s="524">
        <f t="shared" si="22"/>
        <v>0</v>
      </c>
      <c r="J80" s="524">
        <f t="shared" si="22"/>
        <v>0</v>
      </c>
      <c r="K80" s="524">
        <f t="shared" si="22"/>
        <v>0</v>
      </c>
      <c r="L80" s="524">
        <f t="shared" si="22"/>
        <v>0</v>
      </c>
      <c r="M80" s="524">
        <f t="shared" si="22"/>
        <v>0</v>
      </c>
      <c r="N80" s="524">
        <f t="shared" si="22"/>
        <v>0</v>
      </c>
      <c r="O80" s="524">
        <f t="shared" si="22"/>
        <v>0</v>
      </c>
      <c r="P80" s="524">
        <f t="shared" si="22"/>
        <v>0</v>
      </c>
      <c r="Q80" s="524">
        <f t="shared" si="22"/>
        <v>0</v>
      </c>
      <c r="R80" s="524">
        <f t="shared" si="22"/>
        <v>0</v>
      </c>
      <c r="S80" s="524">
        <f t="shared" si="22"/>
        <v>0</v>
      </c>
      <c r="T80" s="524">
        <f t="shared" si="22"/>
        <v>0</v>
      </c>
      <c r="U80" s="524">
        <f t="shared" si="22"/>
        <v>0</v>
      </c>
      <c r="V80" s="524">
        <f t="shared" si="22"/>
        <v>0</v>
      </c>
      <c r="W80" s="524">
        <f t="shared" si="22"/>
        <v>0</v>
      </c>
      <c r="X80" s="524">
        <f t="shared" si="22"/>
        <v>0</v>
      </c>
      <c r="Y80" s="524">
        <f t="shared" si="22"/>
        <v>0</v>
      </c>
      <c r="Z80" s="524">
        <f t="shared" si="22"/>
        <v>0</v>
      </c>
      <c r="AA80" s="524">
        <f t="shared" si="22"/>
        <v>0</v>
      </c>
      <c r="AB80" s="524">
        <f t="shared" si="22"/>
        <v>0</v>
      </c>
      <c r="AC80" s="524">
        <f t="shared" si="22"/>
        <v>0</v>
      </c>
      <c r="AD80" s="524">
        <f t="shared" si="22"/>
        <v>0</v>
      </c>
      <c r="AE80" s="524">
        <f t="shared" si="22"/>
        <v>0</v>
      </c>
      <c r="AF80" s="524">
        <f t="shared" si="22"/>
        <v>0</v>
      </c>
      <c r="AG80" s="524">
        <f t="shared" si="22"/>
        <v>0</v>
      </c>
      <c r="AH80" s="198">
        <f t="shared" si="22"/>
        <v>0</v>
      </c>
      <c r="AI80" s="198">
        <f t="shared" si="22"/>
        <v>0</v>
      </c>
      <c r="AJ80" s="198">
        <f t="shared" si="22"/>
        <v>0</v>
      </c>
      <c r="AK80" s="118"/>
      <c r="AL80" s="188"/>
      <c r="AM80" s="188"/>
      <c r="AN80" s="188"/>
      <c r="AO80" s="188"/>
      <c r="AP80" s="188"/>
      <c r="AQ80" s="188"/>
      <c r="AR80" s="188"/>
      <c r="AS80" s="188"/>
      <c r="AT80" s="188"/>
      <c r="AU80" s="556"/>
    </row>
    <row r="81" spans="1:49" ht="15" customHeight="1">
      <c r="A81" s="155"/>
      <c r="B81" s="150" t="s">
        <v>423</v>
      </c>
      <c r="D81" s="527"/>
      <c r="E81" s="524">
        <f>财务基础数据!J162*目录!$D$6</f>
        <v>0</v>
      </c>
      <c r="F81" s="524">
        <f>财务基础数据!K162*目录!$D$6</f>
        <v>0</v>
      </c>
      <c r="G81" s="524">
        <f>财务基础数据!L162*目录!$D$6</f>
        <v>0</v>
      </c>
      <c r="H81" s="524">
        <f>财务基础数据!M162*目录!$D$6</f>
        <v>0</v>
      </c>
      <c r="I81" s="524">
        <f>财务基础数据!N162*目录!$D$6</f>
        <v>0</v>
      </c>
      <c r="J81" s="524">
        <f>财务基础数据!O162*目录!$D$6</f>
        <v>0</v>
      </c>
      <c r="K81" s="524">
        <f>财务基础数据!P162*目录!$D$6</f>
        <v>0</v>
      </c>
      <c r="L81" s="524">
        <f>财务基础数据!Q162*目录!$D$6</f>
        <v>0</v>
      </c>
      <c r="M81" s="524">
        <f>财务基础数据!R162*目录!$D$6</f>
        <v>0</v>
      </c>
      <c r="N81" s="524">
        <f>财务基础数据!S162*目录!$D$6</f>
        <v>0</v>
      </c>
      <c r="O81" s="524">
        <f>财务基础数据!T162*目录!$D$6</f>
        <v>0</v>
      </c>
      <c r="P81" s="524">
        <f>财务基础数据!U162*目录!$D$6</f>
        <v>0</v>
      </c>
      <c r="Q81" s="524">
        <f>财务基础数据!V162*目录!$D$6</f>
        <v>0</v>
      </c>
      <c r="R81" s="524">
        <f>财务基础数据!W162*目录!$D$6</f>
        <v>0</v>
      </c>
      <c r="S81" s="524">
        <f>财务基础数据!X162*目录!$D$6</f>
        <v>0</v>
      </c>
      <c r="T81" s="524">
        <f>财务基础数据!Y162*目录!$D$6</f>
        <v>0</v>
      </c>
      <c r="U81" s="524">
        <f>财务基础数据!Z162*目录!$D$6</f>
        <v>0</v>
      </c>
      <c r="V81" s="524">
        <f>财务基础数据!AA162*目录!$D$6</f>
        <v>0</v>
      </c>
      <c r="W81" s="524">
        <f>财务基础数据!AB162*目录!$D$6</f>
        <v>0</v>
      </c>
      <c r="X81" s="524">
        <f>财务基础数据!AC162*目录!$D$6</f>
        <v>0</v>
      </c>
      <c r="Y81" s="524">
        <f>财务基础数据!AD162*目录!$D$6</f>
        <v>0</v>
      </c>
      <c r="Z81" s="524">
        <f>财务基础数据!AE162*目录!$D$6</f>
        <v>0</v>
      </c>
      <c r="AA81" s="524">
        <f>财务基础数据!AF162*目录!$D$6</f>
        <v>0</v>
      </c>
      <c r="AB81" s="524">
        <f>财务基础数据!AG162*目录!$D$6</f>
        <v>0</v>
      </c>
      <c r="AC81" s="524">
        <f>财务基础数据!AH162*目录!$D$6</f>
        <v>0</v>
      </c>
      <c r="AD81" s="524">
        <f>财务基础数据!AI162*目录!$D$6</f>
        <v>0</v>
      </c>
      <c r="AE81" s="524">
        <f>财务基础数据!AJ162*目录!$D$6</f>
        <v>0</v>
      </c>
      <c r="AF81" s="524">
        <f>财务基础数据!AK162*目录!$D$6</f>
        <v>0</v>
      </c>
      <c r="AG81" s="524">
        <f>财务基础数据!AL162*目录!$D$6</f>
        <v>0</v>
      </c>
      <c r="AH81" s="198">
        <f>财务基础数据!AM162*目录!$D$6</f>
        <v>0</v>
      </c>
      <c r="AI81" s="198">
        <f>财务基础数据!AN162*目录!$D$6</f>
        <v>0</v>
      </c>
      <c r="AJ81" s="198">
        <f>财务基础数据!AO162*目录!$D$6</f>
        <v>0</v>
      </c>
      <c r="AK81" s="118"/>
      <c r="AL81" s="188"/>
      <c r="AM81" s="188"/>
      <c r="AN81" s="188"/>
      <c r="AO81" s="188"/>
      <c r="AP81" s="188"/>
      <c r="AQ81" s="188"/>
      <c r="AR81" s="188"/>
      <c r="AS81" s="188"/>
      <c r="AT81" s="188"/>
      <c r="AU81" s="556"/>
    </row>
    <row r="82" spans="1:49" ht="15" customHeight="1">
      <c r="A82" s="155"/>
      <c r="B82" s="150" t="s">
        <v>347</v>
      </c>
      <c r="C82" s="162"/>
      <c r="E82" s="524">
        <f>财务基础数据!J122*目录!$D$6</f>
        <v>0</v>
      </c>
      <c r="F82" s="524">
        <f>财务基础数据!K122*目录!$D$6</f>
        <v>0</v>
      </c>
      <c r="G82" s="524">
        <f>财务基础数据!L122*目录!$D$6</f>
        <v>0</v>
      </c>
      <c r="H82" s="524">
        <f>财务基础数据!M122*目录!$D$6</f>
        <v>0</v>
      </c>
      <c r="I82" s="524">
        <f>财务基础数据!N122*目录!$D$6</f>
        <v>0</v>
      </c>
      <c r="J82" s="524">
        <f>财务基础数据!O122*目录!$D$6</f>
        <v>0</v>
      </c>
      <c r="K82" s="524">
        <f>财务基础数据!P122*目录!$D$6</f>
        <v>0</v>
      </c>
      <c r="L82" s="524">
        <f>财务基础数据!Q122*目录!$D$6</f>
        <v>0</v>
      </c>
      <c r="M82" s="524">
        <f>财务基础数据!R122*目录!$D$6</f>
        <v>0</v>
      </c>
      <c r="N82" s="524">
        <f>财务基础数据!S122*目录!$D$6</f>
        <v>0</v>
      </c>
      <c r="O82" s="524">
        <f>财务基础数据!T122*目录!$D$6</f>
        <v>0</v>
      </c>
      <c r="P82" s="524">
        <f>财务基础数据!U122*目录!$D$6</f>
        <v>0</v>
      </c>
      <c r="Q82" s="524">
        <f>财务基础数据!V122*目录!$D$6</f>
        <v>0</v>
      </c>
      <c r="R82" s="524">
        <f>财务基础数据!W122*目录!$D$6</f>
        <v>0</v>
      </c>
      <c r="S82" s="524">
        <f>财务基础数据!X122*目录!$D$6</f>
        <v>0</v>
      </c>
      <c r="T82" s="524">
        <f>财务基础数据!Y122*目录!$D$6</f>
        <v>0</v>
      </c>
      <c r="U82" s="524">
        <f>财务基础数据!Z122*目录!$D$6</f>
        <v>0</v>
      </c>
      <c r="V82" s="524">
        <f>财务基础数据!AA122*目录!$D$6</f>
        <v>0</v>
      </c>
      <c r="W82" s="524">
        <f>财务基础数据!AB122*目录!$D$6</f>
        <v>0</v>
      </c>
      <c r="X82" s="524">
        <f>财务基础数据!AC122*目录!$D$6</f>
        <v>0</v>
      </c>
      <c r="Y82" s="524">
        <f>财务基础数据!AD122*目录!$D$6</f>
        <v>0</v>
      </c>
      <c r="Z82" s="524">
        <f>财务基础数据!AE122*目录!$D$6</f>
        <v>0</v>
      </c>
      <c r="AA82" s="524">
        <f>财务基础数据!AF122*目录!$D$6</f>
        <v>0</v>
      </c>
      <c r="AB82" s="524">
        <f>财务基础数据!AG122*目录!$D$6</f>
        <v>0</v>
      </c>
      <c r="AC82" s="524">
        <f>财务基础数据!AH122*目录!$D$6</f>
        <v>0</v>
      </c>
      <c r="AD82" s="524">
        <f>财务基础数据!AI122*目录!$D$6</f>
        <v>0</v>
      </c>
      <c r="AE82" s="524">
        <f>财务基础数据!AJ122*目录!$D$6</f>
        <v>0</v>
      </c>
      <c r="AF82" s="524">
        <f>财务基础数据!AK122*目录!$D$6</f>
        <v>0</v>
      </c>
      <c r="AG82" s="524">
        <f>财务基础数据!AL122*目录!$D$6</f>
        <v>0</v>
      </c>
      <c r="AH82" s="198">
        <f>财务基础数据!AM122*目录!$D$6</f>
        <v>0</v>
      </c>
      <c r="AI82" s="198">
        <f>财务基础数据!AN122*目录!$D$6</f>
        <v>0</v>
      </c>
      <c r="AJ82" s="198">
        <f>财务基础数据!AO122*目录!$D$6</f>
        <v>0</v>
      </c>
      <c r="AK82" s="118">
        <f>AG82+资产预测!L133+资产预测!L141-资产预测!L148+资产预测!L158+资产预测!L160+资产预测!L171</f>
        <v>0</v>
      </c>
      <c r="AL82" s="118">
        <f>IF(ISERROR(AK82+资产预测!M133+资产预测!M141-资产预测!M148+资产预测!M158+资产预测!M160+资产预测!M171),"—",AK82+资产预测!M133+资产预测!M141-资产预测!M148+资产预测!M158+资产预测!M160+资产预测!M171)</f>
        <v>0</v>
      </c>
      <c r="AM82" s="118">
        <f>IF(ISERROR(AL82+资产预测!N141-资产预测!N148+资产预测!N158+资产预测!N160+资产预测!N171),"—",AL82+资产预测!N141-资产预测!N148+资产预测!N158+资产预测!N160+资产预测!N171)</f>
        <v>0</v>
      </c>
      <c r="AN82" s="118">
        <f>IF(ISERROR(AM82+资产预测!O141-资产预测!O148+资产预测!O158+资产预测!O160+资产预测!O171),"—",AM82+资产预测!O141-资产预测!O148+资产预测!O158+资产预测!O160+资产预测!O171)</f>
        <v>0</v>
      </c>
      <c r="AO82" s="118">
        <f>IF(ISERROR(AN82+资产预测!P141-资产预测!P148+资产预测!P158+资产预测!P160+资产预测!P171),"—",AN82+资产预测!P141-资产预测!P148+资产预测!P158+资产预测!P160+资产预测!P171)</f>
        <v>0</v>
      </c>
      <c r="AP82" s="118">
        <f>IF(ISERROR(AO82+资产预测!Q141-资产预测!Q148+资产预测!Q158+资产预测!Q160+资产预测!Q171),"—",AO82+资产预测!Q141-资产预测!Q148+资产预测!Q158+资产预测!Q160+资产预测!Q171)</f>
        <v>0</v>
      </c>
      <c r="AQ82" s="118">
        <f>IF(ISERROR(AP82+资产预测!R141-资产预测!R148+资产预测!R158+资产预测!R160+资产预测!R171),"—",AP82+资产预测!R141-资产预测!R148+资产预测!R158+资产预测!R160+资产预测!R171)</f>
        <v>0</v>
      </c>
      <c r="AR82" s="118">
        <f>IF(ISERROR(AQ82+资产预测!S141-资产预测!S148+资产预测!S158+资产预测!S160+资产预测!S171),"—",AQ82+资产预测!S141-资产预测!S148+资产预测!S158+资产预测!S160+资产预测!S171)</f>
        <v>0</v>
      </c>
      <c r="AS82" s="118">
        <f>IF(ISERROR(AR82+资产预测!T141-资产预测!T148+资产预测!T158+资产预测!T160+资产预测!T171),"—",AR82+资产预测!T141-资产预测!T148+资产预测!T158+资产预测!T160+资产预测!T171)</f>
        <v>0</v>
      </c>
      <c r="AT82" s="118">
        <f>IF(ISERROR(AS82+资产预测!U141-资产预测!U148+资产预测!U158+资产预测!U160+资产预测!U171),"—",AS82+资产预测!U141-资产预测!U148+资产预测!U158+资产预测!U160+资产预测!U171)</f>
        <v>0</v>
      </c>
      <c r="AU82" s="118"/>
      <c r="AV82" s="118"/>
      <c r="AW82" s="118"/>
    </row>
    <row r="83" spans="1:49" ht="15" customHeight="1">
      <c r="A83" s="30"/>
      <c r="B83" s="150" t="s">
        <v>424</v>
      </c>
      <c r="D83" s="527"/>
      <c r="E83" s="524">
        <f>财务基础数据!J123*目录!$D$6</f>
        <v>0</v>
      </c>
      <c r="F83" s="524">
        <f>财务基础数据!K123*目录!$D$6</f>
        <v>0</v>
      </c>
      <c r="G83" s="524">
        <f>财务基础数据!L123*目录!$D$6</f>
        <v>0</v>
      </c>
      <c r="H83" s="524">
        <f>财务基础数据!M123*目录!$D$6</f>
        <v>0</v>
      </c>
      <c r="I83" s="524">
        <f>财务基础数据!N123*目录!$D$6</f>
        <v>0</v>
      </c>
      <c r="J83" s="524">
        <f>财务基础数据!O123*目录!$D$6</f>
        <v>0</v>
      </c>
      <c r="K83" s="524">
        <f>财务基础数据!P123*目录!$D$6</f>
        <v>0</v>
      </c>
      <c r="L83" s="524">
        <f>财务基础数据!Q123*目录!$D$6</f>
        <v>0</v>
      </c>
      <c r="M83" s="524">
        <f>财务基础数据!R123*目录!$D$6</f>
        <v>0</v>
      </c>
      <c r="N83" s="524">
        <f>财务基础数据!S123*目录!$D$6</f>
        <v>0</v>
      </c>
      <c r="O83" s="524">
        <f>财务基础数据!T123*目录!$D$6</f>
        <v>0</v>
      </c>
      <c r="P83" s="524">
        <f>财务基础数据!U123*目录!$D$6</f>
        <v>0</v>
      </c>
      <c r="Q83" s="524">
        <f>财务基础数据!V123*目录!$D$6</f>
        <v>0</v>
      </c>
      <c r="R83" s="524">
        <f>财务基础数据!W123*目录!$D$6</f>
        <v>0</v>
      </c>
      <c r="S83" s="524">
        <f>财务基础数据!X123*目录!$D$6</f>
        <v>0</v>
      </c>
      <c r="T83" s="524">
        <f>财务基础数据!Y123*目录!$D$6</f>
        <v>0</v>
      </c>
      <c r="U83" s="524">
        <f>财务基础数据!Z123*目录!$D$6</f>
        <v>0</v>
      </c>
      <c r="V83" s="524">
        <f>财务基础数据!AA123*目录!$D$6</f>
        <v>0</v>
      </c>
      <c r="W83" s="524">
        <f>财务基础数据!AB123*目录!$D$6</f>
        <v>0</v>
      </c>
      <c r="X83" s="524">
        <f>财务基础数据!AC123*目录!$D$6</f>
        <v>0</v>
      </c>
      <c r="Y83" s="524">
        <f>财务基础数据!AD123*目录!$D$6</f>
        <v>0</v>
      </c>
      <c r="Z83" s="524">
        <f>财务基础数据!AE123*目录!$D$6</f>
        <v>0</v>
      </c>
      <c r="AA83" s="524">
        <f>财务基础数据!AF123*目录!$D$6</f>
        <v>0</v>
      </c>
      <c r="AB83" s="524">
        <f>财务基础数据!AG123*目录!$D$6</f>
        <v>0</v>
      </c>
      <c r="AC83" s="524">
        <f>财务基础数据!AH123*目录!$D$6</f>
        <v>0</v>
      </c>
      <c r="AD83" s="524">
        <f>财务基础数据!AI123*目录!$D$6</f>
        <v>0</v>
      </c>
      <c r="AE83" s="524">
        <f>财务基础数据!AJ123*目录!$D$6</f>
        <v>0</v>
      </c>
      <c r="AF83" s="524">
        <f>财务基础数据!AK123*目录!$D$6</f>
        <v>0</v>
      </c>
      <c r="AG83" s="524">
        <f>财务基础数据!AL123*目录!$D$6</f>
        <v>0</v>
      </c>
      <c r="AH83" s="198">
        <f>财务基础数据!AM123*目录!$D$6</f>
        <v>0</v>
      </c>
      <c r="AI83" s="198">
        <f>财务基础数据!AN123*目录!$D$6</f>
        <v>0</v>
      </c>
      <c r="AJ83" s="198">
        <f>财务基础数据!AO123*目录!$D$6</f>
        <v>0</v>
      </c>
      <c r="AK83" s="118">
        <f>IF(ISERROR(AG83+资产预测!L149),"—",AG83+资产预测!L149)</f>
        <v>0</v>
      </c>
      <c r="AL83" s="118">
        <f>IF(ISERROR(AK83+资产预测!M149),"—",AK83+资产预测!M149)</f>
        <v>0</v>
      </c>
      <c r="AM83" s="118">
        <f>IF(ISERROR(AL83+资产预测!N149),"—",AL83+资产预测!N149)</f>
        <v>0</v>
      </c>
      <c r="AN83" s="118">
        <f>IF(ISERROR(AM83+资产预测!O149),"—",AM83+资产预测!O149)</f>
        <v>0</v>
      </c>
      <c r="AO83" s="118">
        <f>IF(ISERROR(AN83+资产预测!P149),"—",AN83+资产预测!P149)</f>
        <v>0</v>
      </c>
      <c r="AP83" s="118">
        <f>IF(ISERROR(AO83+资产预测!Q149),"—",AO83+资产预测!Q149)</f>
        <v>0</v>
      </c>
      <c r="AQ83" s="118">
        <f>IF(ISERROR(AP83+资产预测!R149),"—",AP83+资产预测!R149)</f>
        <v>0</v>
      </c>
      <c r="AR83" s="118">
        <f>IF(ISERROR(AQ83+资产预测!S149),"—",AQ83+资产预测!S149)</f>
        <v>0</v>
      </c>
      <c r="AS83" s="118">
        <f>IF(ISERROR(AR83+资产预测!T149),"—",AR83+资产预测!T149)</f>
        <v>0</v>
      </c>
      <c r="AT83" s="118">
        <f>IF(ISERROR(AS83+资产预测!U149),"—",AS83+资产预测!U149)</f>
        <v>0</v>
      </c>
      <c r="AU83" s="556"/>
    </row>
    <row r="84" spans="1:49" ht="15" customHeight="1">
      <c r="B84" s="150" t="s">
        <v>425</v>
      </c>
      <c r="E84" s="524">
        <f>财务基础数据!J139*目录!$D$6</f>
        <v>0</v>
      </c>
      <c r="F84" s="524">
        <f>财务基础数据!K139*目录!$D$6</f>
        <v>0</v>
      </c>
      <c r="G84" s="524">
        <f>财务基础数据!L139*目录!$D$6</f>
        <v>0</v>
      </c>
      <c r="H84" s="524">
        <f>财务基础数据!M139*目录!$D$6</f>
        <v>0</v>
      </c>
      <c r="I84" s="524">
        <f>财务基础数据!N139*目录!$D$6</f>
        <v>0</v>
      </c>
      <c r="J84" s="524">
        <f>财务基础数据!O139*目录!$D$6</f>
        <v>0</v>
      </c>
      <c r="K84" s="524">
        <f>财务基础数据!P139*目录!$D$6</f>
        <v>0</v>
      </c>
      <c r="L84" s="524">
        <f>财务基础数据!Q139*目录!$D$6</f>
        <v>0</v>
      </c>
      <c r="M84" s="524">
        <f>财务基础数据!R139*目录!$D$6</f>
        <v>0</v>
      </c>
      <c r="N84" s="524">
        <f>财务基础数据!S139*目录!$D$6</f>
        <v>0</v>
      </c>
      <c r="O84" s="524">
        <f>财务基础数据!T139*目录!$D$6</f>
        <v>0</v>
      </c>
      <c r="P84" s="524">
        <f>财务基础数据!U139*目录!$D$6</f>
        <v>0</v>
      </c>
      <c r="Q84" s="524">
        <f>财务基础数据!V139*目录!$D$6</f>
        <v>0</v>
      </c>
      <c r="R84" s="524">
        <f>财务基础数据!W139*目录!$D$6</f>
        <v>0</v>
      </c>
      <c r="S84" s="524">
        <f>财务基础数据!X139*目录!$D$6</f>
        <v>0</v>
      </c>
      <c r="T84" s="524">
        <f>财务基础数据!Y139*目录!$D$6</f>
        <v>0</v>
      </c>
      <c r="U84" s="524">
        <f>财务基础数据!Z139*目录!$D$6</f>
        <v>0</v>
      </c>
      <c r="V84" s="524">
        <f>财务基础数据!AA139*目录!$D$6</f>
        <v>0</v>
      </c>
      <c r="W84" s="524">
        <f>财务基础数据!AB139*目录!$D$6</f>
        <v>0</v>
      </c>
      <c r="X84" s="524">
        <f>财务基础数据!AC139*目录!$D$6</f>
        <v>0</v>
      </c>
      <c r="Y84" s="524">
        <f>财务基础数据!AD139*目录!$D$6</f>
        <v>0</v>
      </c>
      <c r="Z84" s="524">
        <f>财务基础数据!AE139*目录!$D$6</f>
        <v>0</v>
      </c>
      <c r="AA84" s="524">
        <f>财务基础数据!AF139*目录!$D$6</f>
        <v>0</v>
      </c>
      <c r="AB84" s="524">
        <f>财务基础数据!AG139*目录!$D$6</f>
        <v>0</v>
      </c>
      <c r="AC84" s="524">
        <f>财务基础数据!AH139*目录!$D$6</f>
        <v>0</v>
      </c>
      <c r="AD84" s="524">
        <f>财务基础数据!AI139*目录!$D$6</f>
        <v>0</v>
      </c>
      <c r="AE84" s="524">
        <f>财务基础数据!AJ139*目录!$D$6</f>
        <v>0</v>
      </c>
      <c r="AF84" s="524">
        <f>财务基础数据!AK139*目录!$D$6</f>
        <v>0</v>
      </c>
      <c r="AG84" s="524">
        <f>财务基础数据!AL139*目录!$D$6</f>
        <v>0</v>
      </c>
      <c r="AH84" s="198">
        <f>财务基础数据!AM139*目录!$D$6</f>
        <v>0</v>
      </c>
      <c r="AI84" s="198">
        <f>财务基础数据!AN139*目录!$D$6</f>
        <v>0</v>
      </c>
      <c r="AJ84" s="198">
        <f>财务基础数据!AO139*目录!$D$6</f>
        <v>0</v>
      </c>
      <c r="AK84" s="548">
        <f>IF(财务基础数据!$AM$4=0,AG84,IF(财务基础数据!$AM$4=1,AH84,IF(财务基础数据!$AM$4=2,AI84,AJ84)))</f>
        <v>0</v>
      </c>
      <c r="AL84" s="548">
        <f>AK84</f>
        <v>0</v>
      </c>
      <c r="AM84" s="548">
        <f t="shared" ref="AM84:AT85" si="23">AL84</f>
        <v>0</v>
      </c>
      <c r="AN84" s="548">
        <f t="shared" si="23"/>
        <v>0</v>
      </c>
      <c r="AO84" s="548">
        <f t="shared" si="23"/>
        <v>0</v>
      </c>
      <c r="AP84" s="548">
        <f t="shared" si="23"/>
        <v>0</v>
      </c>
      <c r="AQ84" s="548">
        <f t="shared" si="23"/>
        <v>0</v>
      </c>
      <c r="AR84" s="548">
        <f t="shared" si="23"/>
        <v>0</v>
      </c>
      <c r="AS84" s="548">
        <f t="shared" si="23"/>
        <v>0</v>
      </c>
      <c r="AT84" s="548">
        <f t="shared" si="23"/>
        <v>0</v>
      </c>
      <c r="AU84" s="556"/>
    </row>
    <row r="85" spans="1:49" ht="15" customHeight="1">
      <c r="B85" s="150" t="s">
        <v>426</v>
      </c>
      <c r="E85" s="524">
        <f>财务基础数据!J136*目录!$D$6</f>
        <v>0</v>
      </c>
      <c r="F85" s="524">
        <f>财务基础数据!K136*目录!$D$6</f>
        <v>0</v>
      </c>
      <c r="G85" s="524">
        <f>财务基础数据!L136*目录!$D$6</f>
        <v>0</v>
      </c>
      <c r="H85" s="524">
        <f>财务基础数据!M136*目录!$D$6</f>
        <v>0</v>
      </c>
      <c r="I85" s="524">
        <f>财务基础数据!N136*目录!$D$6</f>
        <v>0</v>
      </c>
      <c r="J85" s="524">
        <f>财务基础数据!O136*目录!$D$6</f>
        <v>0</v>
      </c>
      <c r="K85" s="524">
        <f>财务基础数据!P136*目录!$D$6</f>
        <v>0</v>
      </c>
      <c r="L85" s="524">
        <f>财务基础数据!Q136*目录!$D$6</f>
        <v>0</v>
      </c>
      <c r="M85" s="524">
        <f>财务基础数据!R136*目录!$D$6</f>
        <v>0</v>
      </c>
      <c r="N85" s="524">
        <f>财务基础数据!S136*目录!$D$6</f>
        <v>0</v>
      </c>
      <c r="O85" s="524">
        <f>财务基础数据!T136*目录!$D$6</f>
        <v>0</v>
      </c>
      <c r="P85" s="524">
        <f>财务基础数据!U136*目录!$D$6</f>
        <v>0</v>
      </c>
      <c r="Q85" s="524">
        <f>财务基础数据!V136*目录!$D$6</f>
        <v>0</v>
      </c>
      <c r="R85" s="524">
        <f>财务基础数据!W136*目录!$D$6</f>
        <v>0</v>
      </c>
      <c r="S85" s="524">
        <f>财务基础数据!X136*目录!$D$6</f>
        <v>0</v>
      </c>
      <c r="T85" s="524">
        <f>财务基础数据!Y136*目录!$D$6</f>
        <v>0</v>
      </c>
      <c r="U85" s="524">
        <f>财务基础数据!Z136*目录!$D$6</f>
        <v>0</v>
      </c>
      <c r="V85" s="524">
        <f>财务基础数据!AA136*目录!$D$6</f>
        <v>0</v>
      </c>
      <c r="W85" s="524">
        <f>财务基础数据!AB136*目录!$D$6</f>
        <v>0</v>
      </c>
      <c r="X85" s="524">
        <f>财务基础数据!AC136*目录!$D$6</f>
        <v>0</v>
      </c>
      <c r="Y85" s="524">
        <f>财务基础数据!AD136*目录!$D$6</f>
        <v>0</v>
      </c>
      <c r="Z85" s="524">
        <f>财务基础数据!AE136*目录!$D$6</f>
        <v>0</v>
      </c>
      <c r="AA85" s="524">
        <f>财务基础数据!AF136*目录!$D$6</f>
        <v>0</v>
      </c>
      <c r="AB85" s="524">
        <f>财务基础数据!AG136*目录!$D$6</f>
        <v>0</v>
      </c>
      <c r="AC85" s="524">
        <f>财务基础数据!AH136*目录!$D$6</f>
        <v>0</v>
      </c>
      <c r="AD85" s="524">
        <f>财务基础数据!AI136*目录!$D$6</f>
        <v>0</v>
      </c>
      <c r="AE85" s="524">
        <f>财务基础数据!AJ136*目录!$D$6</f>
        <v>0</v>
      </c>
      <c r="AF85" s="524">
        <f>财务基础数据!AK136*目录!$D$6</f>
        <v>0</v>
      </c>
      <c r="AG85" s="524">
        <f>财务基础数据!AL136*目录!$D$6</f>
        <v>0</v>
      </c>
      <c r="AH85" s="198">
        <f>财务基础数据!AM136*目录!$D$6</f>
        <v>0</v>
      </c>
      <c r="AI85" s="198">
        <f>财务基础数据!AN136*目录!$D$6</f>
        <v>0</v>
      </c>
      <c r="AJ85" s="198">
        <f>财务基础数据!AO136*目录!$D$6</f>
        <v>0</v>
      </c>
      <c r="AK85" s="548">
        <f>IF(财务基础数据!$AM$4=0,AG85,IF(财务基础数据!$AM$4=1,AH85,IF(财务基础数据!$AM$4=2,AI85,AJ85)))</f>
        <v>0</v>
      </c>
      <c r="AL85" s="548">
        <f>AK85</f>
        <v>0</v>
      </c>
      <c r="AM85" s="548">
        <f t="shared" si="23"/>
        <v>0</v>
      </c>
      <c r="AN85" s="548">
        <f t="shared" si="23"/>
        <v>0</v>
      </c>
      <c r="AO85" s="548">
        <f t="shared" si="23"/>
        <v>0</v>
      </c>
      <c r="AP85" s="548">
        <f t="shared" si="23"/>
        <v>0</v>
      </c>
      <c r="AQ85" s="548">
        <f t="shared" si="23"/>
        <v>0</v>
      </c>
      <c r="AR85" s="548">
        <f t="shared" si="23"/>
        <v>0</v>
      </c>
      <c r="AS85" s="548">
        <f t="shared" si="23"/>
        <v>0</v>
      </c>
      <c r="AT85" s="548">
        <f t="shared" si="23"/>
        <v>0</v>
      </c>
      <c r="AU85" s="556"/>
    </row>
    <row r="86" spans="1:49" ht="15" customHeight="1">
      <c r="B86" s="150" t="s">
        <v>427</v>
      </c>
      <c r="D86" s="527"/>
      <c r="E86" s="524">
        <f>财务基础数据!J124*目录!$D$6</f>
        <v>0</v>
      </c>
      <c r="F86" s="524">
        <f>财务基础数据!K124*目录!$D$6</f>
        <v>0</v>
      </c>
      <c r="G86" s="524">
        <f>财务基础数据!L124*目录!$D$6</f>
        <v>0</v>
      </c>
      <c r="H86" s="524">
        <f>财务基础数据!M124*目录!$D$6</f>
        <v>0</v>
      </c>
      <c r="I86" s="524">
        <f>财务基础数据!N124*目录!$D$6</f>
        <v>0</v>
      </c>
      <c r="J86" s="524">
        <f>财务基础数据!O124*目录!$D$6</f>
        <v>0</v>
      </c>
      <c r="K86" s="524">
        <f>财务基础数据!P124*目录!$D$6</f>
        <v>0</v>
      </c>
      <c r="L86" s="524">
        <f>财务基础数据!Q124*目录!$D$6</f>
        <v>0</v>
      </c>
      <c r="M86" s="524">
        <f>财务基础数据!R124*目录!$D$6</f>
        <v>0</v>
      </c>
      <c r="N86" s="524">
        <f>财务基础数据!S124*目录!$D$6</f>
        <v>0</v>
      </c>
      <c r="O86" s="524">
        <f>财务基础数据!T124*目录!$D$6</f>
        <v>0</v>
      </c>
      <c r="P86" s="524">
        <f>财务基础数据!U124*目录!$D$6</f>
        <v>0</v>
      </c>
      <c r="Q86" s="524">
        <f>财务基础数据!V124*目录!$D$6</f>
        <v>0</v>
      </c>
      <c r="R86" s="524">
        <f>财务基础数据!W124*目录!$D$6</f>
        <v>0</v>
      </c>
      <c r="S86" s="524">
        <f>财务基础数据!X124*目录!$D$6</f>
        <v>0</v>
      </c>
      <c r="T86" s="524">
        <f>财务基础数据!Y124*目录!$D$6</f>
        <v>0</v>
      </c>
      <c r="U86" s="524">
        <f>财务基础数据!Z124*目录!$D$6</f>
        <v>0</v>
      </c>
      <c r="V86" s="524">
        <f>财务基础数据!AA124*目录!$D$6</f>
        <v>0</v>
      </c>
      <c r="W86" s="524">
        <f>财务基础数据!AB124*目录!$D$6</f>
        <v>0</v>
      </c>
      <c r="X86" s="524">
        <f>财务基础数据!AC124*目录!$D$6</f>
        <v>0</v>
      </c>
      <c r="Y86" s="524">
        <f>财务基础数据!AD124*目录!$D$6</f>
        <v>0</v>
      </c>
      <c r="Z86" s="524">
        <f>财务基础数据!AE124*目录!$D$6</f>
        <v>0</v>
      </c>
      <c r="AA86" s="524">
        <f>财务基础数据!AF124*目录!$D$6</f>
        <v>0</v>
      </c>
      <c r="AB86" s="524">
        <f>财务基础数据!AG124*目录!$D$6</f>
        <v>0</v>
      </c>
      <c r="AC86" s="524">
        <f>财务基础数据!AH124*目录!$D$6</f>
        <v>0</v>
      </c>
      <c r="AD86" s="524">
        <f>财务基础数据!AI124*目录!$D$6</f>
        <v>0</v>
      </c>
      <c r="AE86" s="524">
        <f>财务基础数据!AJ124*目录!$D$6</f>
        <v>0</v>
      </c>
      <c r="AF86" s="524">
        <f>财务基础数据!AK124*目录!$D$6</f>
        <v>0</v>
      </c>
      <c r="AG86" s="524">
        <f>财务基础数据!AL124*目录!$D$6</f>
        <v>0</v>
      </c>
      <c r="AH86" s="198">
        <f>财务基础数据!AM124*目录!$D$6</f>
        <v>0</v>
      </c>
      <c r="AI86" s="198">
        <f>财务基础数据!AN124*目录!$D$6</f>
        <v>0</v>
      </c>
      <c r="AJ86" s="198">
        <f>财务基础数据!AO124*目录!$D$6</f>
        <v>0</v>
      </c>
      <c r="AK86" s="118">
        <f>IF(利润表!AK94&gt;=0,利润表!AK94*15%+资产负债表!AG86,资产负债表!AG86)</f>
        <v>0</v>
      </c>
      <c r="AL86" s="118">
        <f>IF(利润表!AL94&gt;=0,利润表!AL94*15%+资产负债表!AK86,资产负债表!AK86)</f>
        <v>0</v>
      </c>
      <c r="AM86" s="118">
        <f>IF(利润表!AM94&gt;=0,利润表!AM94*15%+资产负债表!AL86,资产负债表!AL86)</f>
        <v>0</v>
      </c>
      <c r="AN86" s="118">
        <f>IF(利润表!AN94&gt;=0,利润表!AN94*15%+资产负债表!AM86,资产负债表!AM86)</f>
        <v>0</v>
      </c>
      <c r="AO86" s="118">
        <f>IF(利润表!AO94&gt;=0,利润表!AO94*15%+资产负债表!AN86,资产负债表!AN86)</f>
        <v>0</v>
      </c>
      <c r="AP86" s="118">
        <f>IF(利润表!AP94&gt;=0,利润表!AP94*15%+资产负债表!AO86,资产负债表!AO86)</f>
        <v>0</v>
      </c>
      <c r="AQ86" s="118">
        <f>IF(利润表!AQ94&gt;=0,利润表!AQ94*15%+资产负债表!AP86,资产负债表!AP86)</f>
        <v>0</v>
      </c>
      <c r="AR86" s="118">
        <f>IF(利润表!AR94&gt;=0,利润表!AR94*15%+资产负债表!AQ86,资产负债表!AQ86)</f>
        <v>0</v>
      </c>
      <c r="AS86" s="118">
        <f>IF(利润表!AS94&gt;=0,利润表!AS94*15%+资产负债表!AR86,资产负债表!AR86)</f>
        <v>0</v>
      </c>
      <c r="AT86" s="118">
        <f>IF(利润表!AT94&gt;=0,利润表!AT94*15%+资产负债表!AS86,资产负债表!AS86)</f>
        <v>0</v>
      </c>
      <c r="AU86" s="556"/>
    </row>
    <row r="87" spans="1:49" ht="15" customHeight="1">
      <c r="A87" s="161"/>
      <c r="B87" s="150" t="s">
        <v>428</v>
      </c>
      <c r="C87" s="162"/>
      <c r="D87" s="527"/>
      <c r="E87" s="524">
        <f>财务基础数据!J126*目录!$D$6</f>
        <v>0</v>
      </c>
      <c r="F87" s="524">
        <f>(财务基础数据!K126+财务基础数据!K128)*目录!$D$6</f>
        <v>0</v>
      </c>
      <c r="G87" s="524">
        <f>(财务基础数据!L126+财务基础数据!L128)*目录!$D$6</f>
        <v>0</v>
      </c>
      <c r="H87" s="524">
        <f>(财务基础数据!M126+财务基础数据!M128)*目录!$D$6</f>
        <v>0</v>
      </c>
      <c r="I87" s="524">
        <f>(财务基础数据!N126+财务基础数据!N128)*目录!$D$6</f>
        <v>0</v>
      </c>
      <c r="J87" s="524">
        <f>(财务基础数据!O126+财务基础数据!O128)*目录!$D$6</f>
        <v>0</v>
      </c>
      <c r="K87" s="524">
        <f>(财务基础数据!P126+财务基础数据!P128)*目录!$D$6</f>
        <v>0</v>
      </c>
      <c r="L87" s="524">
        <f>(财务基础数据!Q126+财务基础数据!Q128)*目录!$D$6</f>
        <v>0</v>
      </c>
      <c r="M87" s="524">
        <f>(财务基础数据!R126+财务基础数据!R128)*目录!$D$6</f>
        <v>0</v>
      </c>
      <c r="N87" s="524">
        <f>(财务基础数据!S126+财务基础数据!S128)*目录!$D$6</f>
        <v>0</v>
      </c>
      <c r="O87" s="524">
        <f>(财务基础数据!T126+财务基础数据!T128)*目录!$D$6</f>
        <v>0</v>
      </c>
      <c r="P87" s="524">
        <f>(财务基础数据!U126+财务基础数据!U128)*目录!$D$6</f>
        <v>0</v>
      </c>
      <c r="Q87" s="524">
        <f>(财务基础数据!V126+财务基础数据!V128)*目录!$D$6</f>
        <v>0</v>
      </c>
      <c r="R87" s="524">
        <f>(财务基础数据!W126+财务基础数据!W128)*目录!$D$6</f>
        <v>0</v>
      </c>
      <c r="S87" s="524">
        <f>(财务基础数据!X126+财务基础数据!X128)*目录!$D$6</f>
        <v>0</v>
      </c>
      <c r="T87" s="524">
        <f>(财务基础数据!Y126+财务基础数据!Y128)*目录!$D$6</f>
        <v>0</v>
      </c>
      <c r="U87" s="524">
        <f>(财务基础数据!Z126+财务基础数据!Z128)*目录!$D$6</f>
        <v>0</v>
      </c>
      <c r="V87" s="524">
        <f>(财务基础数据!AA126+财务基础数据!AA128)*目录!$D$6</f>
        <v>0</v>
      </c>
      <c r="W87" s="524">
        <f>(财务基础数据!AB126+财务基础数据!AB128)*目录!$D$6</f>
        <v>0</v>
      </c>
      <c r="X87" s="524">
        <f>(财务基础数据!AC126+财务基础数据!AC128)*目录!$D$6</f>
        <v>0</v>
      </c>
      <c r="Y87" s="524">
        <f>(财务基础数据!AD126+财务基础数据!AD128)*目录!$D$6</f>
        <v>0</v>
      </c>
      <c r="Z87" s="524">
        <f>(财务基础数据!AE126+财务基础数据!AE128)*目录!$D$6</f>
        <v>0</v>
      </c>
      <c r="AA87" s="524">
        <f>(财务基础数据!AF126+财务基础数据!AF128)*目录!$D$6</f>
        <v>0</v>
      </c>
      <c r="AB87" s="524">
        <f>(财务基础数据!AG126+财务基础数据!AG128)*目录!$D$6</f>
        <v>0</v>
      </c>
      <c r="AC87" s="524">
        <f>(财务基础数据!AH126+财务基础数据!AH128)*目录!$D$6</f>
        <v>0</v>
      </c>
      <c r="AD87" s="524">
        <f>(财务基础数据!AI126+财务基础数据!AI128)*目录!$D$6</f>
        <v>0</v>
      </c>
      <c r="AE87" s="524">
        <f>(财务基础数据!AJ126+财务基础数据!AJ128)*目录!$D$6</f>
        <v>0</v>
      </c>
      <c r="AF87" s="524">
        <f>(财务基础数据!AK126+财务基础数据!AK128)*目录!$D$6</f>
        <v>0</v>
      </c>
      <c r="AG87" s="524">
        <f>(财务基础数据!AL126+财务基础数据!AL128)*目录!$D$6</f>
        <v>0</v>
      </c>
      <c r="AH87" s="198">
        <f>(财务基础数据!AM126+财务基础数据!AM128)*目录!$D$6</f>
        <v>0</v>
      </c>
      <c r="AI87" s="198">
        <f>(财务基础数据!AN126+财务基础数据!AN128)*目录!$D$6</f>
        <v>0</v>
      </c>
      <c r="AJ87" s="198">
        <f>(财务基础数据!AO126+财务基础数据!AO128)*目录!$D$6</f>
        <v>0</v>
      </c>
      <c r="AK87" s="118">
        <f>IF(利润表!AK94&gt;=0,AG87+利润表!AK94*0.85-资产预测!L163+现金流量表!AK74-销售预测!L52-投资与减值!L173+投资与减值!L22-投资与减值!L183+资产预测!L159+资产预测!L232-资产预测!H232,AG87+利润表!AK94-资产预测!L163+现金流量表!AK74-销售预测!L52-投资与减值!L173+投资与减值!L22-投资与减值!L183+资产预测!L159+资产预测!L232-资产预测!H232)</f>
        <v>0</v>
      </c>
      <c r="AL87" s="118">
        <f>IF(利润表!AL94&gt;=0,AK87+利润表!AL94*0.85-资产预测!M163+现金流量表!AL74-销售预测!M52-投资与减值!M173+投资与减值!M22-投资与减值!M183+资产预测!M159+资产预测!M232-资产预测!L232,AK87+利润表!AL94-资产预测!M163+现金流量表!AL74-销售预测!M52-投资与减值!M173+投资与减值!M22-投资与减值!M183+资产预测!M159+资产预测!M232-资产预测!L232)</f>
        <v>0</v>
      </c>
      <c r="AM87" s="118">
        <f>IF(利润表!AM94&gt;=0,AL87+利润表!AM94*0.85-资产预测!N163+现金流量表!AM74-销售预测!N52-投资与减值!N173+投资与减值!N22-投资与减值!N183+资产预测!N159+资产预测!N232-资产预测!M232,AL87+利润表!AM94-资产预测!N163+现金流量表!AM74-销售预测!N52-投资与减值!N173+投资与减值!N22-投资与减值!N183+资产预测!N159+资产预测!N232-资产预测!M232)</f>
        <v>0</v>
      </c>
      <c r="AN87" s="118">
        <f>IF(利润表!AN94&gt;=0,AM87+利润表!AN94*0.85-资产预测!O163+现金流量表!AN74-销售预测!O52-投资与减值!O173+投资与减值!O22-投资与减值!O183+资产预测!O159+资产预测!O232-资产预测!N232,AM87+利润表!AN94-资产预测!O163+现金流量表!AN74-销售预测!O52-投资与减值!O173+投资与减值!O22-投资与减值!O183+资产预测!O159+资产预测!O232-资产预测!N232)</f>
        <v>0</v>
      </c>
      <c r="AO87" s="118">
        <f>IF(利润表!AO94&gt;=0,AN87+利润表!AO94*0.85-资产预测!P163+现金流量表!AO74-销售预测!P52-投资与减值!P173+投资与减值!P22-投资与减值!P183+资产预测!P159+资产预测!P232-资产预测!O232,AN87+利润表!AO94-资产预测!P163+现金流量表!AO74-销售预测!P52-投资与减值!P173+投资与减值!P22-投资与减值!P183+资产预测!P159+资产预测!P232-资产预测!O232)</f>
        <v>0</v>
      </c>
      <c r="AP87" s="118">
        <f>IF(利润表!AP94&gt;=0,AO87+利润表!AP94*0.85-资产预测!Q163+现金流量表!AP74-销售预测!Q52-投资与减值!Q173+投资与减值!Q22-投资与减值!Q183+资产预测!Q159+资产预测!Q232-资产预测!P232,AO87+利润表!AP94-资产预测!Q163+现金流量表!AP74-销售预测!Q52-投资与减值!Q173+投资与减值!Q22-投资与减值!Q183+资产预测!Q159+资产预测!Q232-资产预测!P232)</f>
        <v>0</v>
      </c>
      <c r="AQ87" s="118">
        <f>IF(利润表!AQ94&gt;=0,AP87+利润表!AQ94*0.85-资产预测!R163+现金流量表!AQ74-销售预测!R52-投资与减值!R173+投资与减值!R22-投资与减值!R183+资产预测!R159+资产预测!R232-资产预测!Q232,AP87+利润表!AQ94-资产预测!R163+现金流量表!AQ74-销售预测!R52-投资与减值!R173+投资与减值!R22-投资与减值!R183+资产预测!R159+资产预测!R232-资产预测!Q232)</f>
        <v>0</v>
      </c>
      <c r="AR87" s="118">
        <f>IF(利润表!AR94&gt;=0,AQ87+利润表!AR94*0.85-资产预测!S163+现金流量表!AR74-销售预测!S52-投资与减值!S173+投资与减值!S22-投资与减值!S183+资产预测!S159+资产预测!S232-资产预测!R232,AQ87+利润表!AR94-资产预测!S163+现金流量表!AR74-销售预测!S52-投资与减值!S173+投资与减值!S22-投资与减值!S183+资产预测!S159+资产预测!S232-资产预测!R232)</f>
        <v>0</v>
      </c>
      <c r="AS87" s="118">
        <f>IF(利润表!AS94&gt;=0,AR87+利润表!AS94*0.85-资产预测!T163+现金流量表!AS74-销售预测!T52-投资与减值!T173+投资与减值!T22-投资与减值!T183+资产预测!T159+资产预测!T232-资产预测!S232,AR87+利润表!AS94-资产预测!T163+现金流量表!AS74-销售预测!T52-投资与减值!T173+投资与减值!T22-投资与减值!T183+资产预测!T159+资产预测!T232-资产预测!S232)</f>
        <v>0</v>
      </c>
      <c r="AT87" s="118">
        <f>IF(利润表!AT94&gt;=0,AS87+利润表!AT94*0.85-资产预测!U163+现金流量表!AT74-销售预测!U52-投资与减值!U173+投资与减值!U22-投资与减值!U183+资产预测!U159+资产预测!U232-资产预测!T232,AS87+利润表!AT94-资产预测!U163+现金流量表!AT74-销售预测!U52-投资与减值!U173+投资与减值!U22-投资与减值!U183+资产预测!U159+资产预测!U232-资产预测!T232)</f>
        <v>0</v>
      </c>
      <c r="AU87" s="556"/>
    </row>
    <row r="88" spans="1:49" ht="15" customHeight="1">
      <c r="A88" s="161"/>
      <c r="B88" s="150" t="s">
        <v>429</v>
      </c>
      <c r="C88" s="162"/>
      <c r="E88" s="524">
        <f>财务基础数据!J127*目录!$D$6</f>
        <v>0</v>
      </c>
      <c r="F88" s="524">
        <f>财务基础数据!K127*目录!$D$6</f>
        <v>0</v>
      </c>
      <c r="G88" s="524">
        <f>财务基础数据!L127*目录!$D$6</f>
        <v>0</v>
      </c>
      <c r="H88" s="524">
        <f>财务基础数据!M127*目录!$D$6</f>
        <v>0</v>
      </c>
      <c r="I88" s="524">
        <f>财务基础数据!N127*目录!$D$6</f>
        <v>0</v>
      </c>
      <c r="J88" s="524">
        <f>财务基础数据!O127*目录!$D$6</f>
        <v>0</v>
      </c>
      <c r="K88" s="524">
        <f>财务基础数据!P127*目录!$D$6</f>
        <v>0</v>
      </c>
      <c r="L88" s="524">
        <f>财务基础数据!Q127*目录!$D$6</f>
        <v>0</v>
      </c>
      <c r="M88" s="524">
        <f>财务基础数据!R127*目录!$D$6</f>
        <v>0</v>
      </c>
      <c r="N88" s="524">
        <f>财务基础数据!S127*目录!$D$6</f>
        <v>0</v>
      </c>
      <c r="O88" s="524">
        <f>财务基础数据!T127*目录!$D$6</f>
        <v>0</v>
      </c>
      <c r="P88" s="524">
        <f>财务基础数据!U127*目录!$D$6</f>
        <v>0</v>
      </c>
      <c r="Q88" s="524">
        <f>财务基础数据!V127*目录!$D$6</f>
        <v>0</v>
      </c>
      <c r="R88" s="524">
        <f>财务基础数据!W127*目录!$D$6</f>
        <v>0</v>
      </c>
      <c r="S88" s="524">
        <f>财务基础数据!X127*目录!$D$6</f>
        <v>0</v>
      </c>
      <c r="T88" s="524">
        <f>财务基础数据!Y127*目录!$D$6</f>
        <v>0</v>
      </c>
      <c r="U88" s="524">
        <f>财务基础数据!Z127*目录!$D$6</f>
        <v>0</v>
      </c>
      <c r="V88" s="524">
        <f>财务基础数据!AA127*目录!$D$6</f>
        <v>0</v>
      </c>
      <c r="W88" s="524">
        <f>财务基础数据!AB127*目录!$D$6</f>
        <v>0</v>
      </c>
      <c r="X88" s="524">
        <f>财务基础数据!AC127*目录!$D$6</f>
        <v>0</v>
      </c>
      <c r="Y88" s="524">
        <f>财务基础数据!AD127*目录!$D$6</f>
        <v>0</v>
      </c>
      <c r="Z88" s="524">
        <f>财务基础数据!AE127*目录!$D$6</f>
        <v>0</v>
      </c>
      <c r="AA88" s="524">
        <f>财务基础数据!AF127*目录!$D$6</f>
        <v>0</v>
      </c>
      <c r="AB88" s="524">
        <f>财务基础数据!AG127*目录!$D$6</f>
        <v>0</v>
      </c>
      <c r="AC88" s="524">
        <f>财务基础数据!AH127*目录!$D$6</f>
        <v>0</v>
      </c>
      <c r="AD88" s="524">
        <f>财务基础数据!AI127*目录!$D$6</f>
        <v>0</v>
      </c>
      <c r="AE88" s="524">
        <f>财务基础数据!AJ127*目录!$D$6</f>
        <v>0</v>
      </c>
      <c r="AF88" s="524">
        <f>财务基础数据!AK127*目录!$D$6</f>
        <v>0</v>
      </c>
      <c r="AG88" s="524">
        <f>财务基础数据!AL127*目录!$D$6</f>
        <v>0</v>
      </c>
      <c r="AH88" s="198">
        <f>财务基础数据!AM127*目录!$D$6</f>
        <v>0</v>
      </c>
      <c r="AI88" s="198">
        <f>财务基础数据!AN127*目录!$D$6</f>
        <v>0</v>
      </c>
      <c r="AJ88" s="198">
        <f>财务基础数据!AO127*目录!$D$6</f>
        <v>0</v>
      </c>
      <c r="AK88" s="548">
        <f>IF(财务基础数据!$AM$4=0,AG88,IF(财务基础数据!$AM$4=1,AH88,IF(财务基础数据!$AM$4=2,AI88,AJ88)))</f>
        <v>0</v>
      </c>
      <c r="AL88" s="548">
        <f>AK88</f>
        <v>0</v>
      </c>
      <c r="AM88" s="548">
        <f>AL88</f>
        <v>0</v>
      </c>
      <c r="AN88" s="548">
        <f t="shared" ref="AN88:AT88" si="24">AM88</f>
        <v>0</v>
      </c>
      <c r="AO88" s="548">
        <f t="shared" si="24"/>
        <v>0</v>
      </c>
      <c r="AP88" s="548">
        <f t="shared" si="24"/>
        <v>0</v>
      </c>
      <c r="AQ88" s="548">
        <f t="shared" si="24"/>
        <v>0</v>
      </c>
      <c r="AR88" s="548">
        <f t="shared" si="24"/>
        <v>0</v>
      </c>
      <c r="AS88" s="548">
        <f t="shared" si="24"/>
        <v>0</v>
      </c>
      <c r="AT88" s="548">
        <f t="shared" si="24"/>
        <v>0</v>
      </c>
      <c r="AU88" s="556"/>
    </row>
    <row r="89" spans="1:49" s="161" customFormat="1" ht="15" customHeight="1">
      <c r="B89" s="162" t="s">
        <v>430</v>
      </c>
      <c r="C89" s="162"/>
      <c r="D89" s="527"/>
      <c r="E89" s="536">
        <f>财务基础数据!J129*目录!$D$6</f>
        <v>0</v>
      </c>
      <c r="F89" s="536">
        <f>财务基础数据!K129*目录!$D$6</f>
        <v>0</v>
      </c>
      <c r="G89" s="536">
        <f>财务基础数据!L129*目录!$D$6</f>
        <v>0</v>
      </c>
      <c r="H89" s="536">
        <f>财务基础数据!M129*目录!$D$6</f>
        <v>0</v>
      </c>
      <c r="I89" s="536">
        <f>财务基础数据!N129*目录!$D$6</f>
        <v>0</v>
      </c>
      <c r="J89" s="536">
        <f>财务基础数据!O129*目录!$D$6</f>
        <v>0</v>
      </c>
      <c r="K89" s="536">
        <f>财务基础数据!P129*目录!$D$6</f>
        <v>0</v>
      </c>
      <c r="L89" s="536">
        <f>财务基础数据!Q129*目录!$D$6</f>
        <v>0</v>
      </c>
      <c r="M89" s="536">
        <f>财务基础数据!R129*目录!$D$6</f>
        <v>0</v>
      </c>
      <c r="N89" s="536">
        <f>财务基础数据!S129*目录!$D$6</f>
        <v>0</v>
      </c>
      <c r="O89" s="536">
        <f>财务基础数据!T129*目录!$D$6</f>
        <v>0</v>
      </c>
      <c r="P89" s="536">
        <f>财务基础数据!U129*目录!$D$6</f>
        <v>0</v>
      </c>
      <c r="Q89" s="536">
        <f>财务基础数据!V129*目录!$D$6</f>
        <v>0</v>
      </c>
      <c r="R89" s="536">
        <f>财务基础数据!W129*目录!$D$6</f>
        <v>0</v>
      </c>
      <c r="S89" s="536">
        <f>财务基础数据!X129*目录!$D$6</f>
        <v>0</v>
      </c>
      <c r="T89" s="536">
        <f>财务基础数据!Y129*目录!$D$6</f>
        <v>0</v>
      </c>
      <c r="U89" s="536">
        <f>财务基础数据!Z129*目录!$D$6</f>
        <v>0</v>
      </c>
      <c r="V89" s="536">
        <f>财务基础数据!AA129*目录!$D$6</f>
        <v>0</v>
      </c>
      <c r="W89" s="536">
        <f>财务基础数据!AB129*目录!$D$6</f>
        <v>0</v>
      </c>
      <c r="X89" s="536">
        <f>财务基础数据!AC129*目录!$D$6</f>
        <v>0</v>
      </c>
      <c r="Y89" s="536">
        <f>财务基础数据!AD129*目录!$D$6</f>
        <v>0</v>
      </c>
      <c r="Z89" s="536">
        <f>财务基础数据!AE129*目录!$D$6</f>
        <v>0</v>
      </c>
      <c r="AA89" s="536">
        <f>财务基础数据!AF129*目录!$D$6</f>
        <v>0</v>
      </c>
      <c r="AB89" s="536">
        <f>财务基础数据!AG129*目录!$D$6</f>
        <v>0</v>
      </c>
      <c r="AC89" s="536">
        <f>财务基础数据!AH129*目录!$D$6</f>
        <v>0</v>
      </c>
      <c r="AD89" s="536">
        <f>财务基础数据!AI129*目录!$D$6</f>
        <v>0</v>
      </c>
      <c r="AE89" s="536">
        <f>财务基础数据!AJ129*目录!$D$6</f>
        <v>0</v>
      </c>
      <c r="AF89" s="536">
        <f>财务基础数据!AK129*目录!$D$6</f>
        <v>0</v>
      </c>
      <c r="AG89" s="536">
        <f>财务基础数据!AL129*目录!$D$6</f>
        <v>0</v>
      </c>
      <c r="AH89" s="536">
        <f>财务基础数据!AM129*目录!$D$6</f>
        <v>0</v>
      </c>
      <c r="AI89" s="536">
        <f>财务基础数据!AN129*目录!$D$6</f>
        <v>0</v>
      </c>
      <c r="AJ89" s="536">
        <f>财务基础数据!AO129*目录!$D$6</f>
        <v>0</v>
      </c>
      <c r="AK89" s="552">
        <f>SUM(AK78:AK79)+AK82-AK83+AK84+AK85+AK86+AK87+AK88</f>
        <v>0</v>
      </c>
      <c r="AL89" s="552">
        <f t="shared" ref="AL89:AT89" si="25">SUM(AL78:AL79)+AL82-AL83+AL84+AL85+AL86+AL87+AL88</f>
        <v>0</v>
      </c>
      <c r="AM89" s="552">
        <f t="shared" si="25"/>
        <v>0</v>
      </c>
      <c r="AN89" s="552">
        <f t="shared" si="25"/>
        <v>0</v>
      </c>
      <c r="AO89" s="552">
        <f t="shared" si="25"/>
        <v>0</v>
      </c>
      <c r="AP89" s="552">
        <f t="shared" si="25"/>
        <v>0</v>
      </c>
      <c r="AQ89" s="552">
        <f t="shared" si="25"/>
        <v>0</v>
      </c>
      <c r="AR89" s="552">
        <f t="shared" si="25"/>
        <v>0</v>
      </c>
      <c r="AS89" s="552">
        <f t="shared" si="25"/>
        <v>0</v>
      </c>
      <c r="AT89" s="552">
        <f t="shared" si="25"/>
        <v>0</v>
      </c>
      <c r="AU89" s="1074"/>
    </row>
    <row r="90" spans="1:49" ht="15" customHeight="1">
      <c r="A90" s="161"/>
      <c r="C90" s="162"/>
      <c r="D90" s="527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18"/>
      <c r="AI90" s="118"/>
      <c r="AJ90" s="118"/>
      <c r="AK90" s="152"/>
      <c r="AL90" s="188"/>
      <c r="AM90" s="188"/>
      <c r="AN90" s="188"/>
      <c r="AO90" s="188"/>
      <c r="AP90" s="188"/>
      <c r="AQ90" s="188"/>
      <c r="AR90" s="188"/>
      <c r="AS90" s="188"/>
      <c r="AT90" s="188"/>
      <c r="AU90" s="556"/>
    </row>
    <row r="91" spans="1:49" ht="15" customHeight="1">
      <c r="B91" s="97" t="s">
        <v>350</v>
      </c>
      <c r="D91" s="527"/>
      <c r="E91" s="524">
        <f>财务基础数据!J130*目录!$D$6</f>
        <v>0</v>
      </c>
      <c r="F91" s="524">
        <f>财务基础数据!K130*目录!$D$6</f>
        <v>0</v>
      </c>
      <c r="G91" s="524">
        <f>财务基础数据!L130*目录!$D$6</f>
        <v>0</v>
      </c>
      <c r="H91" s="524">
        <f>财务基础数据!M130*目录!$D$6</f>
        <v>0</v>
      </c>
      <c r="I91" s="524">
        <f>财务基础数据!N130*目录!$D$6</f>
        <v>0</v>
      </c>
      <c r="J91" s="524">
        <f>财务基础数据!O130*目录!$D$6</f>
        <v>0</v>
      </c>
      <c r="K91" s="524">
        <f>财务基础数据!P130*目录!$D$6</f>
        <v>0</v>
      </c>
      <c r="L91" s="524">
        <f>财务基础数据!Q130*目录!$D$6</f>
        <v>0</v>
      </c>
      <c r="M91" s="524">
        <f>财务基础数据!R130*目录!$D$6</f>
        <v>0</v>
      </c>
      <c r="N91" s="524">
        <f>财务基础数据!S130*目录!$D$6</f>
        <v>0</v>
      </c>
      <c r="O91" s="524">
        <f>财务基础数据!T130*目录!$D$6</f>
        <v>0</v>
      </c>
      <c r="P91" s="524">
        <f>财务基础数据!U130*目录!$D$6</f>
        <v>0</v>
      </c>
      <c r="Q91" s="524">
        <f>财务基础数据!V130*目录!$D$6</f>
        <v>0</v>
      </c>
      <c r="R91" s="524">
        <f>财务基础数据!W130*目录!$D$6</f>
        <v>0</v>
      </c>
      <c r="S91" s="524">
        <f>财务基础数据!X130*目录!$D$6</f>
        <v>0</v>
      </c>
      <c r="T91" s="524">
        <f>财务基础数据!Y130*目录!$D$6</f>
        <v>0</v>
      </c>
      <c r="U91" s="524">
        <f>财务基础数据!Z130*目录!$D$6</f>
        <v>0</v>
      </c>
      <c r="V91" s="524">
        <f>财务基础数据!AA130*目录!$D$6</f>
        <v>0</v>
      </c>
      <c r="W91" s="524">
        <f>财务基础数据!AB130*目录!$D$6</f>
        <v>0</v>
      </c>
      <c r="X91" s="524">
        <f>财务基础数据!AC130*目录!$D$6</f>
        <v>0</v>
      </c>
      <c r="Y91" s="524">
        <f>财务基础数据!AD130*目录!$D$6</f>
        <v>0</v>
      </c>
      <c r="Z91" s="524">
        <f>财务基础数据!AE130*目录!$D$6</f>
        <v>0</v>
      </c>
      <c r="AA91" s="524">
        <f>财务基础数据!AF130*目录!$D$6</f>
        <v>0</v>
      </c>
      <c r="AB91" s="524">
        <f>财务基础数据!AG130*目录!$D$6</f>
        <v>0</v>
      </c>
      <c r="AC91" s="524">
        <f>财务基础数据!AH130*目录!$D$6</f>
        <v>0</v>
      </c>
      <c r="AD91" s="524">
        <f>财务基础数据!AI130*目录!$D$6</f>
        <v>0</v>
      </c>
      <c r="AE91" s="524">
        <f>财务基础数据!AJ130*目录!$D$6</f>
        <v>0</v>
      </c>
      <c r="AF91" s="524">
        <f>财务基础数据!AK130*目录!$D$6</f>
        <v>0</v>
      </c>
      <c r="AG91" s="524">
        <f>财务基础数据!AL130*目录!$D$6</f>
        <v>0</v>
      </c>
      <c r="AH91" s="198">
        <f>财务基础数据!AM130*目录!$D$6</f>
        <v>0</v>
      </c>
      <c r="AI91" s="198">
        <f>财务基础数据!AN130*目录!$D$6</f>
        <v>0</v>
      </c>
      <c r="AJ91" s="198">
        <f>财务基础数据!AO130*目录!$D$6</f>
        <v>0</v>
      </c>
      <c r="AK91" s="118">
        <f>IF(ISERROR(AG91+利润表!AK91+销售预测!L52+利润表!AK93),0,AG91+利润表!AK91+销售预测!L52+利润表!AK93)</f>
        <v>0</v>
      </c>
      <c r="AL91" s="118">
        <f>IF(ISERROR(AK91+利润表!AL91+销售预测!M52+利润表!AL93),0,AK91+利润表!AL91+销售预测!M52+利润表!AL93)</f>
        <v>0</v>
      </c>
      <c r="AM91" s="118">
        <f>IF(ISERROR(AL91+利润表!AM91+销售预测!N52+利润表!AM93),0,AL91+利润表!AM91+销售预测!N52+利润表!AM93)</f>
        <v>0</v>
      </c>
      <c r="AN91" s="118">
        <f>IF(ISERROR(AM91+利润表!AN91+销售预测!O52+利润表!AN93),0,AM91+利润表!AN91+销售预测!O52+利润表!AN93)</f>
        <v>0</v>
      </c>
      <c r="AO91" s="118">
        <f>IF(ISERROR(AN91+利润表!AO91+销售预测!P52+利润表!AO93),0,AN91+利润表!AO91+销售预测!P52+利润表!AO93)</f>
        <v>0</v>
      </c>
      <c r="AP91" s="118">
        <f>IF(ISERROR(AO91+利润表!AP91+销售预测!Q52+利润表!AP93),0,AO91+利润表!AP91+销售预测!Q52+利润表!AP93)</f>
        <v>0</v>
      </c>
      <c r="AQ91" s="118">
        <f>IF(ISERROR(AP91+利润表!AQ91+销售预测!R52+利润表!AQ93),0,AP91+利润表!AQ91+销售预测!R52+利润表!AQ93)</f>
        <v>0</v>
      </c>
      <c r="AR91" s="118">
        <f>IF(ISERROR(AQ91+利润表!AR91+销售预测!S52+利润表!AR93),0,AQ91+利润表!AR91+销售预测!S52+利润表!AR93)</f>
        <v>0</v>
      </c>
      <c r="AS91" s="118">
        <f>IF(ISERROR(AR91+利润表!AS91+销售预测!T52+利润表!AS93),0,AR91+利润表!AS91+销售预测!T52+利润表!AS93)</f>
        <v>0</v>
      </c>
      <c r="AT91" s="118">
        <f>IF(ISERROR(AS91+利润表!AT91+销售预测!U52+利润表!AT93),0,AS91+利润表!AT91+销售预测!U52+利润表!AT93)</f>
        <v>0</v>
      </c>
      <c r="AU91" s="556"/>
    </row>
    <row r="92" spans="1:49" ht="15" customHeight="1">
      <c r="A92" s="513"/>
      <c r="B92" s="386"/>
      <c r="C92" s="562"/>
      <c r="D92" s="526"/>
      <c r="E92" s="531"/>
      <c r="F92" s="531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R92" s="531"/>
      <c r="S92" s="531"/>
      <c r="T92" s="531"/>
      <c r="U92" s="531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90"/>
      <c r="AI92" s="590"/>
      <c r="AJ92" s="590"/>
      <c r="AK92" s="440"/>
      <c r="AL92" s="440"/>
      <c r="AM92" s="440"/>
      <c r="AN92" s="440"/>
      <c r="AO92" s="440"/>
      <c r="AP92" s="440"/>
      <c r="AQ92" s="440"/>
      <c r="AR92" s="440"/>
      <c r="AS92" s="440"/>
      <c r="AT92" s="440"/>
      <c r="AU92" s="556"/>
    </row>
    <row r="93" spans="1:49" ht="15" customHeight="1">
      <c r="B93" s="162" t="s">
        <v>431</v>
      </c>
      <c r="E93" s="306">
        <f>财务基础数据!J131*目录!$D$6</f>
        <v>0</v>
      </c>
      <c r="F93" s="306">
        <f>财务基础数据!K131*目录!$D$6</f>
        <v>0</v>
      </c>
      <c r="G93" s="306">
        <f>财务基础数据!L131*目录!$D$6</f>
        <v>0</v>
      </c>
      <c r="H93" s="306">
        <f>财务基础数据!M131*目录!$D$6</f>
        <v>0</v>
      </c>
      <c r="I93" s="306">
        <f>财务基础数据!N131*目录!$D$6</f>
        <v>0</v>
      </c>
      <c r="J93" s="306">
        <f>财务基础数据!O131*目录!$D$6</f>
        <v>0</v>
      </c>
      <c r="K93" s="306">
        <f>财务基础数据!P131*目录!$D$6</f>
        <v>0</v>
      </c>
      <c r="L93" s="306">
        <f>财务基础数据!Q131*目录!$D$6</f>
        <v>0</v>
      </c>
      <c r="M93" s="306">
        <f>财务基础数据!R131*目录!$D$6</f>
        <v>0</v>
      </c>
      <c r="N93" s="306">
        <f>财务基础数据!S131*目录!$D$6</f>
        <v>0</v>
      </c>
      <c r="O93" s="306">
        <f>财务基础数据!T131*目录!$D$6</f>
        <v>0</v>
      </c>
      <c r="P93" s="306">
        <f>财务基础数据!U131*目录!$D$6</f>
        <v>0</v>
      </c>
      <c r="Q93" s="306">
        <f>财务基础数据!V131*目录!$D$6</f>
        <v>0</v>
      </c>
      <c r="R93" s="306">
        <f>财务基础数据!W131*目录!$D$6</f>
        <v>0</v>
      </c>
      <c r="S93" s="306">
        <f>财务基础数据!X131*目录!$D$6</f>
        <v>0</v>
      </c>
      <c r="T93" s="306">
        <f>财务基础数据!Y131*目录!$D$6</f>
        <v>0</v>
      </c>
      <c r="U93" s="306">
        <f>财务基础数据!Z131*目录!$D$6</f>
        <v>0</v>
      </c>
      <c r="V93" s="306">
        <f>财务基础数据!AA131*目录!$D$6</f>
        <v>0</v>
      </c>
      <c r="W93" s="306">
        <f>财务基础数据!AB131*目录!$D$6</f>
        <v>0</v>
      </c>
      <c r="X93" s="306">
        <f>财务基础数据!AC131*目录!$D$6</f>
        <v>0</v>
      </c>
      <c r="Y93" s="306">
        <f>财务基础数据!AD131*目录!$D$6</f>
        <v>0</v>
      </c>
      <c r="Z93" s="306">
        <f>财务基础数据!AE131*目录!$D$6</f>
        <v>0</v>
      </c>
      <c r="AA93" s="306">
        <f>财务基础数据!AF131*目录!$D$6</f>
        <v>0</v>
      </c>
      <c r="AB93" s="306">
        <f>财务基础数据!AG131*目录!$D$6</f>
        <v>0</v>
      </c>
      <c r="AC93" s="306">
        <f>财务基础数据!AH131*目录!$D$6</f>
        <v>0</v>
      </c>
      <c r="AD93" s="306">
        <f>财务基础数据!AI131*目录!$D$6</f>
        <v>0</v>
      </c>
      <c r="AE93" s="306">
        <f>财务基础数据!AJ131*目录!$D$6</f>
        <v>0</v>
      </c>
      <c r="AF93" s="306">
        <f>财务基础数据!AK131*目录!$D$6</f>
        <v>0</v>
      </c>
      <c r="AG93" s="306">
        <f>财务基础数据!AL131*目录!$D$6</f>
        <v>0</v>
      </c>
      <c r="AH93" s="306">
        <f>财务基础数据!AM131*目录!$D$6</f>
        <v>0</v>
      </c>
      <c r="AI93" s="306">
        <f>财务基础数据!AN131*目录!$D$6</f>
        <v>0</v>
      </c>
      <c r="AJ93" s="306">
        <f>财务基础数据!AO131*目录!$D$6</f>
        <v>0</v>
      </c>
      <c r="AK93" s="306">
        <f>AK89+AK91</f>
        <v>0</v>
      </c>
      <c r="AL93" s="306">
        <f t="shared" ref="AL93:AT93" si="26">AL89+AL91</f>
        <v>0</v>
      </c>
      <c r="AM93" s="306">
        <f t="shared" si="26"/>
        <v>0</v>
      </c>
      <c r="AN93" s="306">
        <f t="shared" si="26"/>
        <v>0</v>
      </c>
      <c r="AO93" s="306">
        <f t="shared" si="26"/>
        <v>0</v>
      </c>
      <c r="AP93" s="306">
        <f t="shared" si="26"/>
        <v>0</v>
      </c>
      <c r="AQ93" s="306">
        <f t="shared" si="26"/>
        <v>0</v>
      </c>
      <c r="AR93" s="306">
        <f t="shared" si="26"/>
        <v>0</v>
      </c>
      <c r="AS93" s="306">
        <f t="shared" si="26"/>
        <v>0</v>
      </c>
      <c r="AT93" s="306">
        <f t="shared" si="26"/>
        <v>0</v>
      </c>
      <c r="AU93" s="556"/>
    </row>
    <row r="94" spans="1:49" ht="15" customHeight="1">
      <c r="D94" s="527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18"/>
      <c r="AI94" s="118"/>
      <c r="AJ94" s="11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556"/>
    </row>
    <row r="95" spans="1:49" ht="15" customHeight="1">
      <c r="A95" s="396"/>
      <c r="B95" s="534" t="s">
        <v>408</v>
      </c>
      <c r="C95" s="563"/>
      <c r="D95" s="564"/>
      <c r="E95" s="565">
        <f t="shared" ref="E95:AT95" si="27">E76+E93</f>
        <v>0</v>
      </c>
      <c r="F95" s="565">
        <f t="shared" si="27"/>
        <v>0</v>
      </c>
      <c r="G95" s="565">
        <f t="shared" si="27"/>
        <v>0</v>
      </c>
      <c r="H95" s="565">
        <f t="shared" si="27"/>
        <v>0</v>
      </c>
      <c r="I95" s="565">
        <f t="shared" si="27"/>
        <v>0</v>
      </c>
      <c r="J95" s="565">
        <f t="shared" si="27"/>
        <v>0</v>
      </c>
      <c r="K95" s="565">
        <f t="shared" si="27"/>
        <v>0</v>
      </c>
      <c r="L95" s="565">
        <f t="shared" si="27"/>
        <v>0</v>
      </c>
      <c r="M95" s="565">
        <f t="shared" si="27"/>
        <v>0</v>
      </c>
      <c r="N95" s="565">
        <f t="shared" si="27"/>
        <v>0</v>
      </c>
      <c r="O95" s="565">
        <f t="shared" si="27"/>
        <v>0</v>
      </c>
      <c r="P95" s="565">
        <f t="shared" si="27"/>
        <v>0</v>
      </c>
      <c r="Q95" s="565">
        <f t="shared" si="27"/>
        <v>0</v>
      </c>
      <c r="R95" s="565">
        <f t="shared" si="27"/>
        <v>0</v>
      </c>
      <c r="S95" s="565">
        <f t="shared" si="27"/>
        <v>0</v>
      </c>
      <c r="T95" s="565">
        <f t="shared" si="27"/>
        <v>0</v>
      </c>
      <c r="U95" s="565">
        <f t="shared" si="27"/>
        <v>0</v>
      </c>
      <c r="V95" s="565">
        <f t="shared" si="27"/>
        <v>0</v>
      </c>
      <c r="W95" s="565">
        <f t="shared" si="27"/>
        <v>0</v>
      </c>
      <c r="X95" s="565">
        <f t="shared" si="27"/>
        <v>0</v>
      </c>
      <c r="Y95" s="565">
        <f t="shared" si="27"/>
        <v>0</v>
      </c>
      <c r="Z95" s="565">
        <f t="shared" si="27"/>
        <v>0</v>
      </c>
      <c r="AA95" s="565">
        <f t="shared" si="27"/>
        <v>0</v>
      </c>
      <c r="AB95" s="565">
        <f t="shared" si="27"/>
        <v>0</v>
      </c>
      <c r="AC95" s="565">
        <f t="shared" si="27"/>
        <v>0</v>
      </c>
      <c r="AD95" s="565">
        <f t="shared" si="27"/>
        <v>0</v>
      </c>
      <c r="AE95" s="565">
        <f t="shared" si="27"/>
        <v>0</v>
      </c>
      <c r="AF95" s="565">
        <f t="shared" si="27"/>
        <v>0</v>
      </c>
      <c r="AG95" s="565">
        <f t="shared" si="27"/>
        <v>0</v>
      </c>
      <c r="AH95" s="591">
        <f t="shared" si="27"/>
        <v>0</v>
      </c>
      <c r="AI95" s="591">
        <f t="shared" si="27"/>
        <v>0</v>
      </c>
      <c r="AJ95" s="591">
        <f t="shared" si="27"/>
        <v>0</v>
      </c>
      <c r="AK95" s="565">
        <f t="shared" si="27"/>
        <v>0</v>
      </c>
      <c r="AL95" s="565">
        <f t="shared" si="27"/>
        <v>0</v>
      </c>
      <c r="AM95" s="565">
        <f t="shared" si="27"/>
        <v>0</v>
      </c>
      <c r="AN95" s="565">
        <f t="shared" si="27"/>
        <v>0</v>
      </c>
      <c r="AO95" s="565">
        <f t="shared" si="27"/>
        <v>0</v>
      </c>
      <c r="AP95" s="565">
        <f t="shared" si="27"/>
        <v>0</v>
      </c>
      <c r="AQ95" s="565">
        <f t="shared" si="27"/>
        <v>0</v>
      </c>
      <c r="AR95" s="565">
        <f t="shared" si="27"/>
        <v>0</v>
      </c>
      <c r="AS95" s="565">
        <f t="shared" si="27"/>
        <v>0</v>
      </c>
      <c r="AT95" s="565">
        <f t="shared" si="27"/>
        <v>0</v>
      </c>
      <c r="AU95" s="556"/>
    </row>
    <row r="96" spans="1:49" ht="15" customHeight="1"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18"/>
      <c r="AI96" s="118"/>
      <c r="AJ96" s="11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388"/>
    </row>
    <row r="97" spans="1:47" ht="15" customHeight="1">
      <c r="B97" s="566" t="s">
        <v>432</v>
      </c>
      <c r="D97" s="567"/>
      <c r="E97" s="568">
        <f t="shared" ref="E97:AT97" si="28">IF(ISERROR(E45-E95),"—",E45-E95)</f>
        <v>0</v>
      </c>
      <c r="F97" s="568">
        <f t="shared" si="28"/>
        <v>0</v>
      </c>
      <c r="G97" s="568">
        <f t="shared" si="28"/>
        <v>0</v>
      </c>
      <c r="H97" s="568">
        <f t="shared" si="28"/>
        <v>0</v>
      </c>
      <c r="I97" s="568">
        <f t="shared" si="28"/>
        <v>0</v>
      </c>
      <c r="J97" s="568">
        <f t="shared" si="28"/>
        <v>0</v>
      </c>
      <c r="K97" s="568">
        <f t="shared" si="28"/>
        <v>0</v>
      </c>
      <c r="L97" s="568">
        <f t="shared" si="28"/>
        <v>0</v>
      </c>
      <c r="M97" s="568">
        <f t="shared" si="28"/>
        <v>0</v>
      </c>
      <c r="N97" s="568">
        <f t="shared" si="28"/>
        <v>0</v>
      </c>
      <c r="O97" s="568">
        <f t="shared" si="28"/>
        <v>0</v>
      </c>
      <c r="P97" s="568">
        <f t="shared" si="28"/>
        <v>0</v>
      </c>
      <c r="Q97" s="568">
        <f t="shared" si="28"/>
        <v>0</v>
      </c>
      <c r="R97" s="568">
        <f t="shared" si="28"/>
        <v>0</v>
      </c>
      <c r="S97" s="568">
        <f t="shared" si="28"/>
        <v>0</v>
      </c>
      <c r="T97" s="568">
        <f t="shared" si="28"/>
        <v>0</v>
      </c>
      <c r="U97" s="568">
        <f t="shared" si="28"/>
        <v>0</v>
      </c>
      <c r="V97" s="568">
        <f t="shared" si="28"/>
        <v>0</v>
      </c>
      <c r="W97" s="568">
        <f t="shared" si="28"/>
        <v>0</v>
      </c>
      <c r="X97" s="568">
        <f t="shared" si="28"/>
        <v>0</v>
      </c>
      <c r="Y97" s="568">
        <f t="shared" si="28"/>
        <v>0</v>
      </c>
      <c r="Z97" s="568">
        <f t="shared" si="28"/>
        <v>0</v>
      </c>
      <c r="AA97" s="568">
        <f t="shared" si="28"/>
        <v>0</v>
      </c>
      <c r="AB97" s="568">
        <f t="shared" si="28"/>
        <v>0</v>
      </c>
      <c r="AC97" s="568">
        <f t="shared" si="28"/>
        <v>0</v>
      </c>
      <c r="AD97" s="568">
        <f t="shared" si="28"/>
        <v>0</v>
      </c>
      <c r="AE97" s="568">
        <f t="shared" si="28"/>
        <v>0</v>
      </c>
      <c r="AF97" s="568">
        <f t="shared" si="28"/>
        <v>0</v>
      </c>
      <c r="AG97" s="568">
        <f t="shared" si="28"/>
        <v>0</v>
      </c>
      <c r="AH97" s="568">
        <f t="shared" si="28"/>
        <v>0</v>
      </c>
      <c r="AI97" s="568">
        <f t="shared" si="28"/>
        <v>0</v>
      </c>
      <c r="AJ97" s="568">
        <f t="shared" si="28"/>
        <v>0</v>
      </c>
      <c r="AK97" s="568">
        <f t="shared" si="28"/>
        <v>0</v>
      </c>
      <c r="AL97" s="568">
        <f t="shared" si="28"/>
        <v>0</v>
      </c>
      <c r="AM97" s="568">
        <f t="shared" si="28"/>
        <v>0</v>
      </c>
      <c r="AN97" s="568">
        <f t="shared" si="28"/>
        <v>0</v>
      </c>
      <c r="AO97" s="568">
        <f t="shared" si="28"/>
        <v>0</v>
      </c>
      <c r="AP97" s="568">
        <f t="shared" si="28"/>
        <v>0</v>
      </c>
      <c r="AQ97" s="568">
        <f t="shared" si="28"/>
        <v>0</v>
      </c>
      <c r="AR97" s="568">
        <f t="shared" si="28"/>
        <v>0</v>
      </c>
      <c r="AS97" s="568">
        <f t="shared" si="28"/>
        <v>0</v>
      </c>
      <c r="AT97" s="568">
        <f t="shared" si="28"/>
        <v>0</v>
      </c>
      <c r="AU97" s="388"/>
    </row>
    <row r="98" spans="1:47" s="30" customFormat="1" ht="15" customHeight="1">
      <c r="B98" s="569"/>
      <c r="C98" s="392"/>
      <c r="D98" s="570"/>
      <c r="E98" s="571"/>
      <c r="F98" s="571"/>
      <c r="G98" s="571"/>
      <c r="H98" s="571"/>
      <c r="I98" s="571"/>
      <c r="J98" s="571"/>
      <c r="K98" s="571"/>
      <c r="L98" s="571"/>
      <c r="M98" s="571"/>
      <c r="N98" s="571"/>
      <c r="O98" s="571"/>
      <c r="P98" s="571"/>
      <c r="Q98" s="571"/>
      <c r="R98" s="571"/>
      <c r="S98" s="571"/>
      <c r="T98" s="571"/>
      <c r="U98" s="571"/>
      <c r="V98" s="571"/>
      <c r="W98" s="571"/>
      <c r="X98" s="571"/>
      <c r="Y98" s="571"/>
      <c r="Z98" s="571"/>
      <c r="AA98" s="571"/>
      <c r="AB98" s="571"/>
      <c r="AC98" s="571"/>
      <c r="AD98" s="571"/>
      <c r="AE98" s="571"/>
      <c r="AF98" s="571"/>
      <c r="AG98" s="571"/>
      <c r="AH98" s="571"/>
      <c r="AI98" s="571"/>
      <c r="AJ98" s="571"/>
      <c r="AK98" s="571"/>
      <c r="AL98" s="571"/>
      <c r="AM98" s="571"/>
      <c r="AN98" s="571"/>
      <c r="AO98" s="571"/>
      <c r="AP98" s="571"/>
      <c r="AQ98" s="571"/>
      <c r="AR98" s="571"/>
      <c r="AS98" s="571"/>
      <c r="AT98" s="571"/>
      <c r="AU98" s="388"/>
    </row>
    <row r="99" spans="1:47" ht="15" customHeight="1">
      <c r="B99" s="572" t="s">
        <v>433</v>
      </c>
      <c r="D99" s="572"/>
      <c r="E99" s="573">
        <f>E21-E8</f>
        <v>0</v>
      </c>
      <c r="F99" s="573">
        <f>F21-F8</f>
        <v>0</v>
      </c>
      <c r="G99" s="573">
        <f t="shared" ref="G99:R99" si="29">G21-G8</f>
        <v>0</v>
      </c>
      <c r="H99" s="573">
        <f t="shared" si="29"/>
        <v>0</v>
      </c>
      <c r="I99" s="573">
        <f t="shared" si="29"/>
        <v>0</v>
      </c>
      <c r="J99" s="573">
        <f t="shared" si="29"/>
        <v>0</v>
      </c>
      <c r="K99" s="573">
        <f t="shared" si="29"/>
        <v>0</v>
      </c>
      <c r="L99" s="573">
        <f t="shared" si="29"/>
        <v>0</v>
      </c>
      <c r="M99" s="573">
        <f t="shared" si="29"/>
        <v>0</v>
      </c>
      <c r="N99" s="573">
        <f t="shared" si="29"/>
        <v>0</v>
      </c>
      <c r="O99" s="573">
        <f t="shared" si="29"/>
        <v>0</v>
      </c>
      <c r="P99" s="573">
        <f t="shared" si="29"/>
        <v>0</v>
      </c>
      <c r="Q99" s="573">
        <f t="shared" si="29"/>
        <v>0</v>
      </c>
      <c r="R99" s="188">
        <f t="shared" si="29"/>
        <v>0</v>
      </c>
      <c r="S99" s="188">
        <f t="shared" ref="S99:AJ99" si="30">S21-S8</f>
        <v>0</v>
      </c>
      <c r="T99" s="188">
        <f t="shared" si="30"/>
        <v>0</v>
      </c>
      <c r="U99" s="188">
        <f t="shared" si="30"/>
        <v>0</v>
      </c>
      <c r="V99" s="188">
        <f t="shared" si="30"/>
        <v>0</v>
      </c>
      <c r="W99" s="188">
        <f t="shared" si="30"/>
        <v>0</v>
      </c>
      <c r="X99" s="188">
        <f t="shared" si="30"/>
        <v>0</v>
      </c>
      <c r="Y99" s="188">
        <f t="shared" si="30"/>
        <v>0</v>
      </c>
      <c r="Z99" s="188">
        <f t="shared" si="30"/>
        <v>0</v>
      </c>
      <c r="AA99" s="188">
        <f t="shared" si="30"/>
        <v>0</v>
      </c>
      <c r="AB99" s="188">
        <f t="shared" si="30"/>
        <v>0</v>
      </c>
      <c r="AC99" s="188">
        <f t="shared" si="30"/>
        <v>0</v>
      </c>
      <c r="AD99" s="188">
        <f t="shared" si="30"/>
        <v>0</v>
      </c>
      <c r="AE99" s="188">
        <f t="shared" si="30"/>
        <v>0</v>
      </c>
      <c r="AF99" s="188">
        <f t="shared" si="30"/>
        <v>0</v>
      </c>
      <c r="AG99" s="188">
        <f t="shared" si="30"/>
        <v>0</v>
      </c>
      <c r="AH99" s="188">
        <f t="shared" si="30"/>
        <v>0</v>
      </c>
      <c r="AI99" s="188">
        <f t="shared" si="30"/>
        <v>0</v>
      </c>
      <c r="AJ99" s="188">
        <f t="shared" si="30"/>
        <v>0</v>
      </c>
      <c r="AK99" s="188">
        <f t="shared" ref="AK99:AT99" si="31">IF(ISERROR(AK21-AK8),0,AK21-AK8)</f>
        <v>0</v>
      </c>
      <c r="AL99" s="188">
        <f t="shared" si="31"/>
        <v>0</v>
      </c>
      <c r="AM99" s="188">
        <f t="shared" si="31"/>
        <v>0</v>
      </c>
      <c r="AN99" s="188">
        <f t="shared" si="31"/>
        <v>0</v>
      </c>
      <c r="AO99" s="188">
        <f t="shared" si="31"/>
        <v>0</v>
      </c>
      <c r="AP99" s="188">
        <f t="shared" si="31"/>
        <v>0</v>
      </c>
      <c r="AQ99" s="188">
        <f t="shared" si="31"/>
        <v>0</v>
      </c>
      <c r="AR99" s="188">
        <f t="shared" si="31"/>
        <v>0</v>
      </c>
      <c r="AS99" s="188">
        <f t="shared" si="31"/>
        <v>0</v>
      </c>
      <c r="AT99" s="188">
        <f t="shared" si="31"/>
        <v>0</v>
      </c>
      <c r="AU99" s="388"/>
    </row>
    <row r="100" spans="1:47" ht="15" customHeight="1">
      <c r="B100" s="97" t="s">
        <v>434</v>
      </c>
      <c r="D100" s="97"/>
      <c r="E100" s="573">
        <f>E62-E49</f>
        <v>0</v>
      </c>
      <c r="F100" s="573">
        <f>F62-F49</f>
        <v>0</v>
      </c>
      <c r="G100" s="573">
        <f t="shared" ref="G100:R100" si="32">G62-G49</f>
        <v>0</v>
      </c>
      <c r="H100" s="573">
        <f t="shared" si="32"/>
        <v>0</v>
      </c>
      <c r="I100" s="573">
        <f t="shared" si="32"/>
        <v>0</v>
      </c>
      <c r="J100" s="573">
        <f t="shared" si="32"/>
        <v>0</v>
      </c>
      <c r="K100" s="573">
        <f t="shared" si="32"/>
        <v>0</v>
      </c>
      <c r="L100" s="573">
        <f t="shared" si="32"/>
        <v>0</v>
      </c>
      <c r="M100" s="573">
        <f t="shared" si="32"/>
        <v>0</v>
      </c>
      <c r="N100" s="573">
        <f t="shared" si="32"/>
        <v>0</v>
      </c>
      <c r="O100" s="573">
        <f t="shared" si="32"/>
        <v>0</v>
      </c>
      <c r="P100" s="573">
        <f t="shared" si="32"/>
        <v>0</v>
      </c>
      <c r="Q100" s="573">
        <f t="shared" si="32"/>
        <v>0</v>
      </c>
      <c r="R100" s="188">
        <f t="shared" si="32"/>
        <v>0</v>
      </c>
      <c r="S100" s="188">
        <f t="shared" ref="S100:AT100" si="33">S62-S49</f>
        <v>0</v>
      </c>
      <c r="T100" s="188">
        <f t="shared" si="33"/>
        <v>0</v>
      </c>
      <c r="U100" s="188">
        <f t="shared" si="33"/>
        <v>0</v>
      </c>
      <c r="V100" s="188">
        <f t="shared" si="33"/>
        <v>0</v>
      </c>
      <c r="W100" s="188">
        <f t="shared" si="33"/>
        <v>0</v>
      </c>
      <c r="X100" s="188">
        <f t="shared" si="33"/>
        <v>0</v>
      </c>
      <c r="Y100" s="188">
        <f t="shared" si="33"/>
        <v>0</v>
      </c>
      <c r="Z100" s="188">
        <f t="shared" si="33"/>
        <v>0</v>
      </c>
      <c r="AA100" s="188">
        <f t="shared" si="33"/>
        <v>0</v>
      </c>
      <c r="AB100" s="188">
        <f t="shared" si="33"/>
        <v>0</v>
      </c>
      <c r="AC100" s="188">
        <f t="shared" si="33"/>
        <v>0</v>
      </c>
      <c r="AD100" s="188">
        <f t="shared" si="33"/>
        <v>0</v>
      </c>
      <c r="AE100" s="188">
        <f t="shared" si="33"/>
        <v>0</v>
      </c>
      <c r="AF100" s="188">
        <f t="shared" si="33"/>
        <v>0</v>
      </c>
      <c r="AG100" s="188">
        <f t="shared" si="33"/>
        <v>0</v>
      </c>
      <c r="AH100" s="188">
        <f t="shared" si="33"/>
        <v>0</v>
      </c>
      <c r="AI100" s="188">
        <f t="shared" si="33"/>
        <v>0</v>
      </c>
      <c r="AJ100" s="188">
        <f t="shared" si="33"/>
        <v>0</v>
      </c>
      <c r="AK100" s="188">
        <f t="shared" si="33"/>
        <v>0</v>
      </c>
      <c r="AL100" s="188">
        <f t="shared" si="33"/>
        <v>0</v>
      </c>
      <c r="AM100" s="188">
        <f t="shared" si="33"/>
        <v>0</v>
      </c>
      <c r="AN100" s="188">
        <f t="shared" si="33"/>
        <v>0</v>
      </c>
      <c r="AO100" s="188">
        <f t="shared" si="33"/>
        <v>0</v>
      </c>
      <c r="AP100" s="188">
        <f t="shared" si="33"/>
        <v>0</v>
      </c>
      <c r="AQ100" s="188">
        <f t="shared" si="33"/>
        <v>0</v>
      </c>
      <c r="AR100" s="188">
        <f t="shared" si="33"/>
        <v>0</v>
      </c>
      <c r="AS100" s="188">
        <f t="shared" si="33"/>
        <v>0</v>
      </c>
      <c r="AT100" s="188">
        <f t="shared" si="33"/>
        <v>0</v>
      </c>
      <c r="AU100" s="388"/>
    </row>
    <row r="101" spans="1:47" ht="15" customHeight="1">
      <c r="B101" s="117" t="s">
        <v>435</v>
      </c>
      <c r="D101" s="97"/>
      <c r="E101" s="573"/>
      <c r="F101" s="573"/>
      <c r="G101" s="573"/>
      <c r="H101" s="573"/>
      <c r="I101" s="573">
        <f t="shared" ref="I101:AK101" si="34">I99-I100-(E99-E100)</f>
        <v>0</v>
      </c>
      <c r="J101" s="573">
        <f t="shared" si="34"/>
        <v>0</v>
      </c>
      <c r="K101" s="573">
        <f t="shared" si="34"/>
        <v>0</v>
      </c>
      <c r="L101" s="573">
        <f t="shared" si="34"/>
        <v>0</v>
      </c>
      <c r="M101" s="573">
        <f t="shared" si="34"/>
        <v>0</v>
      </c>
      <c r="N101" s="573">
        <f t="shared" si="34"/>
        <v>0</v>
      </c>
      <c r="O101" s="573">
        <f t="shared" si="34"/>
        <v>0</v>
      </c>
      <c r="P101" s="573">
        <f t="shared" si="34"/>
        <v>0</v>
      </c>
      <c r="Q101" s="573">
        <f t="shared" si="34"/>
        <v>0</v>
      </c>
      <c r="R101" s="188">
        <f t="shared" si="34"/>
        <v>0</v>
      </c>
      <c r="S101" s="188">
        <f t="shared" si="34"/>
        <v>0</v>
      </c>
      <c r="T101" s="188">
        <f t="shared" si="34"/>
        <v>0</v>
      </c>
      <c r="U101" s="188">
        <f t="shared" si="34"/>
        <v>0</v>
      </c>
      <c r="V101" s="188">
        <f t="shared" si="34"/>
        <v>0</v>
      </c>
      <c r="W101" s="188">
        <f t="shared" si="34"/>
        <v>0</v>
      </c>
      <c r="X101" s="188">
        <f t="shared" si="34"/>
        <v>0</v>
      </c>
      <c r="Y101" s="188">
        <f t="shared" si="34"/>
        <v>0</v>
      </c>
      <c r="Z101" s="188">
        <f t="shared" si="34"/>
        <v>0</v>
      </c>
      <c r="AA101" s="188">
        <f t="shared" si="34"/>
        <v>0</v>
      </c>
      <c r="AB101" s="188">
        <f t="shared" si="34"/>
        <v>0</v>
      </c>
      <c r="AC101" s="188">
        <f t="shared" si="34"/>
        <v>0</v>
      </c>
      <c r="AD101" s="188">
        <f t="shared" si="34"/>
        <v>0</v>
      </c>
      <c r="AE101" s="188">
        <f t="shared" si="34"/>
        <v>0</v>
      </c>
      <c r="AF101" s="188">
        <f t="shared" si="34"/>
        <v>0</v>
      </c>
      <c r="AG101" s="188">
        <f t="shared" si="34"/>
        <v>0</v>
      </c>
      <c r="AH101" s="188">
        <f t="shared" si="34"/>
        <v>0</v>
      </c>
      <c r="AI101" s="188">
        <f t="shared" si="34"/>
        <v>0</v>
      </c>
      <c r="AJ101" s="188">
        <f t="shared" si="34"/>
        <v>0</v>
      </c>
      <c r="AK101" s="188">
        <f t="shared" si="34"/>
        <v>0</v>
      </c>
      <c r="AL101" s="188">
        <f>AL99-AL100-(AK99-AK100)</f>
        <v>0</v>
      </c>
      <c r="AM101" s="188">
        <f t="shared" ref="AM101:AT101" si="35">AM99-AM100-(AL99-AL100)</f>
        <v>0</v>
      </c>
      <c r="AN101" s="188">
        <f t="shared" si="35"/>
        <v>0</v>
      </c>
      <c r="AO101" s="188">
        <f t="shared" si="35"/>
        <v>0</v>
      </c>
      <c r="AP101" s="188">
        <f t="shared" si="35"/>
        <v>0</v>
      </c>
      <c r="AQ101" s="188">
        <f t="shared" si="35"/>
        <v>0</v>
      </c>
      <c r="AR101" s="188">
        <f t="shared" si="35"/>
        <v>0</v>
      </c>
      <c r="AS101" s="188">
        <f t="shared" si="35"/>
        <v>0</v>
      </c>
      <c r="AT101" s="188">
        <f t="shared" si="35"/>
        <v>0</v>
      </c>
      <c r="AU101" s="388"/>
    </row>
    <row r="102" spans="1:47" ht="15" customHeight="1">
      <c r="B102" s="480" t="s">
        <v>387</v>
      </c>
      <c r="E102" s="574" t="str">
        <f t="shared" ref="E102:AT102" si="36">IF(ISERROR(E76/E45),"—",E76/E45)</f>
        <v>—</v>
      </c>
      <c r="F102" s="574" t="str">
        <f t="shared" si="36"/>
        <v>—</v>
      </c>
      <c r="G102" s="574" t="str">
        <f t="shared" si="36"/>
        <v>—</v>
      </c>
      <c r="H102" s="574" t="str">
        <f t="shared" si="36"/>
        <v>—</v>
      </c>
      <c r="I102" s="574" t="str">
        <f t="shared" si="36"/>
        <v>—</v>
      </c>
      <c r="J102" s="574" t="str">
        <f t="shared" si="36"/>
        <v>—</v>
      </c>
      <c r="K102" s="574" t="str">
        <f t="shared" si="36"/>
        <v>—</v>
      </c>
      <c r="L102" s="574" t="str">
        <f t="shared" si="36"/>
        <v>—</v>
      </c>
      <c r="M102" s="574" t="str">
        <f t="shared" si="36"/>
        <v>—</v>
      </c>
      <c r="N102" s="574" t="str">
        <f t="shared" si="36"/>
        <v>—</v>
      </c>
      <c r="O102" s="574" t="str">
        <f t="shared" si="36"/>
        <v>—</v>
      </c>
      <c r="P102" s="574" t="str">
        <f t="shared" si="36"/>
        <v>—</v>
      </c>
      <c r="Q102" s="574" t="str">
        <f t="shared" si="36"/>
        <v>—</v>
      </c>
      <c r="R102" s="574" t="str">
        <f t="shared" si="36"/>
        <v>—</v>
      </c>
      <c r="S102" s="574" t="str">
        <f t="shared" si="36"/>
        <v>—</v>
      </c>
      <c r="T102" s="574" t="str">
        <f t="shared" si="36"/>
        <v>—</v>
      </c>
      <c r="U102" s="574" t="str">
        <f t="shared" si="36"/>
        <v>—</v>
      </c>
      <c r="V102" s="574" t="str">
        <f t="shared" si="36"/>
        <v>—</v>
      </c>
      <c r="W102" s="574" t="str">
        <f t="shared" si="36"/>
        <v>—</v>
      </c>
      <c r="X102" s="574" t="str">
        <f t="shared" si="36"/>
        <v>—</v>
      </c>
      <c r="Y102" s="574" t="str">
        <f t="shared" si="36"/>
        <v>—</v>
      </c>
      <c r="Z102" s="574" t="str">
        <f t="shared" si="36"/>
        <v>—</v>
      </c>
      <c r="AA102" s="574" t="str">
        <f t="shared" si="36"/>
        <v>—</v>
      </c>
      <c r="AB102" s="574" t="str">
        <f t="shared" si="36"/>
        <v>—</v>
      </c>
      <c r="AC102" s="574" t="str">
        <f t="shared" si="36"/>
        <v>—</v>
      </c>
      <c r="AD102" s="574" t="str">
        <f t="shared" si="36"/>
        <v>—</v>
      </c>
      <c r="AE102" s="574" t="str">
        <f t="shared" si="36"/>
        <v>—</v>
      </c>
      <c r="AF102" s="574" t="str">
        <f t="shared" si="36"/>
        <v>—</v>
      </c>
      <c r="AG102" s="574" t="str">
        <f t="shared" si="36"/>
        <v>—</v>
      </c>
      <c r="AH102" s="574" t="str">
        <f t="shared" si="36"/>
        <v>—</v>
      </c>
      <c r="AI102" s="574" t="str">
        <f t="shared" si="36"/>
        <v>—</v>
      </c>
      <c r="AJ102" s="574" t="str">
        <f t="shared" si="36"/>
        <v>—</v>
      </c>
      <c r="AK102" s="574" t="str">
        <f t="shared" si="36"/>
        <v>—</v>
      </c>
      <c r="AL102" s="574" t="str">
        <f t="shared" si="36"/>
        <v>—</v>
      </c>
      <c r="AM102" s="574" t="str">
        <f t="shared" si="36"/>
        <v>—</v>
      </c>
      <c r="AN102" s="574" t="str">
        <f t="shared" si="36"/>
        <v>—</v>
      </c>
      <c r="AO102" s="574" t="str">
        <f t="shared" si="36"/>
        <v>—</v>
      </c>
      <c r="AP102" s="574" t="str">
        <f t="shared" si="36"/>
        <v>—</v>
      </c>
      <c r="AQ102" s="574" t="str">
        <f t="shared" si="36"/>
        <v>—</v>
      </c>
      <c r="AR102" s="574" t="str">
        <f t="shared" si="36"/>
        <v>—</v>
      </c>
      <c r="AS102" s="574" t="str">
        <f t="shared" si="36"/>
        <v>—</v>
      </c>
      <c r="AT102" s="574" t="str">
        <f t="shared" si="36"/>
        <v>—</v>
      </c>
      <c r="AU102" s="388"/>
    </row>
    <row r="103" spans="1:47" s="396" customFormat="1" ht="15" customHeight="1">
      <c r="A103" s="96"/>
      <c r="B103" s="490" t="s">
        <v>436</v>
      </c>
      <c r="C103" s="97"/>
      <c r="D103" s="575"/>
      <c r="E103" s="188">
        <f t="shared" ref="E103:AT103" si="37">E49+E60+E65+E66+E67</f>
        <v>0</v>
      </c>
      <c r="F103" s="188">
        <f t="shared" si="37"/>
        <v>0</v>
      </c>
      <c r="G103" s="188">
        <f t="shared" si="37"/>
        <v>0</v>
      </c>
      <c r="H103" s="188">
        <f t="shared" si="37"/>
        <v>0</v>
      </c>
      <c r="I103" s="188">
        <f t="shared" si="37"/>
        <v>0</v>
      </c>
      <c r="J103" s="188">
        <f t="shared" si="37"/>
        <v>0</v>
      </c>
      <c r="K103" s="188">
        <f t="shared" si="37"/>
        <v>0</v>
      </c>
      <c r="L103" s="188">
        <f t="shared" si="37"/>
        <v>0</v>
      </c>
      <c r="M103" s="188">
        <f t="shared" si="37"/>
        <v>0</v>
      </c>
      <c r="N103" s="188">
        <f t="shared" si="37"/>
        <v>0</v>
      </c>
      <c r="O103" s="188">
        <f t="shared" si="37"/>
        <v>0</v>
      </c>
      <c r="P103" s="188">
        <f t="shared" si="37"/>
        <v>0</v>
      </c>
      <c r="Q103" s="188">
        <f t="shared" si="37"/>
        <v>0</v>
      </c>
      <c r="R103" s="188">
        <f t="shared" si="37"/>
        <v>0</v>
      </c>
      <c r="S103" s="188">
        <f t="shared" si="37"/>
        <v>0</v>
      </c>
      <c r="T103" s="188">
        <f t="shared" si="37"/>
        <v>0</v>
      </c>
      <c r="U103" s="188">
        <f t="shared" si="37"/>
        <v>0</v>
      </c>
      <c r="V103" s="188">
        <f t="shared" si="37"/>
        <v>0</v>
      </c>
      <c r="W103" s="188">
        <f t="shared" si="37"/>
        <v>0</v>
      </c>
      <c r="X103" s="188">
        <f t="shared" si="37"/>
        <v>0</v>
      </c>
      <c r="Y103" s="188">
        <f t="shared" si="37"/>
        <v>0</v>
      </c>
      <c r="Z103" s="188">
        <f t="shared" si="37"/>
        <v>0</v>
      </c>
      <c r="AA103" s="188">
        <f t="shared" si="37"/>
        <v>0</v>
      </c>
      <c r="AB103" s="188">
        <f t="shared" si="37"/>
        <v>0</v>
      </c>
      <c r="AC103" s="188">
        <f t="shared" si="37"/>
        <v>0</v>
      </c>
      <c r="AD103" s="188">
        <f t="shared" si="37"/>
        <v>0</v>
      </c>
      <c r="AE103" s="188">
        <f t="shared" si="37"/>
        <v>0</v>
      </c>
      <c r="AF103" s="188">
        <f t="shared" si="37"/>
        <v>0</v>
      </c>
      <c r="AG103" s="188">
        <f t="shared" si="37"/>
        <v>0</v>
      </c>
      <c r="AH103" s="188">
        <f t="shared" si="37"/>
        <v>0</v>
      </c>
      <c r="AI103" s="188">
        <f t="shared" si="37"/>
        <v>0</v>
      </c>
      <c r="AJ103" s="188">
        <f t="shared" si="37"/>
        <v>0</v>
      </c>
      <c r="AK103" s="188">
        <f t="shared" si="37"/>
        <v>0</v>
      </c>
      <c r="AL103" s="188">
        <f t="shared" si="37"/>
        <v>0</v>
      </c>
      <c r="AM103" s="188">
        <f t="shared" si="37"/>
        <v>0</v>
      </c>
      <c r="AN103" s="188">
        <f t="shared" si="37"/>
        <v>0</v>
      </c>
      <c r="AO103" s="188">
        <f t="shared" si="37"/>
        <v>0</v>
      </c>
      <c r="AP103" s="188">
        <f t="shared" si="37"/>
        <v>0</v>
      </c>
      <c r="AQ103" s="188">
        <f t="shared" si="37"/>
        <v>0</v>
      </c>
      <c r="AR103" s="188">
        <f t="shared" si="37"/>
        <v>0</v>
      </c>
      <c r="AS103" s="188">
        <f t="shared" si="37"/>
        <v>0</v>
      </c>
      <c r="AT103" s="188">
        <f t="shared" si="37"/>
        <v>0</v>
      </c>
      <c r="AU103" s="388"/>
    </row>
    <row r="104" spans="1:47" s="396" customFormat="1" ht="15" customHeight="1">
      <c r="A104" s="96"/>
      <c r="B104" s="490" t="s">
        <v>437</v>
      </c>
      <c r="C104" s="97"/>
      <c r="D104" s="575"/>
      <c r="E104" s="574" t="str">
        <f t="shared" ref="E104:AT104" si="38">IF(ISERROR(E103/E95),"—",E103/E95)</f>
        <v>—</v>
      </c>
      <c r="F104" s="574" t="str">
        <f t="shared" si="38"/>
        <v>—</v>
      </c>
      <c r="G104" s="574" t="str">
        <f t="shared" si="38"/>
        <v>—</v>
      </c>
      <c r="H104" s="574" t="str">
        <f t="shared" si="38"/>
        <v>—</v>
      </c>
      <c r="I104" s="574" t="str">
        <f t="shared" si="38"/>
        <v>—</v>
      </c>
      <c r="J104" s="574" t="str">
        <f t="shared" si="38"/>
        <v>—</v>
      </c>
      <c r="K104" s="574" t="str">
        <f t="shared" si="38"/>
        <v>—</v>
      </c>
      <c r="L104" s="574" t="str">
        <f t="shared" si="38"/>
        <v>—</v>
      </c>
      <c r="M104" s="574" t="str">
        <f t="shared" si="38"/>
        <v>—</v>
      </c>
      <c r="N104" s="574" t="str">
        <f t="shared" si="38"/>
        <v>—</v>
      </c>
      <c r="O104" s="574" t="str">
        <f t="shared" si="38"/>
        <v>—</v>
      </c>
      <c r="P104" s="574" t="str">
        <f t="shared" si="38"/>
        <v>—</v>
      </c>
      <c r="Q104" s="574" t="str">
        <f t="shared" si="38"/>
        <v>—</v>
      </c>
      <c r="R104" s="574" t="str">
        <f t="shared" si="38"/>
        <v>—</v>
      </c>
      <c r="S104" s="574" t="str">
        <f t="shared" si="38"/>
        <v>—</v>
      </c>
      <c r="T104" s="574" t="str">
        <f t="shared" si="38"/>
        <v>—</v>
      </c>
      <c r="U104" s="574" t="str">
        <f t="shared" si="38"/>
        <v>—</v>
      </c>
      <c r="V104" s="574" t="str">
        <f t="shared" si="38"/>
        <v>—</v>
      </c>
      <c r="W104" s="574" t="str">
        <f t="shared" si="38"/>
        <v>—</v>
      </c>
      <c r="X104" s="574" t="str">
        <f t="shared" si="38"/>
        <v>—</v>
      </c>
      <c r="Y104" s="574" t="str">
        <f t="shared" si="38"/>
        <v>—</v>
      </c>
      <c r="Z104" s="574" t="str">
        <f t="shared" si="38"/>
        <v>—</v>
      </c>
      <c r="AA104" s="574" t="str">
        <f t="shared" si="38"/>
        <v>—</v>
      </c>
      <c r="AB104" s="574" t="str">
        <f t="shared" si="38"/>
        <v>—</v>
      </c>
      <c r="AC104" s="574" t="str">
        <f t="shared" si="38"/>
        <v>—</v>
      </c>
      <c r="AD104" s="574" t="str">
        <f t="shared" si="38"/>
        <v>—</v>
      </c>
      <c r="AE104" s="574" t="str">
        <f t="shared" si="38"/>
        <v>—</v>
      </c>
      <c r="AF104" s="574" t="str">
        <f t="shared" si="38"/>
        <v>—</v>
      </c>
      <c r="AG104" s="574" t="str">
        <f t="shared" si="38"/>
        <v>—</v>
      </c>
      <c r="AH104" s="574" t="str">
        <f t="shared" si="38"/>
        <v>—</v>
      </c>
      <c r="AI104" s="574" t="str">
        <f t="shared" si="38"/>
        <v>—</v>
      </c>
      <c r="AJ104" s="574" t="str">
        <f t="shared" si="38"/>
        <v>—</v>
      </c>
      <c r="AK104" s="574" t="str">
        <f t="shared" si="38"/>
        <v>—</v>
      </c>
      <c r="AL104" s="574" t="str">
        <f t="shared" si="38"/>
        <v>—</v>
      </c>
      <c r="AM104" s="574" t="str">
        <f t="shared" si="38"/>
        <v>—</v>
      </c>
      <c r="AN104" s="574" t="str">
        <f t="shared" si="38"/>
        <v>—</v>
      </c>
      <c r="AO104" s="574" t="str">
        <f t="shared" si="38"/>
        <v>—</v>
      </c>
      <c r="AP104" s="574" t="str">
        <f t="shared" si="38"/>
        <v>—</v>
      </c>
      <c r="AQ104" s="574" t="str">
        <f t="shared" si="38"/>
        <v>—</v>
      </c>
      <c r="AR104" s="574" t="str">
        <f t="shared" si="38"/>
        <v>—</v>
      </c>
      <c r="AS104" s="574" t="str">
        <f t="shared" si="38"/>
        <v>—</v>
      </c>
      <c r="AT104" s="574" t="str">
        <f t="shared" si="38"/>
        <v>—</v>
      </c>
      <c r="AU104" s="388"/>
    </row>
    <row r="105" spans="1:47" s="30" customFormat="1" ht="15" customHeight="1">
      <c r="B105" s="490" t="s">
        <v>438</v>
      </c>
      <c r="C105" s="490"/>
      <c r="D105" s="525"/>
      <c r="E105" s="118">
        <f>IF(ISERROR(E103+E93),"—",E103+E93)</f>
        <v>0</v>
      </c>
      <c r="F105" s="118">
        <f t="shared" ref="F105:AT105" si="39">IF(ISERROR(F103+F93),"—",F103+F93)</f>
        <v>0</v>
      </c>
      <c r="G105" s="118">
        <f t="shared" si="39"/>
        <v>0</v>
      </c>
      <c r="H105" s="118">
        <f t="shared" si="39"/>
        <v>0</v>
      </c>
      <c r="I105" s="118">
        <f t="shared" si="39"/>
        <v>0</v>
      </c>
      <c r="J105" s="118">
        <f t="shared" si="39"/>
        <v>0</v>
      </c>
      <c r="K105" s="118">
        <f t="shared" si="39"/>
        <v>0</v>
      </c>
      <c r="L105" s="118">
        <f t="shared" si="39"/>
        <v>0</v>
      </c>
      <c r="M105" s="118">
        <f t="shared" si="39"/>
        <v>0</v>
      </c>
      <c r="N105" s="118">
        <f t="shared" si="39"/>
        <v>0</v>
      </c>
      <c r="O105" s="118">
        <f t="shared" si="39"/>
        <v>0</v>
      </c>
      <c r="P105" s="118">
        <f t="shared" si="39"/>
        <v>0</v>
      </c>
      <c r="Q105" s="118">
        <f t="shared" si="39"/>
        <v>0</v>
      </c>
      <c r="R105" s="118">
        <f t="shared" si="39"/>
        <v>0</v>
      </c>
      <c r="S105" s="118">
        <f t="shared" si="39"/>
        <v>0</v>
      </c>
      <c r="T105" s="118">
        <f t="shared" si="39"/>
        <v>0</v>
      </c>
      <c r="U105" s="118">
        <f t="shared" si="39"/>
        <v>0</v>
      </c>
      <c r="V105" s="118">
        <f t="shared" si="39"/>
        <v>0</v>
      </c>
      <c r="W105" s="118">
        <f t="shared" si="39"/>
        <v>0</v>
      </c>
      <c r="X105" s="118">
        <f t="shared" si="39"/>
        <v>0</v>
      </c>
      <c r="Y105" s="118">
        <f t="shared" si="39"/>
        <v>0</v>
      </c>
      <c r="Z105" s="118">
        <f t="shared" si="39"/>
        <v>0</v>
      </c>
      <c r="AA105" s="118">
        <f t="shared" si="39"/>
        <v>0</v>
      </c>
      <c r="AB105" s="118">
        <f t="shared" si="39"/>
        <v>0</v>
      </c>
      <c r="AC105" s="118">
        <f t="shared" si="39"/>
        <v>0</v>
      </c>
      <c r="AD105" s="118">
        <f t="shared" si="39"/>
        <v>0</v>
      </c>
      <c r="AE105" s="118">
        <f t="shared" si="39"/>
        <v>0</v>
      </c>
      <c r="AF105" s="118">
        <f t="shared" si="39"/>
        <v>0</v>
      </c>
      <c r="AG105" s="118">
        <f t="shared" si="39"/>
        <v>0</v>
      </c>
      <c r="AH105" s="118">
        <f t="shared" si="39"/>
        <v>0</v>
      </c>
      <c r="AI105" s="118">
        <f t="shared" si="39"/>
        <v>0</v>
      </c>
      <c r="AJ105" s="118">
        <f t="shared" si="39"/>
        <v>0</v>
      </c>
      <c r="AK105" s="118">
        <f t="shared" si="39"/>
        <v>0</v>
      </c>
      <c r="AL105" s="118">
        <f t="shared" si="39"/>
        <v>0</v>
      </c>
      <c r="AM105" s="118">
        <f t="shared" si="39"/>
        <v>0</v>
      </c>
      <c r="AN105" s="118">
        <f t="shared" si="39"/>
        <v>0</v>
      </c>
      <c r="AO105" s="118">
        <f t="shared" si="39"/>
        <v>0</v>
      </c>
      <c r="AP105" s="118">
        <f t="shared" si="39"/>
        <v>0</v>
      </c>
      <c r="AQ105" s="118">
        <f t="shared" si="39"/>
        <v>0</v>
      </c>
      <c r="AR105" s="118">
        <f t="shared" si="39"/>
        <v>0</v>
      </c>
      <c r="AS105" s="118">
        <f t="shared" si="39"/>
        <v>0</v>
      </c>
      <c r="AT105" s="118">
        <f t="shared" si="39"/>
        <v>0</v>
      </c>
      <c r="AU105" s="391"/>
    </row>
    <row r="106" spans="1:47" s="30" customFormat="1" ht="15" customHeight="1">
      <c r="B106" s="490" t="s">
        <v>439</v>
      </c>
      <c r="C106" s="490"/>
      <c r="D106" s="525"/>
      <c r="E106" s="118">
        <f t="shared" ref="E106:X106" si="40">E8+E9+E18+E19+E20+SUM(E24:E30)+E40+E41</f>
        <v>0</v>
      </c>
      <c r="F106" s="118">
        <f t="shared" si="40"/>
        <v>0</v>
      </c>
      <c r="G106" s="118">
        <f t="shared" si="40"/>
        <v>0</v>
      </c>
      <c r="H106" s="118">
        <f t="shared" si="40"/>
        <v>0</v>
      </c>
      <c r="I106" s="118">
        <f t="shared" si="40"/>
        <v>0</v>
      </c>
      <c r="J106" s="118">
        <f t="shared" si="40"/>
        <v>0</v>
      </c>
      <c r="K106" s="118">
        <f t="shared" si="40"/>
        <v>0</v>
      </c>
      <c r="L106" s="118">
        <f t="shared" si="40"/>
        <v>0</v>
      </c>
      <c r="M106" s="118">
        <f t="shared" si="40"/>
        <v>0</v>
      </c>
      <c r="N106" s="118">
        <f t="shared" si="40"/>
        <v>0</v>
      </c>
      <c r="O106" s="118">
        <f t="shared" si="40"/>
        <v>0</v>
      </c>
      <c r="P106" s="118">
        <f t="shared" si="40"/>
        <v>0</v>
      </c>
      <c r="Q106" s="118">
        <f t="shared" si="40"/>
        <v>0</v>
      </c>
      <c r="R106" s="118">
        <f t="shared" si="40"/>
        <v>0</v>
      </c>
      <c r="S106" s="118">
        <f t="shared" si="40"/>
        <v>0</v>
      </c>
      <c r="T106" s="118">
        <f t="shared" si="40"/>
        <v>0</v>
      </c>
      <c r="U106" s="118">
        <f t="shared" si="40"/>
        <v>0</v>
      </c>
      <c r="V106" s="118">
        <f t="shared" si="40"/>
        <v>0</v>
      </c>
      <c r="W106" s="118">
        <f t="shared" si="40"/>
        <v>0</v>
      </c>
      <c r="X106" s="118">
        <f t="shared" si="40"/>
        <v>0</v>
      </c>
      <c r="Y106" s="118">
        <f t="shared" ref="Y106:AT106" si="41">Y8+Y9+Y18+Y19+Y20+SUM(Y24:Y30)+Y40+Y41</f>
        <v>0</v>
      </c>
      <c r="Z106" s="118">
        <f t="shared" si="41"/>
        <v>0</v>
      </c>
      <c r="AA106" s="118">
        <f t="shared" si="41"/>
        <v>0</v>
      </c>
      <c r="AB106" s="118">
        <f t="shared" si="41"/>
        <v>0</v>
      </c>
      <c r="AC106" s="118">
        <f t="shared" si="41"/>
        <v>0</v>
      </c>
      <c r="AD106" s="118">
        <f t="shared" si="41"/>
        <v>0</v>
      </c>
      <c r="AE106" s="118">
        <f t="shared" si="41"/>
        <v>0</v>
      </c>
      <c r="AF106" s="118">
        <f t="shared" si="41"/>
        <v>0</v>
      </c>
      <c r="AG106" s="118">
        <f t="shared" si="41"/>
        <v>0</v>
      </c>
      <c r="AH106" s="118">
        <f t="shared" si="41"/>
        <v>0</v>
      </c>
      <c r="AI106" s="118">
        <f t="shared" si="41"/>
        <v>0</v>
      </c>
      <c r="AJ106" s="118">
        <f t="shared" si="41"/>
        <v>0</v>
      </c>
      <c r="AK106" s="118">
        <f t="shared" si="41"/>
        <v>0</v>
      </c>
      <c r="AL106" s="118">
        <f t="shared" si="41"/>
        <v>0</v>
      </c>
      <c r="AM106" s="118">
        <f t="shared" si="41"/>
        <v>0</v>
      </c>
      <c r="AN106" s="118">
        <f t="shared" si="41"/>
        <v>0</v>
      </c>
      <c r="AO106" s="118">
        <f t="shared" si="41"/>
        <v>0</v>
      </c>
      <c r="AP106" s="118">
        <f t="shared" si="41"/>
        <v>0</v>
      </c>
      <c r="AQ106" s="118">
        <f t="shared" si="41"/>
        <v>0</v>
      </c>
      <c r="AR106" s="118">
        <f t="shared" si="41"/>
        <v>0</v>
      </c>
      <c r="AS106" s="118">
        <f t="shared" si="41"/>
        <v>0</v>
      </c>
      <c r="AT106" s="118">
        <f t="shared" si="41"/>
        <v>0</v>
      </c>
      <c r="AU106" s="558"/>
    </row>
    <row r="107" spans="1:47" s="30" customFormat="1" ht="15" customHeight="1">
      <c r="B107" s="490" t="s">
        <v>440</v>
      </c>
      <c r="C107" s="150"/>
      <c r="D107" s="525"/>
      <c r="E107" s="118">
        <f t="shared" ref="E107:X107" si="42">E59+E61+SUM(E68:E72)</f>
        <v>0</v>
      </c>
      <c r="F107" s="118">
        <f t="shared" si="42"/>
        <v>0</v>
      </c>
      <c r="G107" s="118">
        <f t="shared" si="42"/>
        <v>0</v>
      </c>
      <c r="H107" s="118">
        <f t="shared" si="42"/>
        <v>0</v>
      </c>
      <c r="I107" s="118">
        <f t="shared" si="42"/>
        <v>0</v>
      </c>
      <c r="J107" s="118">
        <f t="shared" si="42"/>
        <v>0</v>
      </c>
      <c r="K107" s="118">
        <f t="shared" si="42"/>
        <v>0</v>
      </c>
      <c r="L107" s="118">
        <f t="shared" si="42"/>
        <v>0</v>
      </c>
      <c r="M107" s="118">
        <f t="shared" si="42"/>
        <v>0</v>
      </c>
      <c r="N107" s="118">
        <f t="shared" si="42"/>
        <v>0</v>
      </c>
      <c r="O107" s="118">
        <f t="shared" si="42"/>
        <v>0</v>
      </c>
      <c r="P107" s="118">
        <f t="shared" si="42"/>
        <v>0</v>
      </c>
      <c r="Q107" s="118">
        <f t="shared" si="42"/>
        <v>0</v>
      </c>
      <c r="R107" s="118">
        <f t="shared" si="42"/>
        <v>0</v>
      </c>
      <c r="S107" s="118">
        <f t="shared" si="42"/>
        <v>0</v>
      </c>
      <c r="T107" s="118">
        <f t="shared" si="42"/>
        <v>0</v>
      </c>
      <c r="U107" s="118">
        <f t="shared" si="42"/>
        <v>0</v>
      </c>
      <c r="V107" s="118">
        <f t="shared" si="42"/>
        <v>0</v>
      </c>
      <c r="W107" s="118">
        <f t="shared" si="42"/>
        <v>0</v>
      </c>
      <c r="X107" s="118">
        <f t="shared" si="42"/>
        <v>0</v>
      </c>
      <c r="Y107" s="118">
        <f t="shared" ref="Y107:AT107" si="43">Y59+Y61+SUM(Y68:Y72)</f>
        <v>0</v>
      </c>
      <c r="Z107" s="118">
        <f t="shared" si="43"/>
        <v>0</v>
      </c>
      <c r="AA107" s="118">
        <f t="shared" si="43"/>
        <v>0</v>
      </c>
      <c r="AB107" s="118">
        <f t="shared" si="43"/>
        <v>0</v>
      </c>
      <c r="AC107" s="118">
        <f t="shared" si="43"/>
        <v>0</v>
      </c>
      <c r="AD107" s="118">
        <f t="shared" si="43"/>
        <v>0</v>
      </c>
      <c r="AE107" s="118">
        <f t="shared" si="43"/>
        <v>0</v>
      </c>
      <c r="AF107" s="118">
        <f t="shared" si="43"/>
        <v>0</v>
      </c>
      <c r="AG107" s="118">
        <f t="shared" si="43"/>
        <v>0</v>
      </c>
      <c r="AH107" s="118">
        <f t="shared" si="43"/>
        <v>0</v>
      </c>
      <c r="AI107" s="118">
        <f t="shared" si="43"/>
        <v>0</v>
      </c>
      <c r="AJ107" s="118">
        <f t="shared" si="43"/>
        <v>0</v>
      </c>
      <c r="AK107" s="118">
        <f t="shared" si="43"/>
        <v>0</v>
      </c>
      <c r="AL107" s="118">
        <f t="shared" si="43"/>
        <v>0</v>
      </c>
      <c r="AM107" s="118">
        <f t="shared" si="43"/>
        <v>0</v>
      </c>
      <c r="AN107" s="118">
        <f t="shared" si="43"/>
        <v>0</v>
      </c>
      <c r="AO107" s="118">
        <f t="shared" si="43"/>
        <v>0</v>
      </c>
      <c r="AP107" s="118">
        <f t="shared" si="43"/>
        <v>0</v>
      </c>
      <c r="AQ107" s="118">
        <f t="shared" si="43"/>
        <v>0</v>
      </c>
      <c r="AR107" s="118">
        <f t="shared" si="43"/>
        <v>0</v>
      </c>
      <c r="AS107" s="118">
        <f t="shared" si="43"/>
        <v>0</v>
      </c>
      <c r="AT107" s="118">
        <f t="shared" si="43"/>
        <v>0</v>
      </c>
    </row>
    <row r="108" spans="1:47" s="30" customFormat="1" ht="15" customHeight="1">
      <c r="B108" s="576" t="s">
        <v>441</v>
      </c>
      <c r="C108" s="577"/>
      <c r="D108" s="578"/>
      <c r="E108" s="579"/>
      <c r="F108" s="579"/>
      <c r="G108" s="579"/>
      <c r="H108" s="579"/>
      <c r="I108" s="579" t="str">
        <f>IF(ISERROR((I45+E45)/(2*I89)),"—",(I45+E45)/(2*I89))</f>
        <v>—</v>
      </c>
      <c r="J108" s="579"/>
      <c r="K108" s="579"/>
      <c r="L108" s="579"/>
      <c r="M108" s="579" t="str">
        <f t="shared" ref="M108:AG108" si="44">IF(ISERROR((M45+I45)/(2*M89)),"—",(M45+I45)/(2*M89))</f>
        <v>—</v>
      </c>
      <c r="N108" s="579"/>
      <c r="O108" s="579"/>
      <c r="P108" s="579"/>
      <c r="Q108" s="579" t="str">
        <f t="shared" si="44"/>
        <v>—</v>
      </c>
      <c r="R108" s="579"/>
      <c r="S108" s="579"/>
      <c r="T108" s="579"/>
      <c r="U108" s="579" t="str">
        <f t="shared" si="44"/>
        <v>—</v>
      </c>
      <c r="V108" s="579"/>
      <c r="W108" s="579"/>
      <c r="X108" s="579"/>
      <c r="Y108" s="579" t="str">
        <f t="shared" si="44"/>
        <v>—</v>
      </c>
      <c r="Z108" s="579"/>
      <c r="AA108" s="579"/>
      <c r="AB108" s="579"/>
      <c r="AC108" s="579" t="str">
        <f t="shared" si="44"/>
        <v>—</v>
      </c>
      <c r="AD108" s="579"/>
      <c r="AE108" s="579"/>
      <c r="AF108" s="579"/>
      <c r="AG108" s="579" t="str">
        <f t="shared" si="44"/>
        <v>—</v>
      </c>
      <c r="AH108" s="579"/>
      <c r="AI108" s="579"/>
      <c r="AJ108" s="579"/>
      <c r="AK108" s="579" t="str">
        <f>IF(ISERROR((AK45+AG45)/(2*AK89)),"—",(AK45+AG45)/(2*AK89))</f>
        <v>—</v>
      </c>
      <c r="AL108" s="579" t="str">
        <f>IF(ISERROR((AL45+AK45)/(2*AL89)),"—",(AL45+AK45)/(2*AL89))</f>
        <v>—</v>
      </c>
      <c r="AM108" s="579" t="str">
        <f t="shared" ref="AM108:AT108" si="45">IF(ISERROR((AM45+AL45)/(2*AM89)),"—",(AM45+AL45)/(2*AM89))</f>
        <v>—</v>
      </c>
      <c r="AN108" s="579" t="str">
        <f t="shared" si="45"/>
        <v>—</v>
      </c>
      <c r="AO108" s="579" t="str">
        <f t="shared" si="45"/>
        <v>—</v>
      </c>
      <c r="AP108" s="579" t="str">
        <f t="shared" si="45"/>
        <v>—</v>
      </c>
      <c r="AQ108" s="579" t="str">
        <f t="shared" si="45"/>
        <v>—</v>
      </c>
      <c r="AR108" s="579" t="str">
        <f t="shared" si="45"/>
        <v>—</v>
      </c>
      <c r="AS108" s="579" t="str">
        <f t="shared" si="45"/>
        <v>—</v>
      </c>
      <c r="AT108" s="579" t="str">
        <f t="shared" si="45"/>
        <v>—</v>
      </c>
      <c r="AU108" s="118"/>
    </row>
    <row r="109" spans="1:47" s="372" customFormat="1" ht="15" customHeight="1">
      <c r="B109" s="580"/>
      <c r="C109" s="581"/>
      <c r="D109" s="582"/>
      <c r="E109" s="583"/>
      <c r="F109" s="583"/>
      <c r="G109" s="583"/>
      <c r="H109" s="583"/>
      <c r="I109" s="583"/>
      <c r="J109" s="583"/>
      <c r="K109" s="583"/>
      <c r="L109" s="583"/>
      <c r="M109" s="583"/>
      <c r="N109" s="583"/>
      <c r="O109" s="583"/>
      <c r="P109" s="588"/>
      <c r="Q109" s="583"/>
      <c r="R109" s="583"/>
      <c r="S109" s="583"/>
      <c r="T109" s="583"/>
      <c r="U109" s="583"/>
      <c r="V109" s="583"/>
      <c r="W109" s="583"/>
      <c r="X109" s="583"/>
      <c r="Y109" s="583"/>
      <c r="Z109" s="583"/>
      <c r="AA109" s="583"/>
      <c r="AB109" s="583"/>
      <c r="AC109" s="583"/>
      <c r="AD109" s="583"/>
      <c r="AE109" s="583"/>
      <c r="AF109" s="583"/>
      <c r="AG109" s="583"/>
      <c r="AH109" s="588"/>
      <c r="AI109" s="588"/>
      <c r="AJ109" s="588"/>
      <c r="AK109" s="592"/>
      <c r="AL109" s="592"/>
      <c r="AM109" s="592"/>
      <c r="AN109" s="592"/>
      <c r="AO109" s="592"/>
      <c r="AP109" s="592"/>
      <c r="AQ109" s="592"/>
      <c r="AR109" s="592"/>
      <c r="AS109" s="592"/>
      <c r="AT109" s="592"/>
    </row>
    <row r="110" spans="1:47" s="372" customFormat="1" ht="15" customHeight="1">
      <c r="B110" s="584"/>
      <c r="C110" s="581"/>
      <c r="D110" s="582"/>
      <c r="E110" s="583"/>
      <c r="F110" s="583"/>
      <c r="G110" s="583"/>
      <c r="H110" s="583"/>
      <c r="I110" s="583"/>
      <c r="J110" s="583"/>
      <c r="K110" s="583"/>
      <c r="L110" s="583"/>
      <c r="M110" s="583"/>
      <c r="N110" s="583"/>
      <c r="O110" s="583"/>
      <c r="P110" s="588"/>
      <c r="Q110" s="583"/>
      <c r="R110" s="583"/>
      <c r="S110" s="583"/>
      <c r="T110" s="583"/>
      <c r="U110" s="583"/>
      <c r="V110" s="583"/>
      <c r="W110" s="583"/>
      <c r="X110" s="583"/>
      <c r="Y110" s="583"/>
      <c r="Z110" s="583"/>
      <c r="AA110" s="583"/>
      <c r="AB110" s="583"/>
      <c r="AC110" s="583"/>
      <c r="AD110" s="583"/>
      <c r="AE110" s="583"/>
      <c r="AF110" s="583"/>
      <c r="AG110" s="583"/>
      <c r="AH110" s="588"/>
      <c r="AI110" s="588"/>
      <c r="AJ110" s="588"/>
      <c r="AK110" s="583"/>
      <c r="AL110" s="583"/>
      <c r="AM110" s="583"/>
      <c r="AN110" s="583"/>
      <c r="AO110" s="583"/>
      <c r="AP110" s="583"/>
      <c r="AQ110" s="583"/>
      <c r="AR110" s="583"/>
      <c r="AS110" s="583"/>
      <c r="AT110" s="583"/>
    </row>
    <row r="111" spans="1:47" s="372" customFormat="1" ht="15" customHeight="1">
      <c r="B111" s="584"/>
      <c r="C111" s="581"/>
      <c r="D111" s="582"/>
      <c r="E111" s="583"/>
      <c r="F111" s="583"/>
      <c r="G111" s="583"/>
      <c r="H111" s="583"/>
      <c r="I111" s="583"/>
      <c r="J111" s="583"/>
      <c r="K111" s="583"/>
      <c r="L111" s="583"/>
      <c r="M111" s="583"/>
      <c r="N111" s="583"/>
      <c r="O111" s="583"/>
      <c r="P111" s="588"/>
      <c r="Q111" s="583"/>
      <c r="R111" s="583"/>
      <c r="S111" s="583"/>
      <c r="T111" s="583"/>
      <c r="U111" s="583"/>
      <c r="V111" s="583"/>
      <c r="W111" s="583"/>
      <c r="X111" s="583"/>
      <c r="Y111" s="583"/>
      <c r="Z111" s="583"/>
      <c r="AA111" s="583"/>
      <c r="AB111" s="583"/>
      <c r="AC111" s="583"/>
      <c r="AD111" s="583"/>
      <c r="AE111" s="583"/>
      <c r="AF111" s="583"/>
      <c r="AG111" s="583"/>
      <c r="AH111" s="588"/>
      <c r="AI111" s="588"/>
      <c r="AJ111" s="588"/>
      <c r="AK111" s="583"/>
      <c r="AL111" s="583"/>
      <c r="AM111" s="583"/>
      <c r="AN111" s="583"/>
      <c r="AO111" s="583"/>
      <c r="AP111" s="583"/>
      <c r="AQ111" s="583"/>
      <c r="AR111" s="583"/>
      <c r="AS111" s="583"/>
      <c r="AT111" s="583"/>
    </row>
    <row r="112" spans="1:47" s="372" customFormat="1" ht="15" customHeight="1">
      <c r="B112" s="581"/>
      <c r="C112" s="585"/>
      <c r="D112" s="582"/>
      <c r="E112" s="586"/>
      <c r="F112" s="586"/>
      <c r="G112" s="586"/>
      <c r="H112" s="586"/>
      <c r="I112" s="586"/>
      <c r="J112" s="586"/>
      <c r="K112" s="586"/>
      <c r="L112" s="586"/>
      <c r="M112" s="586"/>
      <c r="N112" s="586"/>
      <c r="O112" s="586"/>
      <c r="P112" s="589"/>
      <c r="Q112" s="586"/>
      <c r="R112" s="586"/>
      <c r="AH112" s="593"/>
      <c r="AI112" s="593"/>
      <c r="AJ112" s="593"/>
    </row>
    <row r="113" spans="2:46" s="372" customFormat="1" ht="15" customHeight="1">
      <c r="B113" s="581"/>
      <c r="C113" s="581"/>
      <c r="D113" s="582"/>
      <c r="E113" s="586"/>
      <c r="F113" s="586"/>
      <c r="G113" s="586"/>
      <c r="H113" s="586"/>
      <c r="I113" s="586"/>
      <c r="J113" s="586"/>
      <c r="K113" s="586"/>
      <c r="L113" s="586"/>
      <c r="M113" s="586"/>
      <c r="N113" s="586"/>
      <c r="O113" s="586"/>
      <c r="P113" s="589"/>
      <c r="Q113" s="586"/>
      <c r="R113" s="586"/>
      <c r="AH113" s="593"/>
      <c r="AI113" s="593"/>
      <c r="AJ113" s="593"/>
      <c r="AK113" s="594"/>
      <c r="AL113" s="594"/>
      <c r="AM113" s="594"/>
      <c r="AN113" s="594"/>
      <c r="AO113" s="594"/>
      <c r="AP113" s="594"/>
      <c r="AQ113" s="594"/>
      <c r="AR113" s="594"/>
      <c r="AS113" s="594"/>
      <c r="AT113" s="594"/>
    </row>
    <row r="114" spans="2:46" s="372" customFormat="1" ht="15" customHeight="1">
      <c r="B114" s="581"/>
      <c r="C114" s="581"/>
      <c r="D114" s="582"/>
      <c r="E114" s="586"/>
      <c r="F114" s="586"/>
      <c r="G114" s="586"/>
      <c r="H114" s="586"/>
      <c r="I114" s="586"/>
      <c r="J114" s="586"/>
      <c r="K114" s="586"/>
      <c r="L114" s="586"/>
      <c r="M114" s="586"/>
      <c r="N114" s="586"/>
      <c r="O114" s="586"/>
      <c r="P114" s="589"/>
      <c r="Q114" s="586"/>
      <c r="R114" s="586"/>
      <c r="AH114" s="593"/>
      <c r="AI114" s="593"/>
      <c r="AJ114" s="593"/>
      <c r="AK114" s="594"/>
      <c r="AL114" s="594"/>
      <c r="AM114" s="594"/>
      <c r="AN114" s="594"/>
      <c r="AO114" s="594"/>
      <c r="AP114" s="594"/>
      <c r="AQ114" s="594"/>
      <c r="AR114" s="594"/>
      <c r="AS114" s="594"/>
      <c r="AT114" s="594"/>
    </row>
    <row r="115" spans="2:46" s="372" customFormat="1" ht="15" customHeight="1">
      <c r="B115" s="581"/>
      <c r="C115" s="581"/>
      <c r="D115" s="582"/>
      <c r="E115" s="586"/>
      <c r="F115" s="586"/>
      <c r="G115" s="586"/>
      <c r="H115" s="586"/>
      <c r="I115" s="586"/>
      <c r="J115" s="586"/>
      <c r="K115" s="586"/>
      <c r="L115" s="586"/>
      <c r="M115" s="586"/>
      <c r="N115" s="586"/>
      <c r="O115" s="586"/>
      <c r="P115" s="589"/>
      <c r="Q115" s="586"/>
      <c r="R115" s="586"/>
      <c r="AH115" s="593"/>
      <c r="AI115" s="593"/>
      <c r="AJ115" s="593"/>
    </row>
    <row r="116" spans="2:46" s="372" customFormat="1" ht="15" customHeight="1">
      <c r="B116" s="581"/>
      <c r="C116" s="581"/>
      <c r="D116" s="582"/>
      <c r="E116" s="586"/>
      <c r="F116" s="586"/>
      <c r="G116" s="586"/>
      <c r="H116" s="586"/>
      <c r="I116" s="586"/>
      <c r="J116" s="586"/>
      <c r="K116" s="586"/>
      <c r="L116" s="586"/>
      <c r="M116" s="586"/>
      <c r="N116" s="586"/>
      <c r="O116" s="586"/>
      <c r="P116" s="589"/>
      <c r="Q116" s="586"/>
      <c r="R116" s="586"/>
      <c r="AH116" s="593"/>
      <c r="AI116" s="593"/>
      <c r="AJ116" s="593"/>
    </row>
    <row r="117" spans="2:46" s="372" customFormat="1" ht="15" customHeight="1">
      <c r="B117" s="587"/>
      <c r="C117" s="581"/>
      <c r="D117" s="582"/>
      <c r="E117" s="586"/>
      <c r="F117" s="586"/>
      <c r="G117" s="586"/>
      <c r="H117" s="586"/>
      <c r="I117" s="586"/>
      <c r="J117" s="586"/>
      <c r="K117" s="586"/>
      <c r="L117" s="586"/>
      <c r="M117" s="586"/>
      <c r="N117" s="586"/>
      <c r="O117" s="586"/>
      <c r="P117" s="589"/>
      <c r="Q117" s="586"/>
      <c r="R117" s="586"/>
      <c r="AH117" s="593"/>
      <c r="AI117" s="593"/>
      <c r="AJ117" s="593"/>
    </row>
    <row r="118" spans="2:46" s="372" customFormat="1" ht="15" customHeight="1">
      <c r="B118" s="581"/>
      <c r="C118" s="581"/>
      <c r="D118" s="582"/>
      <c r="E118" s="586"/>
      <c r="F118" s="586"/>
      <c r="G118" s="586"/>
      <c r="H118" s="586"/>
      <c r="I118" s="586"/>
      <c r="J118" s="586"/>
      <c r="K118" s="586"/>
      <c r="L118" s="586"/>
      <c r="M118" s="586"/>
      <c r="N118" s="586"/>
      <c r="O118" s="586"/>
      <c r="P118" s="589"/>
      <c r="Q118" s="586"/>
      <c r="R118" s="586"/>
      <c r="AH118" s="593"/>
      <c r="AI118" s="593"/>
      <c r="AJ118" s="593"/>
    </row>
    <row r="119" spans="2:46" s="372" customFormat="1" ht="15" customHeight="1">
      <c r="B119" s="581"/>
      <c r="C119" s="581"/>
      <c r="D119" s="582"/>
      <c r="E119" s="586"/>
      <c r="F119" s="586"/>
      <c r="G119" s="586"/>
      <c r="H119" s="586"/>
      <c r="I119" s="586"/>
      <c r="J119" s="586"/>
      <c r="K119" s="586"/>
      <c r="L119" s="586"/>
      <c r="M119" s="586"/>
      <c r="N119" s="586"/>
      <c r="O119" s="586"/>
      <c r="P119" s="589"/>
      <c r="Q119" s="586"/>
      <c r="R119" s="586"/>
      <c r="AH119" s="593"/>
      <c r="AI119" s="593"/>
      <c r="AJ119" s="593"/>
    </row>
    <row r="120" spans="2:46" s="372" customFormat="1" ht="15" customHeight="1">
      <c r="B120" s="581"/>
      <c r="C120" s="581"/>
      <c r="D120" s="582"/>
      <c r="E120" s="586"/>
      <c r="F120" s="586"/>
      <c r="G120" s="586"/>
      <c r="H120" s="586"/>
      <c r="I120" s="586"/>
      <c r="J120" s="586"/>
      <c r="K120" s="586"/>
      <c r="L120" s="586"/>
      <c r="M120" s="586"/>
      <c r="N120" s="586"/>
      <c r="O120" s="586"/>
      <c r="P120" s="586"/>
      <c r="Q120" s="586"/>
      <c r="R120" s="586"/>
      <c r="AH120" s="593"/>
      <c r="AI120" s="593"/>
      <c r="AJ120" s="593"/>
    </row>
    <row r="121" spans="2:46" s="372" customFormat="1" ht="15" customHeight="1">
      <c r="B121" s="581"/>
      <c r="C121" s="581"/>
      <c r="D121" s="582"/>
      <c r="E121" s="586"/>
      <c r="F121" s="586"/>
      <c r="G121" s="586"/>
      <c r="H121" s="586"/>
      <c r="I121" s="586"/>
      <c r="J121" s="586"/>
      <c r="K121" s="586"/>
      <c r="L121" s="586"/>
      <c r="M121" s="586"/>
      <c r="N121" s="586"/>
      <c r="O121" s="586"/>
      <c r="P121" s="586"/>
      <c r="Q121" s="586"/>
      <c r="R121" s="586"/>
      <c r="AH121" s="593"/>
      <c r="AI121" s="593"/>
      <c r="AJ121" s="593"/>
    </row>
  </sheetData>
  <protectedRanges>
    <protectedRange sqref="AL40:AT41" name="区域5"/>
    <protectedRange sqref="AL37:AT37" name="区域3"/>
    <protectedRange sqref="AK18:AT19 AK37 AK40:AK41 AK59:AK60 AK68:AK72 AK79 AK84:AK85 AK88" name="区域1"/>
  </protectedRanges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127"/>
  <sheetViews>
    <sheetView showGridLines="0" showOutlineSymbols="0" workbookViewId="0">
      <pane xSplit="4" ySplit="4" topLeftCell="R5" activePane="bottomRight" state="frozen"/>
      <selection pane="topRight"/>
      <selection pane="bottomLeft"/>
      <selection pane="bottomRight" activeCell="Y2" sqref="Y2"/>
    </sheetView>
  </sheetViews>
  <sheetFormatPr defaultColWidth="9" defaultRowHeight="15" customHeight="1" outlineLevelRow="1" outlineLevelCol="1"/>
  <cols>
    <col min="1" max="1" width="3.625" style="97" customWidth="1"/>
    <col min="2" max="2" width="6.875" style="117" customWidth="1"/>
    <col min="3" max="3" width="12.75" style="117" customWidth="1"/>
    <col min="4" max="4" width="15.75" style="409" customWidth="1"/>
    <col min="5" max="16" width="15.625" style="96" hidden="1" customWidth="1" outlineLevel="1"/>
    <col min="17" max="17" width="15.625" style="96" hidden="1" customWidth="1" collapsed="1"/>
    <col min="18" max="20" width="15.625" style="96" hidden="1" customWidth="1" outlineLevel="1"/>
    <col min="21" max="21" width="15.625" style="96" customWidth="1" collapsed="1"/>
    <col min="22" max="24" width="15.625" style="96" hidden="1" customWidth="1" outlineLevel="1"/>
    <col min="25" max="25" width="15.625" style="96" customWidth="1" collapsed="1"/>
    <col min="26" max="28" width="15.625" style="96" hidden="1" customWidth="1" outlineLevel="1"/>
    <col min="29" max="29" width="15.625" style="96" customWidth="1" collapsed="1"/>
    <col min="30" max="32" width="15.625" style="96" hidden="1" customWidth="1" outlineLevel="1"/>
    <col min="33" max="33" width="15.625" style="96" customWidth="1" collapsed="1"/>
    <col min="34" max="36" width="15.625" style="96" hidden="1" customWidth="1"/>
    <col min="37" max="39" width="15.625" style="96" customWidth="1"/>
    <col min="40" max="46" width="13.75" style="96" hidden="1" customWidth="1"/>
    <col min="47" max="51" width="9" style="96" customWidth="1"/>
    <col min="52" max="52" width="11" style="96" customWidth="1"/>
    <col min="53" max="89" width="9" style="96" customWidth="1"/>
    <col min="90" max="16384" width="9" style="96"/>
  </cols>
  <sheetData>
    <row r="1" spans="1:46" ht="15" customHeight="1">
      <c r="O1" s="455"/>
      <c r="P1" s="455"/>
    </row>
    <row r="2" spans="1:46" s="396" customFormat="1" ht="15" customHeight="1">
      <c r="A2" s="410"/>
      <c r="B2" s="411" t="s">
        <v>46</v>
      </c>
      <c r="C2" s="411"/>
      <c r="D2" s="412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56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57"/>
      <c r="AL2" s="457"/>
      <c r="AM2" s="457"/>
      <c r="AN2" s="457"/>
      <c r="AO2" s="457"/>
      <c r="AP2" s="457"/>
      <c r="AQ2" s="457"/>
      <c r="AR2" s="457"/>
      <c r="AS2" s="457"/>
      <c r="AT2" s="457"/>
    </row>
    <row r="3" spans="1:46" ht="15" customHeight="1">
      <c r="B3" s="414" t="str">
        <f>财务基础数据!C4</f>
        <v>XXXX</v>
      </c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  <c r="AT3" s="387"/>
    </row>
    <row r="4" spans="1:46" s="387" customFormat="1" ht="15" customHeight="1">
      <c r="A4" s="117"/>
      <c r="B4" s="415" t="s">
        <v>101</v>
      </c>
      <c r="C4" s="416"/>
      <c r="D4" s="417"/>
      <c r="E4" s="418">
        <f>资产负债表!E4</f>
        <v>2016</v>
      </c>
      <c r="F4" s="418" t="str">
        <f>资产负债表!F4</f>
        <v>1Q17</v>
      </c>
      <c r="G4" s="418" t="str">
        <f>资产负债表!G4</f>
        <v>1H17</v>
      </c>
      <c r="H4" s="418" t="str">
        <f>资产负债表!H4</f>
        <v>3Q17</v>
      </c>
      <c r="I4" s="418">
        <f>资产负债表!I4</f>
        <v>2017</v>
      </c>
      <c r="J4" s="418" t="str">
        <f>资产负债表!J4</f>
        <v>1Q18</v>
      </c>
      <c r="K4" s="418" t="str">
        <f>资产负债表!K4</f>
        <v>1H18</v>
      </c>
      <c r="L4" s="418" t="str">
        <f>资产负债表!L4</f>
        <v>3Q18</v>
      </c>
      <c r="M4" s="418">
        <f>资产负债表!M4</f>
        <v>2018</v>
      </c>
      <c r="N4" s="418" t="str">
        <f>资产负债表!N4</f>
        <v>1Q19</v>
      </c>
      <c r="O4" s="418" t="str">
        <f>资产负债表!O4</f>
        <v>1H19</v>
      </c>
      <c r="P4" s="418" t="str">
        <f>资产负债表!P4</f>
        <v>3Q19</v>
      </c>
      <c r="Q4" s="418">
        <f>资产负债表!Q4</f>
        <v>2019</v>
      </c>
      <c r="R4" s="418" t="str">
        <f>资产负债表!R4</f>
        <v>1Q20</v>
      </c>
      <c r="S4" s="418" t="str">
        <f>资产负债表!S4</f>
        <v>1H20</v>
      </c>
      <c r="T4" s="418" t="str">
        <f>资产负债表!T4</f>
        <v>3Q20</v>
      </c>
      <c r="U4" s="418">
        <f>资产负债表!U4</f>
        <v>2020</v>
      </c>
      <c r="V4" s="418" t="str">
        <f>资产负债表!V4</f>
        <v>1Q21</v>
      </c>
      <c r="W4" s="418" t="str">
        <f>资产负债表!W4</f>
        <v>1H21</v>
      </c>
      <c r="X4" s="418" t="str">
        <f>资产负债表!X4</f>
        <v>3Q21</v>
      </c>
      <c r="Y4" s="418">
        <f>资产负债表!Y4</f>
        <v>2021</v>
      </c>
      <c r="Z4" s="418" t="str">
        <f>资产负债表!Z4</f>
        <v>1Q22</v>
      </c>
      <c r="AA4" s="418" t="str">
        <f>资产负债表!AA4</f>
        <v>1H22</v>
      </c>
      <c r="AB4" s="418" t="str">
        <f>资产负债表!AB4</f>
        <v>3Q22</v>
      </c>
      <c r="AC4" s="418">
        <f>资产负债表!AC4</f>
        <v>2022</v>
      </c>
      <c r="AD4" s="418" t="str">
        <f>资产负债表!AD4</f>
        <v>1Q23</v>
      </c>
      <c r="AE4" s="418" t="str">
        <f>资产负债表!AE4</f>
        <v>1H23</v>
      </c>
      <c r="AF4" s="418" t="str">
        <f>资产负债表!AF4</f>
        <v>3Q23</v>
      </c>
      <c r="AG4" s="418">
        <f>资产负债表!AG4</f>
        <v>2023</v>
      </c>
      <c r="AH4" s="418" t="str">
        <f>资产负债表!AH4</f>
        <v>1Q24</v>
      </c>
      <c r="AI4" s="418" t="str">
        <f>资产负债表!AI4</f>
        <v>1H24</v>
      </c>
      <c r="AJ4" s="418" t="str">
        <f>资产负债表!AJ4</f>
        <v>3Q24</v>
      </c>
      <c r="AK4" s="458" t="str">
        <f>资产负债表!AK4</f>
        <v>2024E</v>
      </c>
      <c r="AL4" s="459">
        <f>资产负债表!AL4</f>
        <v>2025</v>
      </c>
      <c r="AM4" s="459">
        <f>资产负债表!AM4</f>
        <v>2026</v>
      </c>
      <c r="AN4" s="459">
        <f>资产负债表!AN4</f>
        <v>2027</v>
      </c>
      <c r="AO4" s="459">
        <f>资产负债表!AO4</f>
        <v>2028</v>
      </c>
      <c r="AP4" s="459">
        <f>资产负债表!AP4</f>
        <v>2029</v>
      </c>
      <c r="AQ4" s="459">
        <f>资产负债表!AQ4</f>
        <v>2030</v>
      </c>
      <c r="AR4" s="459">
        <f>资产负债表!AR4</f>
        <v>2031</v>
      </c>
      <c r="AS4" s="459">
        <f>资产负债表!AS4</f>
        <v>2032</v>
      </c>
      <c r="AT4" s="459">
        <f>资产负债表!AT4</f>
        <v>2033</v>
      </c>
    </row>
    <row r="5" spans="1:46" ht="15" customHeight="1">
      <c r="B5" s="117" t="str">
        <f>"单位：人民币"&amp;目录!D5</f>
        <v>单位：人民币百万元</v>
      </c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</row>
    <row r="6" spans="1:46" s="30" customFormat="1" ht="15" customHeight="1">
      <c r="A6" s="150"/>
      <c r="B6" s="112" t="s">
        <v>71</v>
      </c>
      <c r="C6" s="130"/>
      <c r="D6" s="419"/>
      <c r="E6" s="118">
        <f>财务基础数据!J6*目录!$D$6</f>
        <v>0</v>
      </c>
      <c r="F6" s="118">
        <f>财务基础数据!K6*目录!$D$6</f>
        <v>0</v>
      </c>
      <c r="G6" s="118">
        <f>财务基础数据!L6*目录!$D$6</f>
        <v>0</v>
      </c>
      <c r="H6" s="118">
        <f>财务基础数据!M6*目录!$D$6</f>
        <v>0</v>
      </c>
      <c r="I6" s="118">
        <f>财务基础数据!N6*目录!$D$6</f>
        <v>0</v>
      </c>
      <c r="J6" s="118">
        <f>财务基础数据!O6*目录!$D$6</f>
        <v>0</v>
      </c>
      <c r="K6" s="118">
        <f>财务基础数据!P6*目录!$D$6</f>
        <v>0</v>
      </c>
      <c r="L6" s="118">
        <f>财务基础数据!Q6*目录!$D$6</f>
        <v>0</v>
      </c>
      <c r="M6" s="118">
        <f>财务基础数据!R6*目录!$D$6</f>
        <v>0</v>
      </c>
      <c r="N6" s="118">
        <f>财务基础数据!S6*目录!$D$6</f>
        <v>0</v>
      </c>
      <c r="O6" s="118">
        <f>财务基础数据!T6*目录!$D$6</f>
        <v>0</v>
      </c>
      <c r="P6" s="118">
        <f>财务基础数据!U6*目录!$D$6</f>
        <v>0</v>
      </c>
      <c r="Q6" s="118">
        <f>财务基础数据!V6*目录!$D$6</f>
        <v>0</v>
      </c>
      <c r="R6" s="118">
        <f>财务基础数据!W6*目录!$D$6</f>
        <v>0</v>
      </c>
      <c r="S6" s="118">
        <f>财务基础数据!X6*目录!$D$6</f>
        <v>0</v>
      </c>
      <c r="T6" s="118">
        <f>财务基础数据!Y6*目录!$D$6</f>
        <v>0</v>
      </c>
      <c r="U6" s="118">
        <f>财务基础数据!Z6*目录!$D$6</f>
        <v>0</v>
      </c>
      <c r="V6" s="118">
        <f>财务基础数据!AA6*目录!$D$6</f>
        <v>0</v>
      </c>
      <c r="W6" s="118">
        <f>财务基础数据!AB6*目录!$D$6</f>
        <v>0</v>
      </c>
      <c r="X6" s="118">
        <f>财务基础数据!AC6*目录!$D$6</f>
        <v>0</v>
      </c>
      <c r="Y6" s="118">
        <f>财务基础数据!AD6*目录!$D$6</f>
        <v>0</v>
      </c>
      <c r="Z6" s="118">
        <f>财务基础数据!AE6*目录!$D$6</f>
        <v>0</v>
      </c>
      <c r="AA6" s="118">
        <f>财务基础数据!AF6*目录!$D$6</f>
        <v>0</v>
      </c>
      <c r="AB6" s="118">
        <f>财务基础数据!AG6*目录!$D$6</f>
        <v>0</v>
      </c>
      <c r="AC6" s="118">
        <f>财务基础数据!AH6*目录!$D$6</f>
        <v>0</v>
      </c>
      <c r="AD6" s="118">
        <f>财务基础数据!AI6*目录!$D$6</f>
        <v>0</v>
      </c>
      <c r="AE6" s="118">
        <f>财务基础数据!AJ6*目录!$D$6</f>
        <v>0</v>
      </c>
      <c r="AF6" s="118">
        <f>财务基础数据!AK6*目录!$D$6</f>
        <v>0</v>
      </c>
      <c r="AG6" s="118">
        <f>财务基础数据!AL6*目录!$D$6</f>
        <v>0</v>
      </c>
      <c r="AH6" s="118">
        <f>财务基础数据!AM6*目录!$D$6</f>
        <v>0</v>
      </c>
      <c r="AI6" s="118">
        <f>财务基础数据!AN6*目录!$D$6</f>
        <v>0</v>
      </c>
      <c r="AJ6" s="118">
        <f>财务基础数据!AO6*目录!$D$6</f>
        <v>0</v>
      </c>
      <c r="AK6" s="118">
        <f>AK8+AK10</f>
        <v>0</v>
      </c>
      <c r="AL6" s="118">
        <f t="shared" ref="AL6:AT6" si="0">AL8+AL10</f>
        <v>0</v>
      </c>
      <c r="AM6" s="118">
        <f t="shared" si="0"/>
        <v>0</v>
      </c>
      <c r="AN6" s="118">
        <f t="shared" si="0"/>
        <v>0</v>
      </c>
      <c r="AO6" s="118">
        <f t="shared" si="0"/>
        <v>0</v>
      </c>
      <c r="AP6" s="118">
        <f t="shared" si="0"/>
        <v>0</v>
      </c>
      <c r="AQ6" s="118">
        <f t="shared" si="0"/>
        <v>0</v>
      </c>
      <c r="AR6" s="118">
        <f t="shared" si="0"/>
        <v>0</v>
      </c>
      <c r="AS6" s="118">
        <f t="shared" si="0"/>
        <v>0</v>
      </c>
      <c r="AT6" s="118">
        <f t="shared" si="0"/>
        <v>0</v>
      </c>
    </row>
    <row r="7" spans="1:46" s="397" customFormat="1" ht="15" customHeight="1" outlineLevel="1">
      <c r="A7" s="420"/>
      <c r="B7" s="421"/>
      <c r="C7" s="422" t="s">
        <v>442</v>
      </c>
      <c r="D7" s="423"/>
      <c r="E7" s="424"/>
      <c r="F7" s="424"/>
      <c r="G7" s="424"/>
      <c r="H7" s="424"/>
      <c r="I7" s="424" t="str">
        <f>IF(ISERROR((I6-E6)/ABS(E6)),"—",(I6-E6)/ABS(E6))</f>
        <v>—</v>
      </c>
      <c r="J7" s="424" t="str">
        <f t="shared" ref="J7:AK7" si="1">IF(ISERROR((J6-F6)/ABS(F6)),"—",(J6-F6)/ABS(F6))</f>
        <v>—</v>
      </c>
      <c r="K7" s="424" t="str">
        <f t="shared" si="1"/>
        <v>—</v>
      </c>
      <c r="L7" s="424" t="str">
        <f t="shared" si="1"/>
        <v>—</v>
      </c>
      <c r="M7" s="424" t="str">
        <f t="shared" si="1"/>
        <v>—</v>
      </c>
      <c r="N7" s="424" t="str">
        <f t="shared" si="1"/>
        <v>—</v>
      </c>
      <c r="O7" s="424" t="str">
        <f t="shared" si="1"/>
        <v>—</v>
      </c>
      <c r="P7" s="424" t="str">
        <f t="shared" si="1"/>
        <v>—</v>
      </c>
      <c r="Q7" s="424" t="str">
        <f t="shared" si="1"/>
        <v>—</v>
      </c>
      <c r="R7" s="424" t="str">
        <f t="shared" si="1"/>
        <v>—</v>
      </c>
      <c r="S7" s="424" t="str">
        <f t="shared" si="1"/>
        <v>—</v>
      </c>
      <c r="T7" s="424" t="str">
        <f t="shared" si="1"/>
        <v>—</v>
      </c>
      <c r="U7" s="424" t="str">
        <f t="shared" si="1"/>
        <v>—</v>
      </c>
      <c r="V7" s="424" t="str">
        <f t="shared" si="1"/>
        <v>—</v>
      </c>
      <c r="W7" s="424" t="str">
        <f t="shared" si="1"/>
        <v>—</v>
      </c>
      <c r="X7" s="424" t="str">
        <f t="shared" si="1"/>
        <v>—</v>
      </c>
      <c r="Y7" s="424" t="str">
        <f t="shared" si="1"/>
        <v>—</v>
      </c>
      <c r="Z7" s="424" t="str">
        <f t="shared" si="1"/>
        <v>—</v>
      </c>
      <c r="AA7" s="424" t="str">
        <f t="shared" si="1"/>
        <v>—</v>
      </c>
      <c r="AB7" s="424" t="str">
        <f t="shared" si="1"/>
        <v>—</v>
      </c>
      <c r="AC7" s="424" t="str">
        <f t="shared" si="1"/>
        <v>—</v>
      </c>
      <c r="AD7" s="424" t="str">
        <f t="shared" si="1"/>
        <v>—</v>
      </c>
      <c r="AE7" s="424" t="str">
        <f t="shared" si="1"/>
        <v>—</v>
      </c>
      <c r="AF7" s="424" t="str">
        <f t="shared" si="1"/>
        <v>—</v>
      </c>
      <c r="AG7" s="424" t="str">
        <f t="shared" si="1"/>
        <v>—</v>
      </c>
      <c r="AH7" s="424" t="str">
        <f t="shared" si="1"/>
        <v>—</v>
      </c>
      <c r="AI7" s="424" t="str">
        <f t="shared" si="1"/>
        <v>—</v>
      </c>
      <c r="AJ7" s="424" t="str">
        <f t="shared" si="1"/>
        <v>—</v>
      </c>
      <c r="AK7" s="424" t="str">
        <f t="shared" si="1"/>
        <v>—</v>
      </c>
      <c r="AL7" s="424" t="str">
        <f t="shared" ref="AL7:AT7" si="2">IF(ISERROR((AL6-AK6)/ABS(AK6)),"—",(AL6-AK6)/ABS(AK6))</f>
        <v>—</v>
      </c>
      <c r="AM7" s="424" t="str">
        <f t="shared" si="2"/>
        <v>—</v>
      </c>
      <c r="AN7" s="424" t="str">
        <f t="shared" si="2"/>
        <v>—</v>
      </c>
      <c r="AO7" s="424" t="str">
        <f t="shared" si="2"/>
        <v>—</v>
      </c>
      <c r="AP7" s="424" t="str">
        <f t="shared" si="2"/>
        <v>—</v>
      </c>
      <c r="AQ7" s="424" t="str">
        <f t="shared" si="2"/>
        <v>—</v>
      </c>
      <c r="AR7" s="424" t="str">
        <f t="shared" si="2"/>
        <v>—</v>
      </c>
      <c r="AS7" s="424" t="str">
        <f t="shared" si="2"/>
        <v>—</v>
      </c>
      <c r="AT7" s="424" t="str">
        <f t="shared" si="2"/>
        <v>—</v>
      </c>
    </row>
    <row r="8" spans="1:46" ht="15" customHeight="1" outlineLevel="1">
      <c r="B8" s="117" t="s">
        <v>443</v>
      </c>
      <c r="C8" s="425"/>
      <c r="E8" s="188">
        <f>财务基础数据!J7*目录!$D$6</f>
        <v>0</v>
      </c>
      <c r="F8" s="188">
        <f>财务基础数据!K7*目录!$D$6</f>
        <v>0</v>
      </c>
      <c r="G8" s="188">
        <f>财务基础数据!L7*目录!$D$6</f>
        <v>0</v>
      </c>
      <c r="H8" s="188">
        <f>财务基础数据!M7*目录!$D$6</f>
        <v>0</v>
      </c>
      <c r="I8" s="188">
        <f>财务基础数据!N7*目录!$D$6</f>
        <v>0</v>
      </c>
      <c r="J8" s="188">
        <f>财务基础数据!O7*目录!$D$6</f>
        <v>0</v>
      </c>
      <c r="K8" s="188">
        <f>财务基础数据!P7*目录!$D$6</f>
        <v>0</v>
      </c>
      <c r="L8" s="188">
        <f>财务基础数据!Q7*目录!$D$6</f>
        <v>0</v>
      </c>
      <c r="M8" s="188">
        <f>财务基础数据!R7*目录!$D$6</f>
        <v>0</v>
      </c>
      <c r="N8" s="188">
        <f>财务基础数据!S7*目录!$D$6</f>
        <v>0</v>
      </c>
      <c r="O8" s="188">
        <f>财务基础数据!T7*目录!$D$6</f>
        <v>0</v>
      </c>
      <c r="P8" s="188">
        <f>财务基础数据!U7*目录!$D$6</f>
        <v>0</v>
      </c>
      <c r="Q8" s="188">
        <f>财务基础数据!V7*目录!$D$6</f>
        <v>0</v>
      </c>
      <c r="R8" s="188">
        <f>财务基础数据!W7*目录!$D$6</f>
        <v>0</v>
      </c>
      <c r="S8" s="188">
        <f>财务基础数据!X7*目录!$D$6</f>
        <v>0</v>
      </c>
      <c r="T8" s="188">
        <f>财务基础数据!Y7*目录!$D$6</f>
        <v>0</v>
      </c>
      <c r="U8" s="188">
        <f>财务基础数据!Z7*目录!$D$6</f>
        <v>0</v>
      </c>
      <c r="V8" s="188">
        <f>财务基础数据!AA7*目录!$D$6</f>
        <v>0</v>
      </c>
      <c r="W8" s="188">
        <f>财务基础数据!AB7*目录!$D$6</f>
        <v>0</v>
      </c>
      <c r="X8" s="188">
        <f>财务基础数据!AC7*目录!$D$6</f>
        <v>0</v>
      </c>
      <c r="Y8" s="188">
        <f>财务基础数据!AD7*目录!$D$6</f>
        <v>0</v>
      </c>
      <c r="Z8" s="188">
        <f>财务基础数据!AE7*目录!$D$6</f>
        <v>0</v>
      </c>
      <c r="AA8" s="188">
        <f>财务基础数据!AF7*目录!$D$6</f>
        <v>0</v>
      </c>
      <c r="AB8" s="188">
        <f>财务基础数据!AG7*目录!$D$6</f>
        <v>0</v>
      </c>
      <c r="AC8" s="188">
        <f>财务基础数据!AH7*目录!$D$6</f>
        <v>0</v>
      </c>
      <c r="AD8" s="188">
        <f>财务基础数据!AI7*目录!$D$6</f>
        <v>0</v>
      </c>
      <c r="AE8" s="188">
        <f>财务基础数据!AJ7*目录!$D$6</f>
        <v>0</v>
      </c>
      <c r="AF8" s="188">
        <f>财务基础数据!AK7*目录!$D$6</f>
        <v>0</v>
      </c>
      <c r="AG8" s="188">
        <f>财务基础数据!AL7*目录!$D$6</f>
        <v>0</v>
      </c>
      <c r="AH8" s="188">
        <f>财务基础数据!AM7*目录!$D$6</f>
        <v>0</v>
      </c>
      <c r="AI8" s="188">
        <f>财务基础数据!AN7*目录!$D$6</f>
        <v>0</v>
      </c>
      <c r="AJ8" s="188">
        <f>财务基础数据!AO7*目录!$D$6</f>
        <v>0</v>
      </c>
      <c r="AK8" s="118">
        <f>IF(COUNT(销售预测!AL6:AO6)=4,SUM(销售预测!AL6:AO6),销售预测!L6)</f>
        <v>0</v>
      </c>
      <c r="AL8" s="118">
        <f>IF(COUNT(销售预测!AP6:AS6)=4,SUM(销售预测!AP6:AS6),销售预测!M6)</f>
        <v>0</v>
      </c>
      <c r="AM8" s="118">
        <f>IF(COUNT(销售预测!AT6:AW6)=4,SUM(销售预测!AT6:AW6),销售预测!N6)</f>
        <v>0</v>
      </c>
      <c r="AN8" s="188">
        <f>IF(ISERROR(销售预测!O6),"—",销售预测!O6)</f>
        <v>0</v>
      </c>
      <c r="AO8" s="188">
        <f>IF(ISERROR(销售预测!P6),"—",销售预测!P6)</f>
        <v>0</v>
      </c>
      <c r="AP8" s="188">
        <f>IF(ISERROR(销售预测!Q6),"—",销售预测!Q6)</f>
        <v>0</v>
      </c>
      <c r="AQ8" s="188">
        <f>IF(ISERROR(销售预测!R6),"—",销售预测!R6)</f>
        <v>0</v>
      </c>
      <c r="AR8" s="188">
        <f>IF(ISERROR(销售预测!S6),"—",销售预测!S6)</f>
        <v>0</v>
      </c>
      <c r="AS8" s="188">
        <f>IF(ISERROR(销售预测!T6),"—",销售预测!T6)</f>
        <v>0</v>
      </c>
      <c r="AT8" s="188">
        <f>IF(ISERROR(销售预测!U6),"—",销售预测!U6)</f>
        <v>0</v>
      </c>
    </row>
    <row r="9" spans="1:46" ht="15" customHeight="1" outlineLevel="1">
      <c r="C9" s="422" t="s">
        <v>442</v>
      </c>
      <c r="E9" s="188"/>
      <c r="F9" s="188"/>
      <c r="G9" s="188"/>
      <c r="H9" s="188"/>
      <c r="I9" s="424" t="str">
        <f t="shared" ref="I9:AK9" si="3">IF(ISERROR((I8-E8)/ABS(E8)),"—",(I8-E8)/ABS(E8))</f>
        <v>—</v>
      </c>
      <c r="J9" s="424" t="str">
        <f t="shared" si="3"/>
        <v>—</v>
      </c>
      <c r="K9" s="424" t="str">
        <f t="shared" si="3"/>
        <v>—</v>
      </c>
      <c r="L9" s="424" t="str">
        <f t="shared" si="3"/>
        <v>—</v>
      </c>
      <c r="M9" s="424" t="str">
        <f t="shared" si="3"/>
        <v>—</v>
      </c>
      <c r="N9" s="424" t="str">
        <f t="shared" si="3"/>
        <v>—</v>
      </c>
      <c r="O9" s="424" t="str">
        <f t="shared" si="3"/>
        <v>—</v>
      </c>
      <c r="P9" s="424" t="str">
        <f t="shared" si="3"/>
        <v>—</v>
      </c>
      <c r="Q9" s="424" t="str">
        <f t="shared" si="3"/>
        <v>—</v>
      </c>
      <c r="R9" s="424" t="str">
        <f t="shared" si="3"/>
        <v>—</v>
      </c>
      <c r="S9" s="424" t="str">
        <f t="shared" si="3"/>
        <v>—</v>
      </c>
      <c r="T9" s="424" t="str">
        <f t="shared" si="3"/>
        <v>—</v>
      </c>
      <c r="U9" s="424" t="str">
        <f t="shared" si="3"/>
        <v>—</v>
      </c>
      <c r="V9" s="424" t="str">
        <f t="shared" si="3"/>
        <v>—</v>
      </c>
      <c r="W9" s="424" t="str">
        <f t="shared" si="3"/>
        <v>—</v>
      </c>
      <c r="X9" s="424" t="str">
        <f t="shared" si="3"/>
        <v>—</v>
      </c>
      <c r="Y9" s="424" t="str">
        <f t="shared" si="3"/>
        <v>—</v>
      </c>
      <c r="Z9" s="424" t="str">
        <f t="shared" si="3"/>
        <v>—</v>
      </c>
      <c r="AA9" s="424" t="str">
        <f t="shared" si="3"/>
        <v>—</v>
      </c>
      <c r="AB9" s="424" t="str">
        <f t="shared" si="3"/>
        <v>—</v>
      </c>
      <c r="AC9" s="424" t="str">
        <f t="shared" si="3"/>
        <v>—</v>
      </c>
      <c r="AD9" s="424" t="str">
        <f t="shared" si="3"/>
        <v>—</v>
      </c>
      <c r="AE9" s="424" t="str">
        <f t="shared" si="3"/>
        <v>—</v>
      </c>
      <c r="AF9" s="424" t="str">
        <f t="shared" si="3"/>
        <v>—</v>
      </c>
      <c r="AG9" s="424" t="str">
        <f t="shared" si="3"/>
        <v>—</v>
      </c>
      <c r="AH9" s="424" t="str">
        <f t="shared" si="3"/>
        <v>—</v>
      </c>
      <c r="AI9" s="424" t="str">
        <f t="shared" si="3"/>
        <v>—</v>
      </c>
      <c r="AJ9" s="424" t="str">
        <f t="shared" si="3"/>
        <v>—</v>
      </c>
      <c r="AK9" s="424" t="str">
        <f t="shared" si="3"/>
        <v>—</v>
      </c>
      <c r="AL9" s="424" t="str">
        <f>IF(ISERROR((AL8-AK8)/ABS(AK8)),"—",(AL8-AK8)/ABS(AK8))</f>
        <v>—</v>
      </c>
      <c r="AM9" s="424" t="str">
        <f t="shared" ref="AM9:AT9" si="4">IF(ISERROR((AM8-AL8)/ABS(AL8)),"—",(AM8-AL8)/ABS(AL8))</f>
        <v>—</v>
      </c>
      <c r="AN9" s="424" t="str">
        <f t="shared" si="4"/>
        <v>—</v>
      </c>
      <c r="AO9" s="424" t="str">
        <f t="shared" si="4"/>
        <v>—</v>
      </c>
      <c r="AP9" s="424" t="str">
        <f t="shared" si="4"/>
        <v>—</v>
      </c>
      <c r="AQ9" s="424" t="str">
        <f t="shared" si="4"/>
        <v>—</v>
      </c>
      <c r="AR9" s="424" t="str">
        <f t="shared" si="4"/>
        <v>—</v>
      </c>
      <c r="AS9" s="424" t="str">
        <f t="shared" si="4"/>
        <v>—</v>
      </c>
      <c r="AT9" s="424" t="str">
        <f t="shared" si="4"/>
        <v>—</v>
      </c>
    </row>
    <row r="10" spans="1:46" s="398" customFormat="1" ht="15" customHeight="1" outlineLevel="1">
      <c r="A10" s="426"/>
      <c r="B10" s="125" t="s">
        <v>444</v>
      </c>
      <c r="C10" s="427"/>
      <c r="D10" s="428"/>
      <c r="E10" s="188">
        <f>财务基础数据!J8*目录!$D$6</f>
        <v>0</v>
      </c>
      <c r="F10" s="188">
        <f>财务基础数据!K8*目录!$D$6</f>
        <v>0</v>
      </c>
      <c r="G10" s="188">
        <f>财务基础数据!L8*目录!$D$6</f>
        <v>0</v>
      </c>
      <c r="H10" s="188">
        <f>财务基础数据!M8*目录!$D$6</f>
        <v>0</v>
      </c>
      <c r="I10" s="188">
        <f>财务基础数据!N8*目录!$D$6</f>
        <v>0</v>
      </c>
      <c r="J10" s="188">
        <f>财务基础数据!O8*目录!$D$6</f>
        <v>0</v>
      </c>
      <c r="K10" s="188">
        <f>财务基础数据!P8*目录!$D$6</f>
        <v>0</v>
      </c>
      <c r="L10" s="188">
        <f>财务基础数据!Q8*目录!$D$6</f>
        <v>0</v>
      </c>
      <c r="M10" s="188">
        <f>财务基础数据!R8*目录!$D$6</f>
        <v>0</v>
      </c>
      <c r="N10" s="188">
        <f>财务基础数据!S8*目录!$D$6</f>
        <v>0</v>
      </c>
      <c r="O10" s="188">
        <f>财务基础数据!T8*目录!$D$6</f>
        <v>0</v>
      </c>
      <c r="P10" s="188">
        <f>财务基础数据!U8*目录!$D$6</f>
        <v>0</v>
      </c>
      <c r="Q10" s="188">
        <f>财务基础数据!V8*目录!$D$6</f>
        <v>0</v>
      </c>
      <c r="R10" s="188">
        <f>财务基础数据!W8*目录!$D$6</f>
        <v>0</v>
      </c>
      <c r="S10" s="188">
        <f>财务基础数据!X8*目录!$D$6</f>
        <v>0</v>
      </c>
      <c r="T10" s="188">
        <f>财务基础数据!Y8*目录!$D$6</f>
        <v>0</v>
      </c>
      <c r="U10" s="188">
        <f>财务基础数据!Z8*目录!$D$6</f>
        <v>0</v>
      </c>
      <c r="V10" s="188">
        <f>财务基础数据!AA8*目录!$D$6</f>
        <v>0</v>
      </c>
      <c r="W10" s="188">
        <f>财务基础数据!AB8*目录!$D$6</f>
        <v>0</v>
      </c>
      <c r="X10" s="188">
        <f>财务基础数据!AC8*目录!$D$6</f>
        <v>0</v>
      </c>
      <c r="Y10" s="188">
        <f>财务基础数据!AD8*目录!$D$6</f>
        <v>0</v>
      </c>
      <c r="Z10" s="188">
        <f>财务基础数据!AE8*目录!$D$6</f>
        <v>0</v>
      </c>
      <c r="AA10" s="188">
        <f>财务基础数据!AF8*目录!$D$6</f>
        <v>0</v>
      </c>
      <c r="AB10" s="188">
        <f>财务基础数据!AG8*目录!$D$6</f>
        <v>0</v>
      </c>
      <c r="AC10" s="188">
        <f>财务基础数据!AH8*目录!$D$6</f>
        <v>0</v>
      </c>
      <c r="AD10" s="188">
        <f>财务基础数据!AI8*目录!$D$6</f>
        <v>0</v>
      </c>
      <c r="AE10" s="188">
        <f>财务基础数据!AJ8*目录!$D$6</f>
        <v>0</v>
      </c>
      <c r="AF10" s="188">
        <f>财务基础数据!AK8*目录!$D$6</f>
        <v>0</v>
      </c>
      <c r="AG10" s="188">
        <f>财务基础数据!AL8*目录!$D$6</f>
        <v>0</v>
      </c>
      <c r="AH10" s="188">
        <f>财务基础数据!AM8*目录!$D$6</f>
        <v>0</v>
      </c>
      <c r="AI10" s="188">
        <f>财务基础数据!AN8*目录!$D$6</f>
        <v>0</v>
      </c>
      <c r="AJ10" s="188">
        <f>财务基础数据!AO8*目录!$D$6</f>
        <v>0</v>
      </c>
      <c r="AK10" s="118">
        <f>IF(COUNT(销售预测!AL8:AO8)=4,SUM(销售预测!AL8:AO8),销售预测!L8)</f>
        <v>0</v>
      </c>
      <c r="AL10" s="118">
        <f>IF(COUNT(销售预测!AP8:AS8)=4,SUM(销售预测!AP8:AS8),销售预测!M8)</f>
        <v>0</v>
      </c>
      <c r="AM10" s="118">
        <f>IF(COUNT(销售预测!AT8:AW8)=4,SUM(销售预测!AT8:AW8),销售预测!N8)</f>
        <v>0</v>
      </c>
      <c r="AN10" s="188">
        <f>IF(ISERROR(销售预测!O8),"—",销售预测!O8)</f>
        <v>0</v>
      </c>
      <c r="AO10" s="188">
        <f>IF(ISERROR(销售预测!P8),"—",销售预测!P8)</f>
        <v>0</v>
      </c>
      <c r="AP10" s="188">
        <f>IF(ISERROR(销售预测!Q8),"—",销售预测!Q8)</f>
        <v>0</v>
      </c>
      <c r="AQ10" s="188">
        <f>IF(ISERROR(销售预测!R8),"—",销售预测!R8)</f>
        <v>0</v>
      </c>
      <c r="AR10" s="188">
        <f>IF(ISERROR(销售预测!S8),"—",销售预测!S8)</f>
        <v>0</v>
      </c>
      <c r="AS10" s="188">
        <f>IF(ISERROR(销售预测!T8),"—",销售预测!T8)</f>
        <v>0</v>
      </c>
      <c r="AT10" s="188">
        <f>IF(ISERROR(销售预测!U8),"—",销售预测!U8)</f>
        <v>0</v>
      </c>
    </row>
    <row r="11" spans="1:46" ht="15" customHeight="1" outlineLevel="1">
      <c r="C11" s="422" t="s">
        <v>442</v>
      </c>
      <c r="E11" s="188"/>
      <c r="F11" s="429"/>
      <c r="G11" s="188"/>
      <c r="H11" s="429"/>
      <c r="I11" s="424" t="str">
        <f>IF(ISERROR((I10-E10)/ABS(E10)),"—",(I10-E10)/ABS(E10))</f>
        <v>—</v>
      </c>
      <c r="J11" s="424" t="str">
        <f t="shared" ref="J11:AK11" si="5">IF(ISERROR((J10-F10)/ABS(F10)),"—",(J10-F10)/ABS(F10))</f>
        <v>—</v>
      </c>
      <c r="K11" s="424" t="str">
        <f t="shared" si="5"/>
        <v>—</v>
      </c>
      <c r="L11" s="424" t="str">
        <f t="shared" si="5"/>
        <v>—</v>
      </c>
      <c r="M11" s="424" t="str">
        <f t="shared" si="5"/>
        <v>—</v>
      </c>
      <c r="N11" s="424" t="str">
        <f t="shared" si="5"/>
        <v>—</v>
      </c>
      <c r="O11" s="424" t="str">
        <f t="shared" si="5"/>
        <v>—</v>
      </c>
      <c r="P11" s="424" t="str">
        <f t="shared" si="5"/>
        <v>—</v>
      </c>
      <c r="Q11" s="424" t="str">
        <f t="shared" si="5"/>
        <v>—</v>
      </c>
      <c r="R11" s="424" t="str">
        <f t="shared" si="5"/>
        <v>—</v>
      </c>
      <c r="S11" s="424" t="str">
        <f t="shared" si="5"/>
        <v>—</v>
      </c>
      <c r="T11" s="424" t="str">
        <f t="shared" si="5"/>
        <v>—</v>
      </c>
      <c r="U11" s="424" t="str">
        <f t="shared" si="5"/>
        <v>—</v>
      </c>
      <c r="V11" s="424" t="str">
        <f t="shared" si="5"/>
        <v>—</v>
      </c>
      <c r="W11" s="424" t="str">
        <f t="shared" si="5"/>
        <v>—</v>
      </c>
      <c r="X11" s="424" t="str">
        <f t="shared" si="5"/>
        <v>—</v>
      </c>
      <c r="Y11" s="424" t="str">
        <f t="shared" si="5"/>
        <v>—</v>
      </c>
      <c r="Z11" s="424" t="str">
        <f t="shared" si="5"/>
        <v>—</v>
      </c>
      <c r="AA11" s="424" t="str">
        <f t="shared" si="5"/>
        <v>—</v>
      </c>
      <c r="AB11" s="424" t="str">
        <f t="shared" si="5"/>
        <v>—</v>
      </c>
      <c r="AC11" s="424" t="str">
        <f t="shared" si="5"/>
        <v>—</v>
      </c>
      <c r="AD11" s="424" t="str">
        <f t="shared" si="5"/>
        <v>—</v>
      </c>
      <c r="AE11" s="424" t="str">
        <f t="shared" si="5"/>
        <v>—</v>
      </c>
      <c r="AF11" s="424" t="str">
        <f t="shared" si="5"/>
        <v>—</v>
      </c>
      <c r="AG11" s="424" t="str">
        <f t="shared" si="5"/>
        <v>—</v>
      </c>
      <c r="AH11" s="424" t="str">
        <f t="shared" si="5"/>
        <v>—</v>
      </c>
      <c r="AI11" s="424" t="str">
        <f t="shared" si="5"/>
        <v>—</v>
      </c>
      <c r="AJ11" s="424" t="str">
        <f t="shared" si="5"/>
        <v>—</v>
      </c>
      <c r="AK11" s="424" t="str">
        <f t="shared" si="5"/>
        <v>—</v>
      </c>
      <c r="AL11" s="424" t="str">
        <f>IF(ISERROR((AL10-AK10)/ABS(AK10)),"—",(AL10-AK10)/ABS(AK10))</f>
        <v>—</v>
      </c>
      <c r="AM11" s="424" t="str">
        <f t="shared" ref="AM11:AT11" si="6">IF(ISERROR((AM10-AL10)/ABS(AL10)),"—",(AM10-AL10)/ABS(AL10))</f>
        <v>—</v>
      </c>
      <c r="AN11" s="424" t="str">
        <f t="shared" si="6"/>
        <v>—</v>
      </c>
      <c r="AO11" s="424" t="str">
        <f t="shared" si="6"/>
        <v>—</v>
      </c>
      <c r="AP11" s="424" t="str">
        <f t="shared" si="6"/>
        <v>—</v>
      </c>
      <c r="AQ11" s="424" t="str">
        <f t="shared" si="6"/>
        <v>—</v>
      </c>
      <c r="AR11" s="424" t="str">
        <f t="shared" si="6"/>
        <v>—</v>
      </c>
      <c r="AS11" s="424" t="str">
        <f t="shared" si="6"/>
        <v>—</v>
      </c>
      <c r="AT11" s="424" t="str">
        <f t="shared" si="6"/>
        <v>—</v>
      </c>
    </row>
    <row r="12" spans="1:46" ht="15" customHeight="1" outlineLevel="1">
      <c r="C12" s="422"/>
      <c r="E12" s="188"/>
      <c r="F12" s="429"/>
      <c r="G12" s="188"/>
      <c r="H12" s="429"/>
      <c r="I12" s="188"/>
      <c r="J12" s="429"/>
      <c r="K12" s="188"/>
      <c r="L12" s="429"/>
      <c r="M12" s="188"/>
      <c r="N12" s="429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429"/>
      <c r="AM12" s="429"/>
      <c r="AN12" s="188"/>
      <c r="AO12" s="188"/>
      <c r="AP12" s="188"/>
      <c r="AQ12" s="188"/>
      <c r="AR12" s="188"/>
      <c r="AS12" s="188"/>
      <c r="AT12" s="188"/>
    </row>
    <row r="13" spans="1:46" s="30" customFormat="1" ht="15" customHeight="1" outlineLevel="1">
      <c r="A13" s="150"/>
      <c r="B13" s="112" t="s">
        <v>445</v>
      </c>
      <c r="C13" s="130"/>
      <c r="D13" s="419"/>
      <c r="E13" s="118">
        <f>财务基础数据!J9*目录!$D$6</f>
        <v>0</v>
      </c>
      <c r="F13" s="118">
        <f>财务基础数据!K9*目录!$D$6</f>
        <v>0</v>
      </c>
      <c r="G13" s="118">
        <f>财务基础数据!L9*目录!$D$6</f>
        <v>0</v>
      </c>
      <c r="H13" s="118">
        <f>财务基础数据!M9*目录!$D$6</f>
        <v>0</v>
      </c>
      <c r="I13" s="118">
        <f>财务基础数据!N9*目录!$D$6</f>
        <v>0</v>
      </c>
      <c r="J13" s="118">
        <f>财务基础数据!O9*目录!$D$6</f>
        <v>0</v>
      </c>
      <c r="K13" s="118">
        <f>财务基础数据!P9*目录!$D$6</f>
        <v>0</v>
      </c>
      <c r="L13" s="118">
        <f>财务基础数据!Q9*目录!$D$6</f>
        <v>0</v>
      </c>
      <c r="M13" s="118">
        <f>财务基础数据!R9*目录!$D$6</f>
        <v>0</v>
      </c>
      <c r="N13" s="118">
        <f>财务基础数据!S9*目录!$D$6</f>
        <v>0</v>
      </c>
      <c r="O13" s="118">
        <f>财务基础数据!T9*目录!$D$6</f>
        <v>0</v>
      </c>
      <c r="P13" s="118">
        <f>财务基础数据!U9*目录!$D$6</f>
        <v>0</v>
      </c>
      <c r="Q13" s="118">
        <f>财务基础数据!V9*目录!$D$6</f>
        <v>0</v>
      </c>
      <c r="R13" s="118">
        <f>财务基础数据!W9*目录!$D$6</f>
        <v>0</v>
      </c>
      <c r="S13" s="118">
        <f>财务基础数据!X9*目录!$D$6</f>
        <v>0</v>
      </c>
      <c r="T13" s="118">
        <f>财务基础数据!Y9*目录!$D$6</f>
        <v>0</v>
      </c>
      <c r="U13" s="118">
        <f>财务基础数据!Z9*目录!$D$6</f>
        <v>0</v>
      </c>
      <c r="V13" s="118">
        <f>财务基础数据!AA9*目录!$D$6</f>
        <v>0</v>
      </c>
      <c r="W13" s="118">
        <f>财务基础数据!AB9*目录!$D$6</f>
        <v>0</v>
      </c>
      <c r="X13" s="118">
        <f>财务基础数据!AC9*目录!$D$6</f>
        <v>0</v>
      </c>
      <c r="Y13" s="118">
        <f>财务基础数据!AD9*目录!$D$6</f>
        <v>0</v>
      </c>
      <c r="Z13" s="118">
        <f>财务基础数据!AE9*目录!$D$6</f>
        <v>0</v>
      </c>
      <c r="AA13" s="118">
        <f>财务基础数据!AF9*目录!$D$6</f>
        <v>0</v>
      </c>
      <c r="AB13" s="118">
        <f>财务基础数据!AG9*目录!$D$6</f>
        <v>0</v>
      </c>
      <c r="AC13" s="118">
        <f>财务基础数据!AH9*目录!$D$6</f>
        <v>0</v>
      </c>
      <c r="AD13" s="118">
        <f>财务基础数据!AI9*目录!$D$6</f>
        <v>0</v>
      </c>
      <c r="AE13" s="118">
        <f>财务基础数据!AJ9*目录!$D$6</f>
        <v>0</v>
      </c>
      <c r="AF13" s="118">
        <f>财务基础数据!AK9*目录!$D$6</f>
        <v>0</v>
      </c>
      <c r="AG13" s="118">
        <f>财务基础数据!AL9*目录!$D$6</f>
        <v>0</v>
      </c>
      <c r="AH13" s="118">
        <f>财务基础数据!AM9*目录!$D$6</f>
        <v>0</v>
      </c>
      <c r="AI13" s="118">
        <f>财务基础数据!AN9*目录!$D$6</f>
        <v>0</v>
      </c>
      <c r="AJ13" s="118">
        <f>财务基础数据!AO9*目录!$D$6</f>
        <v>0</v>
      </c>
      <c r="AK13" s="118">
        <f>AK15+AK19+AK27+AK29+AK31+AK33+AK36</f>
        <v>0</v>
      </c>
      <c r="AL13" s="118">
        <f t="shared" ref="AL13:AT13" si="7">AL15+AL19+AL27+AL29+AL31+AL33+AL36</f>
        <v>0</v>
      </c>
      <c r="AM13" s="118">
        <f t="shared" si="7"/>
        <v>0</v>
      </c>
      <c r="AN13" s="118">
        <f t="shared" si="7"/>
        <v>0</v>
      </c>
      <c r="AO13" s="118">
        <f t="shared" si="7"/>
        <v>0</v>
      </c>
      <c r="AP13" s="118">
        <f t="shared" si="7"/>
        <v>0</v>
      </c>
      <c r="AQ13" s="118">
        <f t="shared" si="7"/>
        <v>0</v>
      </c>
      <c r="AR13" s="118">
        <f t="shared" si="7"/>
        <v>0</v>
      </c>
      <c r="AS13" s="118">
        <f t="shared" si="7"/>
        <v>0</v>
      </c>
      <c r="AT13" s="118">
        <f t="shared" si="7"/>
        <v>0</v>
      </c>
    </row>
    <row r="14" spans="1:46" s="399" customFormat="1" ht="15" customHeight="1" outlineLevel="1">
      <c r="A14" s="430"/>
      <c r="B14" s="125"/>
      <c r="C14" s="431" t="s">
        <v>446</v>
      </c>
      <c r="D14" s="432"/>
      <c r="E14" s="433" t="str">
        <f>IF(ISERROR(E13/E6),"—",E13/E6)</f>
        <v>—</v>
      </c>
      <c r="F14" s="433" t="str">
        <f t="shared" ref="F14:AT14" si="8">IF(ISERROR(F13/F6),"—",F13/F6)</f>
        <v>—</v>
      </c>
      <c r="G14" s="433" t="str">
        <f t="shared" si="8"/>
        <v>—</v>
      </c>
      <c r="H14" s="433" t="str">
        <f t="shared" si="8"/>
        <v>—</v>
      </c>
      <c r="I14" s="433" t="str">
        <f t="shared" si="8"/>
        <v>—</v>
      </c>
      <c r="J14" s="433" t="str">
        <f t="shared" si="8"/>
        <v>—</v>
      </c>
      <c r="K14" s="433" t="str">
        <f t="shared" si="8"/>
        <v>—</v>
      </c>
      <c r="L14" s="433" t="str">
        <f t="shared" si="8"/>
        <v>—</v>
      </c>
      <c r="M14" s="433" t="str">
        <f t="shared" si="8"/>
        <v>—</v>
      </c>
      <c r="N14" s="433" t="str">
        <f t="shared" si="8"/>
        <v>—</v>
      </c>
      <c r="O14" s="433" t="str">
        <f t="shared" si="8"/>
        <v>—</v>
      </c>
      <c r="P14" s="433" t="str">
        <f t="shared" si="8"/>
        <v>—</v>
      </c>
      <c r="Q14" s="433" t="str">
        <f t="shared" si="8"/>
        <v>—</v>
      </c>
      <c r="R14" s="433" t="str">
        <f t="shared" si="8"/>
        <v>—</v>
      </c>
      <c r="S14" s="433" t="str">
        <f t="shared" si="8"/>
        <v>—</v>
      </c>
      <c r="T14" s="433" t="str">
        <f t="shared" si="8"/>
        <v>—</v>
      </c>
      <c r="U14" s="433" t="str">
        <f t="shared" si="8"/>
        <v>—</v>
      </c>
      <c r="V14" s="433" t="str">
        <f t="shared" si="8"/>
        <v>—</v>
      </c>
      <c r="W14" s="433" t="str">
        <f t="shared" si="8"/>
        <v>—</v>
      </c>
      <c r="X14" s="433" t="str">
        <f t="shared" si="8"/>
        <v>—</v>
      </c>
      <c r="Y14" s="433" t="str">
        <f t="shared" si="8"/>
        <v>—</v>
      </c>
      <c r="Z14" s="433" t="str">
        <f t="shared" si="8"/>
        <v>—</v>
      </c>
      <c r="AA14" s="433" t="str">
        <f t="shared" si="8"/>
        <v>—</v>
      </c>
      <c r="AB14" s="433" t="str">
        <f t="shared" si="8"/>
        <v>—</v>
      </c>
      <c r="AC14" s="433" t="str">
        <f t="shared" si="8"/>
        <v>—</v>
      </c>
      <c r="AD14" s="433" t="str">
        <f t="shared" si="8"/>
        <v>—</v>
      </c>
      <c r="AE14" s="433" t="str">
        <f t="shared" si="8"/>
        <v>—</v>
      </c>
      <c r="AF14" s="433" t="str">
        <f t="shared" si="8"/>
        <v>—</v>
      </c>
      <c r="AG14" s="433" t="str">
        <f t="shared" si="8"/>
        <v>—</v>
      </c>
      <c r="AH14" s="433" t="str">
        <f t="shared" si="8"/>
        <v>—</v>
      </c>
      <c r="AI14" s="433" t="str">
        <f t="shared" si="8"/>
        <v>—</v>
      </c>
      <c r="AJ14" s="433" t="str">
        <f t="shared" si="8"/>
        <v>—</v>
      </c>
      <c r="AK14" s="433" t="str">
        <f t="shared" si="8"/>
        <v>—</v>
      </c>
      <c r="AL14" s="433" t="str">
        <f t="shared" si="8"/>
        <v>—</v>
      </c>
      <c r="AM14" s="433" t="str">
        <f t="shared" si="8"/>
        <v>—</v>
      </c>
      <c r="AN14" s="433" t="str">
        <f t="shared" si="8"/>
        <v>—</v>
      </c>
      <c r="AO14" s="433" t="str">
        <f t="shared" si="8"/>
        <v>—</v>
      </c>
      <c r="AP14" s="433" t="str">
        <f t="shared" si="8"/>
        <v>—</v>
      </c>
      <c r="AQ14" s="433" t="str">
        <f t="shared" si="8"/>
        <v>—</v>
      </c>
      <c r="AR14" s="433" t="str">
        <f t="shared" si="8"/>
        <v>—</v>
      </c>
      <c r="AS14" s="433" t="str">
        <f t="shared" si="8"/>
        <v>—</v>
      </c>
      <c r="AT14" s="433" t="str">
        <f t="shared" si="8"/>
        <v>—</v>
      </c>
    </row>
    <row r="15" spans="1:46" s="400" customFormat="1" ht="15" customHeight="1" outlineLevel="1">
      <c r="A15" s="426"/>
      <c r="B15" s="126" t="s">
        <v>447</v>
      </c>
      <c r="C15" s="427"/>
      <c r="D15" s="434"/>
      <c r="E15" s="118">
        <f>财务基础数据!J10*目录!$D$6</f>
        <v>0</v>
      </c>
      <c r="F15" s="118">
        <f>财务基础数据!K10*目录!$D$6</f>
        <v>0</v>
      </c>
      <c r="G15" s="118">
        <f>财务基础数据!L10*目录!$D$6</f>
        <v>0</v>
      </c>
      <c r="H15" s="118">
        <f>财务基础数据!M10*目录!$D$6</f>
        <v>0</v>
      </c>
      <c r="I15" s="118">
        <f>财务基础数据!N10*目录!$D$6</f>
        <v>0</v>
      </c>
      <c r="J15" s="118">
        <f>财务基础数据!O10*目录!$D$6</f>
        <v>0</v>
      </c>
      <c r="K15" s="118">
        <f>财务基础数据!P10*目录!$D$6</f>
        <v>0</v>
      </c>
      <c r="L15" s="118">
        <f>财务基础数据!Q10*目录!$D$6</f>
        <v>0</v>
      </c>
      <c r="M15" s="118">
        <f>财务基础数据!R10*目录!$D$6</f>
        <v>0</v>
      </c>
      <c r="N15" s="118">
        <f>财务基础数据!S10*目录!$D$6</f>
        <v>0</v>
      </c>
      <c r="O15" s="118">
        <f>财务基础数据!T10*目录!$D$6</f>
        <v>0</v>
      </c>
      <c r="P15" s="118">
        <f>财务基础数据!U10*目录!$D$6</f>
        <v>0</v>
      </c>
      <c r="Q15" s="118">
        <f>财务基础数据!V10*目录!$D$6</f>
        <v>0</v>
      </c>
      <c r="R15" s="118">
        <f>财务基础数据!W10*目录!$D$6</f>
        <v>0</v>
      </c>
      <c r="S15" s="118">
        <f>财务基础数据!X10*目录!$D$6</f>
        <v>0</v>
      </c>
      <c r="T15" s="118">
        <f>财务基础数据!Y10*目录!$D$6</f>
        <v>0</v>
      </c>
      <c r="U15" s="118">
        <f>财务基础数据!Z10*目录!$D$6</f>
        <v>0</v>
      </c>
      <c r="V15" s="118">
        <f>财务基础数据!AA10*目录!$D$6</f>
        <v>0</v>
      </c>
      <c r="W15" s="118">
        <f>财务基础数据!AB10*目录!$D$6</f>
        <v>0</v>
      </c>
      <c r="X15" s="118">
        <f>财务基础数据!AC10*目录!$D$6</f>
        <v>0</v>
      </c>
      <c r="Y15" s="118">
        <f>财务基础数据!AD10*目录!$D$6</f>
        <v>0</v>
      </c>
      <c r="Z15" s="118">
        <f>财务基础数据!AE10*目录!$D$6</f>
        <v>0</v>
      </c>
      <c r="AA15" s="118">
        <f>财务基础数据!AF10*目录!$D$6</f>
        <v>0</v>
      </c>
      <c r="AB15" s="118">
        <f>财务基础数据!AG10*目录!$D$6</f>
        <v>0</v>
      </c>
      <c r="AC15" s="118">
        <f>财务基础数据!AH10*目录!$D$6</f>
        <v>0</v>
      </c>
      <c r="AD15" s="118">
        <f>财务基础数据!AI10*目录!$D$6</f>
        <v>0</v>
      </c>
      <c r="AE15" s="118">
        <f>财务基础数据!AJ10*目录!$D$6</f>
        <v>0</v>
      </c>
      <c r="AF15" s="118">
        <f>财务基础数据!AK10*目录!$D$6</f>
        <v>0</v>
      </c>
      <c r="AG15" s="118">
        <f>财务基础数据!AL10*目录!$D$6</f>
        <v>0</v>
      </c>
      <c r="AH15" s="118">
        <f>财务基础数据!AM10*目录!$D$6</f>
        <v>0</v>
      </c>
      <c r="AI15" s="118">
        <f>财务基础数据!AN10*目录!$D$6</f>
        <v>0</v>
      </c>
      <c r="AJ15" s="118">
        <f>财务基础数据!AO10*目录!$D$6</f>
        <v>0</v>
      </c>
      <c r="AK15" s="118">
        <f>IF(COUNT(销售预测!AL10:AO10)=4,SUM(销售预测!AL10:AO10),销售预测!L10)</f>
        <v>0</v>
      </c>
      <c r="AL15" s="118">
        <f>IF(COUNT(销售预测!AP10:AS10)=4,SUM(销售预测!AP10:AS10),销售预测!M10)</f>
        <v>0</v>
      </c>
      <c r="AM15" s="118">
        <f>IF(COUNT(销售预测!AT10:AW10)=4,SUM(销售预测!AT10:AW10),销售预测!N10)</f>
        <v>0</v>
      </c>
      <c r="AN15" s="188">
        <f>IF(ISERROR(销售预测!O10),"—",销售预测!O10)</f>
        <v>0</v>
      </c>
      <c r="AO15" s="188">
        <f>IF(ISERROR(销售预测!P10),"—",销售预测!P10)</f>
        <v>0</v>
      </c>
      <c r="AP15" s="188">
        <f>IF(ISERROR(销售预测!Q10),"—",销售预测!Q10)</f>
        <v>0</v>
      </c>
      <c r="AQ15" s="188">
        <f>IF(ISERROR(销售预测!R10),"—",销售预测!R10)</f>
        <v>0</v>
      </c>
      <c r="AR15" s="188">
        <f>IF(ISERROR(销售预测!S10),"—",销售预测!S10)</f>
        <v>0</v>
      </c>
      <c r="AS15" s="188">
        <f>IF(ISERROR(销售预测!T10),"—",销售预测!T10)</f>
        <v>0</v>
      </c>
      <c r="AT15" s="188">
        <f>IF(ISERROR(销售预测!U10),"—",销售预测!U10)</f>
        <v>0</v>
      </c>
    </row>
    <row r="16" spans="1:46" s="399" customFormat="1" ht="15" customHeight="1" outlineLevel="1">
      <c r="A16" s="430"/>
      <c r="B16" s="435" t="s">
        <v>448</v>
      </c>
      <c r="C16" s="431"/>
      <c r="D16" s="432"/>
      <c r="E16" s="118">
        <f>现金流量表!E11</f>
        <v>0</v>
      </c>
      <c r="F16" s="118">
        <f>现金流量表!F11</f>
        <v>0</v>
      </c>
      <c r="G16" s="118">
        <f>现金流量表!G11</f>
        <v>0</v>
      </c>
      <c r="H16" s="118">
        <f>现金流量表!H11</f>
        <v>0</v>
      </c>
      <c r="I16" s="118">
        <f>现金流量表!I11</f>
        <v>0</v>
      </c>
      <c r="J16" s="118">
        <f>现金流量表!J11</f>
        <v>0</v>
      </c>
      <c r="K16" s="118">
        <f>现金流量表!K11</f>
        <v>0</v>
      </c>
      <c r="L16" s="118">
        <f>现金流量表!L11</f>
        <v>0</v>
      </c>
      <c r="M16" s="118">
        <f>现金流量表!M11</f>
        <v>0</v>
      </c>
      <c r="N16" s="118">
        <f>现金流量表!N11</f>
        <v>0</v>
      </c>
      <c r="O16" s="118">
        <f>现金流量表!O11</f>
        <v>0</v>
      </c>
      <c r="P16" s="118">
        <f>现金流量表!P11</f>
        <v>0</v>
      </c>
      <c r="Q16" s="118">
        <f>现金流量表!Q11</f>
        <v>0</v>
      </c>
      <c r="R16" s="118">
        <f>现金流量表!R11</f>
        <v>0</v>
      </c>
      <c r="S16" s="118">
        <f>现金流量表!S11</f>
        <v>0</v>
      </c>
      <c r="T16" s="118">
        <f>现金流量表!T11</f>
        <v>0</v>
      </c>
      <c r="U16" s="118">
        <f>现金流量表!U11</f>
        <v>0</v>
      </c>
      <c r="V16" s="118">
        <f>现金流量表!V11</f>
        <v>0</v>
      </c>
      <c r="W16" s="118">
        <f>现金流量表!W11</f>
        <v>0</v>
      </c>
      <c r="X16" s="118">
        <f>现金流量表!X11</f>
        <v>0</v>
      </c>
      <c r="Y16" s="118">
        <f>现金流量表!Y11</f>
        <v>0</v>
      </c>
      <c r="Z16" s="118">
        <f>现金流量表!Z11</f>
        <v>0</v>
      </c>
      <c r="AA16" s="118">
        <f>现金流量表!AA11</f>
        <v>0</v>
      </c>
      <c r="AB16" s="118">
        <f>现金流量表!AB11</f>
        <v>0</v>
      </c>
      <c r="AC16" s="118">
        <f>现金流量表!AC11</f>
        <v>0</v>
      </c>
      <c r="AD16" s="118">
        <f>现金流量表!AD11</f>
        <v>0</v>
      </c>
      <c r="AE16" s="118">
        <f>现金流量表!AE11</f>
        <v>0</v>
      </c>
      <c r="AF16" s="118">
        <f>现金流量表!AF11</f>
        <v>0</v>
      </c>
      <c r="AG16" s="118">
        <f>现金流量表!AG11</f>
        <v>0</v>
      </c>
      <c r="AH16" s="118">
        <f>现金流量表!AH11</f>
        <v>0</v>
      </c>
      <c r="AI16" s="118">
        <f>现金流量表!AI11</f>
        <v>0</v>
      </c>
      <c r="AJ16" s="118">
        <f>现金流量表!AJ11</f>
        <v>0</v>
      </c>
      <c r="AK16" s="188">
        <f>IF(ISERROR(现金流量表!AK11),0,现金流量表!AK11)</f>
        <v>0</v>
      </c>
      <c r="AL16" s="188">
        <f>IF(ISERROR(现金流量表!AL11),0,现金流量表!AL11)</f>
        <v>0</v>
      </c>
      <c r="AM16" s="188">
        <f>IF(ISERROR(现金流量表!AM11),0,现金流量表!AM11)</f>
        <v>0</v>
      </c>
      <c r="AN16" s="188">
        <f>IF(ISERROR(现金流量表!AN11),0,现金流量表!AN11)</f>
        <v>0</v>
      </c>
      <c r="AO16" s="188">
        <f>IF(ISERROR(现金流量表!AO11),0,现金流量表!AO11)</f>
        <v>0</v>
      </c>
      <c r="AP16" s="188">
        <f>IF(ISERROR(现金流量表!AP11),0,现金流量表!AP11)</f>
        <v>0</v>
      </c>
      <c r="AQ16" s="188">
        <f>IF(ISERROR(现金流量表!AQ11),0,现金流量表!AQ11)</f>
        <v>0</v>
      </c>
      <c r="AR16" s="188">
        <f>IF(ISERROR(现金流量表!AR11),0,现金流量表!AR11)</f>
        <v>0</v>
      </c>
      <c r="AS16" s="188">
        <f>IF(ISERROR(现金流量表!AS11),0,现金流量表!AS11)</f>
        <v>0</v>
      </c>
      <c r="AT16" s="188">
        <f>IF(ISERROR(现金流量表!AT11),0,现金流量表!AT11)</f>
        <v>0</v>
      </c>
    </row>
    <row r="17" spans="1:46" s="399" customFormat="1" ht="15" customHeight="1" outlineLevel="1">
      <c r="A17" s="430"/>
      <c r="B17" s="435"/>
      <c r="C17" s="431" t="s">
        <v>449</v>
      </c>
      <c r="D17" s="432"/>
      <c r="E17" s="433" t="str">
        <f>IF(ISERROR(E15/E8),"—",E15/E8)</f>
        <v>—</v>
      </c>
      <c r="F17" s="433" t="str">
        <f t="shared" ref="F17:AT17" si="9">IF(ISERROR(F15/F8),"—",F15/F8)</f>
        <v>—</v>
      </c>
      <c r="G17" s="433" t="str">
        <f t="shared" si="9"/>
        <v>—</v>
      </c>
      <c r="H17" s="433" t="str">
        <f t="shared" si="9"/>
        <v>—</v>
      </c>
      <c r="I17" s="433" t="str">
        <f t="shared" si="9"/>
        <v>—</v>
      </c>
      <c r="J17" s="433" t="str">
        <f t="shared" si="9"/>
        <v>—</v>
      </c>
      <c r="K17" s="433" t="str">
        <f t="shared" si="9"/>
        <v>—</v>
      </c>
      <c r="L17" s="433" t="str">
        <f t="shared" si="9"/>
        <v>—</v>
      </c>
      <c r="M17" s="433" t="str">
        <f t="shared" si="9"/>
        <v>—</v>
      </c>
      <c r="N17" s="433" t="str">
        <f t="shared" si="9"/>
        <v>—</v>
      </c>
      <c r="O17" s="433" t="str">
        <f t="shared" si="9"/>
        <v>—</v>
      </c>
      <c r="P17" s="433" t="str">
        <f t="shared" si="9"/>
        <v>—</v>
      </c>
      <c r="Q17" s="433" t="str">
        <f t="shared" si="9"/>
        <v>—</v>
      </c>
      <c r="R17" s="433" t="str">
        <f t="shared" si="9"/>
        <v>—</v>
      </c>
      <c r="S17" s="433" t="str">
        <f t="shared" si="9"/>
        <v>—</v>
      </c>
      <c r="T17" s="433" t="str">
        <f t="shared" si="9"/>
        <v>—</v>
      </c>
      <c r="U17" s="433" t="str">
        <f t="shared" si="9"/>
        <v>—</v>
      </c>
      <c r="V17" s="433" t="str">
        <f t="shared" si="9"/>
        <v>—</v>
      </c>
      <c r="W17" s="433" t="str">
        <f t="shared" si="9"/>
        <v>—</v>
      </c>
      <c r="X17" s="433" t="str">
        <f t="shared" si="9"/>
        <v>—</v>
      </c>
      <c r="Y17" s="433" t="str">
        <f t="shared" si="9"/>
        <v>—</v>
      </c>
      <c r="Z17" s="433" t="str">
        <f t="shared" si="9"/>
        <v>—</v>
      </c>
      <c r="AA17" s="433" t="str">
        <f t="shared" si="9"/>
        <v>—</v>
      </c>
      <c r="AB17" s="433" t="str">
        <f t="shared" si="9"/>
        <v>—</v>
      </c>
      <c r="AC17" s="433" t="str">
        <f t="shared" si="9"/>
        <v>—</v>
      </c>
      <c r="AD17" s="433" t="str">
        <f t="shared" si="9"/>
        <v>—</v>
      </c>
      <c r="AE17" s="433" t="str">
        <f t="shared" si="9"/>
        <v>—</v>
      </c>
      <c r="AF17" s="433" t="str">
        <f t="shared" si="9"/>
        <v>—</v>
      </c>
      <c r="AG17" s="433" t="str">
        <f t="shared" si="9"/>
        <v>—</v>
      </c>
      <c r="AH17" s="433" t="str">
        <f t="shared" si="9"/>
        <v>—</v>
      </c>
      <c r="AI17" s="433" t="str">
        <f t="shared" si="9"/>
        <v>—</v>
      </c>
      <c r="AJ17" s="433" t="str">
        <f t="shared" si="9"/>
        <v>—</v>
      </c>
      <c r="AK17" s="433" t="str">
        <f t="shared" si="9"/>
        <v>—</v>
      </c>
      <c r="AL17" s="433" t="str">
        <f t="shared" si="9"/>
        <v>—</v>
      </c>
      <c r="AM17" s="433" t="str">
        <f t="shared" si="9"/>
        <v>—</v>
      </c>
      <c r="AN17" s="433" t="str">
        <f t="shared" si="9"/>
        <v>—</v>
      </c>
      <c r="AO17" s="433" t="str">
        <f t="shared" si="9"/>
        <v>—</v>
      </c>
      <c r="AP17" s="433" t="str">
        <f t="shared" si="9"/>
        <v>—</v>
      </c>
      <c r="AQ17" s="433" t="str">
        <f t="shared" si="9"/>
        <v>—</v>
      </c>
      <c r="AR17" s="433" t="str">
        <f t="shared" si="9"/>
        <v>—</v>
      </c>
      <c r="AS17" s="433" t="str">
        <f t="shared" si="9"/>
        <v>—</v>
      </c>
      <c r="AT17" s="433" t="str">
        <f t="shared" si="9"/>
        <v>—</v>
      </c>
    </row>
    <row r="18" spans="1:46" ht="15" customHeight="1" outlineLevel="1">
      <c r="C18" s="436" t="s">
        <v>442</v>
      </c>
      <c r="E18" s="188"/>
      <c r="F18" s="429"/>
      <c r="G18" s="188"/>
      <c r="H18" s="429"/>
      <c r="I18" s="424" t="str">
        <f t="shared" ref="I18" si="10">IF(ISERROR((I17-E17)/ABS(E17)),"—",(I17-E17)/ABS(E17))</f>
        <v>—</v>
      </c>
      <c r="J18" s="424" t="str">
        <f t="shared" ref="J18" si="11">IF(ISERROR((J17-F17)/ABS(F17)),"—",(J17-F17)/ABS(F17))</f>
        <v>—</v>
      </c>
      <c r="K18" s="424" t="str">
        <f t="shared" ref="K18" si="12">IF(ISERROR((K17-G17)/ABS(G17)),"—",(K17-G17)/ABS(G17))</f>
        <v>—</v>
      </c>
      <c r="L18" s="424" t="str">
        <f t="shared" ref="L18" si="13">IF(ISERROR((L17-H17)/ABS(H17)),"—",(L17-H17)/ABS(H17))</f>
        <v>—</v>
      </c>
      <c r="M18" s="424" t="str">
        <f t="shared" ref="M18" si="14">IF(ISERROR((M17-I17)/ABS(I17)),"—",(M17-I17)/ABS(I17))</f>
        <v>—</v>
      </c>
      <c r="N18" s="424" t="str">
        <f t="shared" ref="N18" si="15">IF(ISERROR((N17-J17)/ABS(J17)),"—",(N17-J17)/ABS(J17))</f>
        <v>—</v>
      </c>
      <c r="O18" s="424" t="str">
        <f t="shared" ref="O18" si="16">IF(ISERROR((O17-K17)/ABS(K17)),"—",(O17-K17)/ABS(K17))</f>
        <v>—</v>
      </c>
      <c r="P18" s="424" t="str">
        <f t="shared" ref="P18" si="17">IF(ISERROR((P17-L17)/ABS(L17)),"—",(P17-L17)/ABS(L17))</f>
        <v>—</v>
      </c>
      <c r="Q18" s="424" t="str">
        <f t="shared" ref="Q18" si="18">IF(ISERROR((Q17-M17)/ABS(M17)),"—",(Q17-M17)/ABS(M17))</f>
        <v>—</v>
      </c>
      <c r="R18" s="424" t="str">
        <f t="shared" ref="R18" si="19">IF(ISERROR((R17-N17)/ABS(N17)),"—",(R17-N17)/ABS(N17))</f>
        <v>—</v>
      </c>
      <c r="S18" s="424" t="str">
        <f t="shared" ref="S18" si="20">IF(ISERROR((S17-O17)/ABS(O17)),"—",(S17-O17)/ABS(O17))</f>
        <v>—</v>
      </c>
      <c r="T18" s="424" t="str">
        <f t="shared" ref="T18" si="21">IF(ISERROR((T17-P17)/ABS(P17)),"—",(T17-P17)/ABS(P17))</f>
        <v>—</v>
      </c>
      <c r="U18" s="424" t="str">
        <f t="shared" ref="U18" si="22">IF(ISERROR((U17-Q17)/ABS(Q17)),"—",(U17-Q17)/ABS(Q17))</f>
        <v>—</v>
      </c>
      <c r="V18" s="424" t="str">
        <f t="shared" ref="V18" si="23">IF(ISERROR((V17-R17)/ABS(R17)),"—",(V17-R17)/ABS(R17))</f>
        <v>—</v>
      </c>
      <c r="W18" s="424" t="str">
        <f t="shared" ref="W18" si="24">IF(ISERROR((W17-S17)/ABS(S17)),"—",(W17-S17)/ABS(S17))</f>
        <v>—</v>
      </c>
      <c r="X18" s="424" t="str">
        <f t="shared" ref="X18" si="25">IF(ISERROR((X17-T17)/ABS(T17)),"—",(X17-T17)/ABS(T17))</f>
        <v>—</v>
      </c>
      <c r="Y18" s="424" t="str">
        <f t="shared" ref="Y18" si="26">IF(ISERROR((Y17-U17)/ABS(U17)),"—",(Y17-U17)/ABS(U17))</f>
        <v>—</v>
      </c>
      <c r="Z18" s="424" t="str">
        <f t="shared" ref="Z18" si="27">IF(ISERROR((Z17-V17)/ABS(V17)),"—",(Z17-V17)/ABS(V17))</f>
        <v>—</v>
      </c>
      <c r="AA18" s="424" t="str">
        <f t="shared" ref="AA18" si="28">IF(ISERROR((AA17-W17)/ABS(W17)),"—",(AA17-W17)/ABS(W17))</f>
        <v>—</v>
      </c>
      <c r="AB18" s="424" t="str">
        <f t="shared" ref="AB18" si="29">IF(ISERROR((AB17-X17)/ABS(X17)),"—",(AB17-X17)/ABS(X17))</f>
        <v>—</v>
      </c>
      <c r="AC18" s="424" t="str">
        <f t="shared" ref="AC18" si="30">IF(ISERROR((AC17-Y17)/ABS(Y17)),"—",(AC17-Y17)/ABS(Y17))</f>
        <v>—</v>
      </c>
      <c r="AD18" s="424" t="str">
        <f t="shared" ref="AD18" si="31">IF(ISERROR((AD17-Z17)/ABS(Z17)),"—",(AD17-Z17)/ABS(Z17))</f>
        <v>—</v>
      </c>
      <c r="AE18" s="424" t="str">
        <f t="shared" ref="AE18" si="32">IF(ISERROR((AE17-AA17)/ABS(AA17)),"—",(AE17-AA17)/ABS(AA17))</f>
        <v>—</v>
      </c>
      <c r="AF18" s="424" t="str">
        <f t="shared" ref="AF18" si="33">IF(ISERROR((AF17-AB17)/ABS(AB17)),"—",(AF17-AB17)/ABS(AB17))</f>
        <v>—</v>
      </c>
      <c r="AG18" s="424" t="str">
        <f t="shared" ref="AG18" si="34">IF(ISERROR((AG17-AC17)/ABS(AC17)),"—",(AG17-AC17)/ABS(AC17))</f>
        <v>—</v>
      </c>
      <c r="AH18" s="424" t="str">
        <f t="shared" ref="AH18" si="35">IF(ISERROR((AH17-AD17)/ABS(AD17)),"—",(AH17-AD17)/ABS(AD17))</f>
        <v>—</v>
      </c>
      <c r="AI18" s="424" t="str">
        <f t="shared" ref="AI18" si="36">IF(ISERROR((AI17-AE17)/ABS(AE17)),"—",(AI17-AE17)/ABS(AE17))</f>
        <v>—</v>
      </c>
      <c r="AJ18" s="424" t="str">
        <f t="shared" ref="AJ18" si="37">IF(ISERROR((AJ17-AF17)/ABS(AF17)),"—",(AJ17-AF17)/ABS(AF17))</f>
        <v>—</v>
      </c>
      <c r="AK18" s="424" t="str">
        <f>IF(ISERROR((AK15-AG15)/ABS(AG15)),"—",(AK15-AG15)/ABS(AG15))</f>
        <v>—</v>
      </c>
      <c r="AL18" s="424" t="str">
        <f>IF(ISERROR((AL15-AK15)/ABS(AK15)),"—",(AL15-AK15)/ABS(AK15))</f>
        <v>—</v>
      </c>
      <c r="AM18" s="424" t="str">
        <f t="shared" ref="AM18:AT18" si="38">IF(ISERROR((AM15-AL15)/ABS(AL15)),"—",(AM15-AL15)/ABS(AL15))</f>
        <v>—</v>
      </c>
      <c r="AN18" s="424" t="str">
        <f t="shared" si="38"/>
        <v>—</v>
      </c>
      <c r="AO18" s="424" t="str">
        <f t="shared" si="38"/>
        <v>—</v>
      </c>
      <c r="AP18" s="424" t="str">
        <f t="shared" si="38"/>
        <v>—</v>
      </c>
      <c r="AQ18" s="424" t="str">
        <f t="shared" si="38"/>
        <v>—</v>
      </c>
      <c r="AR18" s="424" t="str">
        <f t="shared" si="38"/>
        <v>—</v>
      </c>
      <c r="AS18" s="424" t="str">
        <f t="shared" si="38"/>
        <v>—</v>
      </c>
      <c r="AT18" s="424" t="str">
        <f t="shared" si="38"/>
        <v>—</v>
      </c>
    </row>
    <row r="19" spans="1:46" s="398" customFormat="1" ht="15" customHeight="1" outlineLevel="1">
      <c r="A19" s="437"/>
      <c r="B19" s="125" t="s">
        <v>450</v>
      </c>
      <c r="C19" s="427"/>
      <c r="D19" s="428"/>
      <c r="E19" s="188">
        <f>财务基础数据!J18*目录!$D$6</f>
        <v>0</v>
      </c>
      <c r="F19" s="188">
        <f>财务基础数据!K18*目录!$D$6</f>
        <v>0</v>
      </c>
      <c r="G19" s="188">
        <f>财务基础数据!L18*目录!$D$6</f>
        <v>0</v>
      </c>
      <c r="H19" s="188">
        <f>财务基础数据!M18*目录!$D$6</f>
        <v>0</v>
      </c>
      <c r="I19" s="188">
        <f>财务基础数据!N18*目录!$D$6</f>
        <v>0</v>
      </c>
      <c r="J19" s="188">
        <f>财务基础数据!O18*目录!$D$6</f>
        <v>0</v>
      </c>
      <c r="K19" s="188">
        <f>财务基础数据!P18*目录!$D$6</f>
        <v>0</v>
      </c>
      <c r="L19" s="188">
        <f>财务基础数据!Q18*目录!$D$6</f>
        <v>0</v>
      </c>
      <c r="M19" s="188">
        <f>财务基础数据!R18*目录!$D$6</f>
        <v>0</v>
      </c>
      <c r="N19" s="188">
        <f>财务基础数据!S18*目录!$D$6</f>
        <v>0</v>
      </c>
      <c r="O19" s="188">
        <f>财务基础数据!T18*目录!$D$6</f>
        <v>0</v>
      </c>
      <c r="P19" s="188">
        <f>财务基础数据!U18*目录!$D$6</f>
        <v>0</v>
      </c>
      <c r="Q19" s="188">
        <f>财务基础数据!V18*目录!$D$6</f>
        <v>0</v>
      </c>
      <c r="R19" s="188">
        <f>财务基础数据!W18*目录!$D$6</f>
        <v>0</v>
      </c>
      <c r="S19" s="188">
        <f>财务基础数据!X18*目录!$D$6</f>
        <v>0</v>
      </c>
      <c r="T19" s="188">
        <f>财务基础数据!Y18*目录!$D$6</f>
        <v>0</v>
      </c>
      <c r="U19" s="188">
        <f>财务基础数据!Z18*目录!$D$6</f>
        <v>0</v>
      </c>
      <c r="V19" s="188">
        <f>财务基础数据!AA18*目录!$D$6</f>
        <v>0</v>
      </c>
      <c r="W19" s="188">
        <f>财务基础数据!AB18*目录!$D$6</f>
        <v>0</v>
      </c>
      <c r="X19" s="188">
        <f>财务基础数据!AC18*目录!$D$6</f>
        <v>0</v>
      </c>
      <c r="Y19" s="188">
        <f>财务基础数据!AD18*目录!$D$6</f>
        <v>0</v>
      </c>
      <c r="Z19" s="188">
        <f>财务基础数据!AE18*目录!$D$6</f>
        <v>0</v>
      </c>
      <c r="AA19" s="188">
        <f>财务基础数据!AF18*目录!$D$6</f>
        <v>0</v>
      </c>
      <c r="AB19" s="188">
        <f>财务基础数据!AG18*目录!$D$6</f>
        <v>0</v>
      </c>
      <c r="AC19" s="188">
        <f>财务基础数据!AH18*目录!$D$6</f>
        <v>0</v>
      </c>
      <c r="AD19" s="188">
        <f>财务基础数据!AI18*目录!$D$6</f>
        <v>0</v>
      </c>
      <c r="AE19" s="188">
        <f>财务基础数据!AJ18*目录!$D$6</f>
        <v>0</v>
      </c>
      <c r="AF19" s="188">
        <f>财务基础数据!AK18*目录!$D$6</f>
        <v>0</v>
      </c>
      <c r="AG19" s="188">
        <f>财务基础数据!AL18*目录!$D$6</f>
        <v>0</v>
      </c>
      <c r="AH19" s="188">
        <f>财务基础数据!AM18*目录!$D$6</f>
        <v>0</v>
      </c>
      <c r="AI19" s="188">
        <f>财务基础数据!AN18*目录!$D$6</f>
        <v>0</v>
      </c>
      <c r="AJ19" s="188">
        <f>财务基础数据!AO18*目录!$D$6</f>
        <v>0</v>
      </c>
      <c r="AK19" s="118">
        <f>IF(COUNT(销售预测!AL12:AO12)=4,SUM(销售预测!AL12:AO12),销售预测!L12)</f>
        <v>0</v>
      </c>
      <c r="AL19" s="118">
        <f>IF(COUNT(销售预测!AP12:AS12)=4,SUM(销售预测!AP12:AS12),销售预测!M12)</f>
        <v>0</v>
      </c>
      <c r="AM19" s="118">
        <f>IF(COUNT(销售预测!AT12:AW12)=4,SUM(销售预测!AT12:AW12),销售预测!N12)</f>
        <v>0</v>
      </c>
      <c r="AN19" s="188">
        <f>IF(ISERROR(销售预测!O12),"—",销售预测!O12)</f>
        <v>0</v>
      </c>
      <c r="AO19" s="188">
        <f>IF(ISERROR(销售预测!P12),"—",销售预测!P12)</f>
        <v>0</v>
      </c>
      <c r="AP19" s="188">
        <f>IF(ISERROR(销售预测!Q12),"—",销售预测!Q12)</f>
        <v>0</v>
      </c>
      <c r="AQ19" s="188">
        <f>IF(ISERROR(销售预测!R12),"—",销售预测!R12)</f>
        <v>0</v>
      </c>
      <c r="AR19" s="188">
        <f>IF(ISERROR(销售预测!S12),"—",销售预测!S12)</f>
        <v>0</v>
      </c>
      <c r="AS19" s="188">
        <f>IF(ISERROR(销售预测!T12),"—",销售预测!T12)</f>
        <v>0</v>
      </c>
      <c r="AT19" s="188">
        <f>IF(ISERROR(销售预测!U12),"—",销售预测!U12)</f>
        <v>0</v>
      </c>
    </row>
    <row r="20" spans="1:46" s="399" customFormat="1" ht="15" customHeight="1" outlineLevel="1">
      <c r="A20" s="430"/>
      <c r="B20" s="435"/>
      <c r="C20" s="431" t="s">
        <v>449</v>
      </c>
      <c r="D20" s="432"/>
      <c r="E20" s="433" t="str">
        <f>IF(ISERROR(E19/E8),"—",E19/E8)</f>
        <v>—</v>
      </c>
      <c r="F20" s="433" t="str">
        <f t="shared" ref="F20:AT20" si="39">IF(ISERROR(F19/F8),"—",F19/F8)</f>
        <v>—</v>
      </c>
      <c r="G20" s="433" t="str">
        <f t="shared" si="39"/>
        <v>—</v>
      </c>
      <c r="H20" s="433" t="str">
        <f t="shared" si="39"/>
        <v>—</v>
      </c>
      <c r="I20" s="433" t="str">
        <f t="shared" si="39"/>
        <v>—</v>
      </c>
      <c r="J20" s="433" t="str">
        <f t="shared" si="39"/>
        <v>—</v>
      </c>
      <c r="K20" s="433" t="str">
        <f t="shared" si="39"/>
        <v>—</v>
      </c>
      <c r="L20" s="433" t="str">
        <f t="shared" si="39"/>
        <v>—</v>
      </c>
      <c r="M20" s="433" t="str">
        <f t="shared" si="39"/>
        <v>—</v>
      </c>
      <c r="N20" s="433" t="str">
        <f t="shared" si="39"/>
        <v>—</v>
      </c>
      <c r="O20" s="433" t="str">
        <f t="shared" si="39"/>
        <v>—</v>
      </c>
      <c r="P20" s="433" t="str">
        <f t="shared" si="39"/>
        <v>—</v>
      </c>
      <c r="Q20" s="433" t="str">
        <f t="shared" si="39"/>
        <v>—</v>
      </c>
      <c r="R20" s="433" t="str">
        <f t="shared" si="39"/>
        <v>—</v>
      </c>
      <c r="S20" s="433" t="str">
        <f t="shared" si="39"/>
        <v>—</v>
      </c>
      <c r="T20" s="433" t="str">
        <f t="shared" si="39"/>
        <v>—</v>
      </c>
      <c r="U20" s="433" t="str">
        <f t="shared" si="39"/>
        <v>—</v>
      </c>
      <c r="V20" s="433" t="str">
        <f t="shared" si="39"/>
        <v>—</v>
      </c>
      <c r="W20" s="433" t="str">
        <f t="shared" si="39"/>
        <v>—</v>
      </c>
      <c r="X20" s="433" t="str">
        <f t="shared" si="39"/>
        <v>—</v>
      </c>
      <c r="Y20" s="433" t="str">
        <f t="shared" si="39"/>
        <v>—</v>
      </c>
      <c r="Z20" s="433" t="str">
        <f t="shared" si="39"/>
        <v>—</v>
      </c>
      <c r="AA20" s="433" t="str">
        <f t="shared" si="39"/>
        <v>—</v>
      </c>
      <c r="AB20" s="433" t="str">
        <f t="shared" si="39"/>
        <v>—</v>
      </c>
      <c r="AC20" s="433" t="str">
        <f t="shared" si="39"/>
        <v>—</v>
      </c>
      <c r="AD20" s="433" t="str">
        <f t="shared" si="39"/>
        <v>—</v>
      </c>
      <c r="AE20" s="433" t="str">
        <f t="shared" si="39"/>
        <v>—</v>
      </c>
      <c r="AF20" s="433" t="str">
        <f t="shared" si="39"/>
        <v>—</v>
      </c>
      <c r="AG20" s="433" t="str">
        <f t="shared" si="39"/>
        <v>—</v>
      </c>
      <c r="AH20" s="433" t="str">
        <f t="shared" si="39"/>
        <v>—</v>
      </c>
      <c r="AI20" s="433" t="str">
        <f t="shared" si="39"/>
        <v>—</v>
      </c>
      <c r="AJ20" s="433" t="str">
        <f t="shared" si="39"/>
        <v>—</v>
      </c>
      <c r="AK20" s="433" t="str">
        <f t="shared" si="39"/>
        <v>—</v>
      </c>
      <c r="AL20" s="433" t="str">
        <f t="shared" si="39"/>
        <v>—</v>
      </c>
      <c r="AM20" s="433" t="str">
        <f t="shared" si="39"/>
        <v>—</v>
      </c>
      <c r="AN20" s="433" t="str">
        <f t="shared" si="39"/>
        <v>—</v>
      </c>
      <c r="AO20" s="433" t="str">
        <f t="shared" si="39"/>
        <v>—</v>
      </c>
      <c r="AP20" s="433" t="str">
        <f t="shared" si="39"/>
        <v>—</v>
      </c>
      <c r="AQ20" s="433" t="str">
        <f t="shared" si="39"/>
        <v>—</v>
      </c>
      <c r="AR20" s="433" t="str">
        <f t="shared" si="39"/>
        <v>—</v>
      </c>
      <c r="AS20" s="433" t="str">
        <f t="shared" si="39"/>
        <v>—</v>
      </c>
      <c r="AT20" s="433" t="str">
        <f t="shared" si="39"/>
        <v>—</v>
      </c>
    </row>
    <row r="21" spans="1:46" s="400" customFormat="1" ht="15" customHeight="1" outlineLevel="1">
      <c r="A21" s="426"/>
      <c r="B21" s="134"/>
      <c r="C21" s="438"/>
      <c r="D21" s="439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</row>
    <row r="22" spans="1:46" ht="15" customHeight="1" outlineLevel="1">
      <c r="A22" s="426"/>
      <c r="B22" s="129" t="s">
        <v>65</v>
      </c>
      <c r="C22" s="441"/>
      <c r="D22" s="428"/>
      <c r="E22" s="442">
        <f>E8-E15</f>
        <v>0</v>
      </c>
      <c r="F22" s="442">
        <f t="shared" ref="F22:AK22" si="40">F8-F15</f>
        <v>0</v>
      </c>
      <c r="G22" s="442">
        <f t="shared" si="40"/>
        <v>0</v>
      </c>
      <c r="H22" s="442">
        <f t="shared" si="40"/>
        <v>0</v>
      </c>
      <c r="I22" s="442">
        <f t="shared" si="40"/>
        <v>0</v>
      </c>
      <c r="J22" s="442">
        <f t="shared" si="40"/>
        <v>0</v>
      </c>
      <c r="K22" s="442">
        <f t="shared" si="40"/>
        <v>0</v>
      </c>
      <c r="L22" s="442">
        <f t="shared" si="40"/>
        <v>0</v>
      </c>
      <c r="M22" s="442">
        <f t="shared" si="40"/>
        <v>0</v>
      </c>
      <c r="N22" s="442">
        <f t="shared" si="40"/>
        <v>0</v>
      </c>
      <c r="O22" s="442">
        <f t="shared" si="40"/>
        <v>0</v>
      </c>
      <c r="P22" s="442">
        <f t="shared" si="40"/>
        <v>0</v>
      </c>
      <c r="Q22" s="442">
        <f t="shared" si="40"/>
        <v>0</v>
      </c>
      <c r="R22" s="442">
        <f t="shared" si="40"/>
        <v>0</v>
      </c>
      <c r="S22" s="442">
        <f t="shared" si="40"/>
        <v>0</v>
      </c>
      <c r="T22" s="442">
        <f t="shared" si="40"/>
        <v>0</v>
      </c>
      <c r="U22" s="442">
        <f t="shared" si="40"/>
        <v>0</v>
      </c>
      <c r="V22" s="442">
        <f t="shared" si="40"/>
        <v>0</v>
      </c>
      <c r="W22" s="442">
        <f t="shared" si="40"/>
        <v>0</v>
      </c>
      <c r="X22" s="442">
        <f t="shared" si="40"/>
        <v>0</v>
      </c>
      <c r="Y22" s="442">
        <f t="shared" si="40"/>
        <v>0</v>
      </c>
      <c r="Z22" s="442">
        <f t="shared" si="40"/>
        <v>0</v>
      </c>
      <c r="AA22" s="442">
        <f t="shared" si="40"/>
        <v>0</v>
      </c>
      <c r="AB22" s="442">
        <f t="shared" si="40"/>
        <v>0</v>
      </c>
      <c r="AC22" s="442">
        <f t="shared" si="40"/>
        <v>0</v>
      </c>
      <c r="AD22" s="442">
        <f t="shared" si="40"/>
        <v>0</v>
      </c>
      <c r="AE22" s="442">
        <f t="shared" si="40"/>
        <v>0</v>
      </c>
      <c r="AF22" s="442">
        <f t="shared" si="40"/>
        <v>0</v>
      </c>
      <c r="AG22" s="442">
        <f t="shared" si="40"/>
        <v>0</v>
      </c>
      <c r="AH22" s="442">
        <f t="shared" si="40"/>
        <v>0</v>
      </c>
      <c r="AI22" s="442">
        <f t="shared" si="40"/>
        <v>0</v>
      </c>
      <c r="AJ22" s="442">
        <f t="shared" si="40"/>
        <v>0</v>
      </c>
      <c r="AK22" s="442">
        <f t="shared" si="40"/>
        <v>0</v>
      </c>
      <c r="AL22" s="442">
        <f t="shared" ref="AL22:AT22" si="41">AL8-AL15</f>
        <v>0</v>
      </c>
      <c r="AM22" s="442">
        <f t="shared" si="41"/>
        <v>0</v>
      </c>
      <c r="AN22" s="442">
        <f t="shared" si="41"/>
        <v>0</v>
      </c>
      <c r="AO22" s="442">
        <f t="shared" si="41"/>
        <v>0</v>
      </c>
      <c r="AP22" s="442">
        <f t="shared" si="41"/>
        <v>0</v>
      </c>
      <c r="AQ22" s="442">
        <f t="shared" si="41"/>
        <v>0</v>
      </c>
      <c r="AR22" s="442">
        <f t="shared" si="41"/>
        <v>0</v>
      </c>
      <c r="AS22" s="442">
        <f t="shared" si="41"/>
        <v>0</v>
      </c>
      <c r="AT22" s="442">
        <f t="shared" si="41"/>
        <v>0</v>
      </c>
    </row>
    <row r="23" spans="1:46" s="400" customFormat="1" ht="15" customHeight="1" outlineLevel="1">
      <c r="A23" s="426"/>
      <c r="B23" s="126"/>
      <c r="C23" s="427" t="s">
        <v>66</v>
      </c>
      <c r="D23" s="434"/>
      <c r="E23" s="443" t="str">
        <f>IF(ISERROR(E22/E8),"—",E22/E8)</f>
        <v>—</v>
      </c>
      <c r="F23" s="443" t="str">
        <f t="shared" ref="F23:AL23" si="42">IF(ISERROR(F22/F8),"—",F22/F8)</f>
        <v>—</v>
      </c>
      <c r="G23" s="443" t="str">
        <f t="shared" si="42"/>
        <v>—</v>
      </c>
      <c r="H23" s="443" t="str">
        <f t="shared" si="42"/>
        <v>—</v>
      </c>
      <c r="I23" s="443" t="str">
        <f t="shared" si="42"/>
        <v>—</v>
      </c>
      <c r="J23" s="443" t="str">
        <f t="shared" si="42"/>
        <v>—</v>
      </c>
      <c r="K23" s="443" t="str">
        <f t="shared" si="42"/>
        <v>—</v>
      </c>
      <c r="L23" s="443" t="str">
        <f t="shared" si="42"/>
        <v>—</v>
      </c>
      <c r="M23" s="443" t="str">
        <f t="shared" si="42"/>
        <v>—</v>
      </c>
      <c r="N23" s="443" t="str">
        <f t="shared" si="42"/>
        <v>—</v>
      </c>
      <c r="O23" s="443" t="str">
        <f t="shared" si="42"/>
        <v>—</v>
      </c>
      <c r="P23" s="443" t="str">
        <f t="shared" si="42"/>
        <v>—</v>
      </c>
      <c r="Q23" s="443" t="str">
        <f t="shared" si="42"/>
        <v>—</v>
      </c>
      <c r="R23" s="443" t="str">
        <f t="shared" si="42"/>
        <v>—</v>
      </c>
      <c r="S23" s="443" t="str">
        <f t="shared" si="42"/>
        <v>—</v>
      </c>
      <c r="T23" s="443" t="str">
        <f t="shared" si="42"/>
        <v>—</v>
      </c>
      <c r="U23" s="443" t="str">
        <f t="shared" si="42"/>
        <v>—</v>
      </c>
      <c r="V23" s="443" t="str">
        <f t="shared" si="42"/>
        <v>—</v>
      </c>
      <c r="W23" s="443" t="str">
        <f t="shared" si="42"/>
        <v>—</v>
      </c>
      <c r="X23" s="443" t="str">
        <f t="shared" si="42"/>
        <v>—</v>
      </c>
      <c r="Y23" s="443" t="str">
        <f t="shared" si="42"/>
        <v>—</v>
      </c>
      <c r="Z23" s="443" t="str">
        <f t="shared" si="42"/>
        <v>—</v>
      </c>
      <c r="AA23" s="443" t="str">
        <f t="shared" si="42"/>
        <v>—</v>
      </c>
      <c r="AB23" s="443" t="str">
        <f t="shared" si="42"/>
        <v>—</v>
      </c>
      <c r="AC23" s="443" t="str">
        <f t="shared" si="42"/>
        <v>—</v>
      </c>
      <c r="AD23" s="443" t="str">
        <f t="shared" si="42"/>
        <v>—</v>
      </c>
      <c r="AE23" s="443" t="str">
        <f t="shared" si="42"/>
        <v>—</v>
      </c>
      <c r="AF23" s="443" t="str">
        <f t="shared" si="42"/>
        <v>—</v>
      </c>
      <c r="AG23" s="443" t="str">
        <f t="shared" si="42"/>
        <v>—</v>
      </c>
      <c r="AH23" s="443" t="str">
        <f t="shared" si="42"/>
        <v>—</v>
      </c>
      <c r="AI23" s="443" t="str">
        <f t="shared" si="42"/>
        <v>—</v>
      </c>
      <c r="AJ23" s="443" t="str">
        <f t="shared" si="42"/>
        <v>—</v>
      </c>
      <c r="AK23" s="443" t="str">
        <f t="shared" si="42"/>
        <v>—</v>
      </c>
      <c r="AL23" s="443" t="str">
        <f t="shared" si="42"/>
        <v>—</v>
      </c>
      <c r="AM23" s="443" t="str">
        <f t="shared" ref="AM23:AT23" si="43">IF(ISERROR(AM22/AM8),"—",AM22/AM8)</f>
        <v>—</v>
      </c>
      <c r="AN23" s="443" t="str">
        <f t="shared" si="43"/>
        <v>—</v>
      </c>
      <c r="AO23" s="443" t="str">
        <f t="shared" si="43"/>
        <v>—</v>
      </c>
      <c r="AP23" s="443" t="str">
        <f t="shared" si="43"/>
        <v>—</v>
      </c>
      <c r="AQ23" s="443" t="str">
        <f t="shared" si="43"/>
        <v>—</v>
      </c>
      <c r="AR23" s="443" t="str">
        <f t="shared" si="43"/>
        <v>—</v>
      </c>
      <c r="AS23" s="443" t="str">
        <f t="shared" si="43"/>
        <v>—</v>
      </c>
      <c r="AT23" s="443" t="str">
        <f t="shared" si="43"/>
        <v>—</v>
      </c>
    </row>
    <row r="24" spans="1:46" s="401" customFormat="1" ht="15" customHeight="1" outlineLevel="1">
      <c r="A24" s="444"/>
      <c r="B24" s="445"/>
      <c r="C24" s="445" t="s">
        <v>442</v>
      </c>
      <c r="D24" s="446"/>
      <c r="E24" s="424"/>
      <c r="F24" s="424"/>
      <c r="G24" s="424"/>
      <c r="H24" s="424"/>
      <c r="I24" s="424" t="str">
        <f>IF(ISERROR((I22-E22)/ABS(E22)),"—",(I22-E22)/ABS(E22))</f>
        <v>—</v>
      </c>
      <c r="J24" s="424" t="str">
        <f t="shared" ref="J24:AK24" si="44">IF(ISERROR((J22-F22)/ABS(F22)),"—",(J22-F22)/ABS(F22))</f>
        <v>—</v>
      </c>
      <c r="K24" s="424" t="str">
        <f t="shared" si="44"/>
        <v>—</v>
      </c>
      <c r="L24" s="424" t="str">
        <f t="shared" si="44"/>
        <v>—</v>
      </c>
      <c r="M24" s="424" t="str">
        <f t="shared" si="44"/>
        <v>—</v>
      </c>
      <c r="N24" s="424" t="str">
        <f t="shared" si="44"/>
        <v>—</v>
      </c>
      <c r="O24" s="424" t="str">
        <f t="shared" si="44"/>
        <v>—</v>
      </c>
      <c r="P24" s="424" t="str">
        <f t="shared" si="44"/>
        <v>—</v>
      </c>
      <c r="Q24" s="424" t="str">
        <f t="shared" si="44"/>
        <v>—</v>
      </c>
      <c r="R24" s="424" t="str">
        <f t="shared" si="44"/>
        <v>—</v>
      </c>
      <c r="S24" s="424" t="str">
        <f t="shared" si="44"/>
        <v>—</v>
      </c>
      <c r="T24" s="424" t="str">
        <f t="shared" si="44"/>
        <v>—</v>
      </c>
      <c r="U24" s="424" t="str">
        <f t="shared" si="44"/>
        <v>—</v>
      </c>
      <c r="V24" s="424" t="str">
        <f t="shared" si="44"/>
        <v>—</v>
      </c>
      <c r="W24" s="424" t="str">
        <f t="shared" si="44"/>
        <v>—</v>
      </c>
      <c r="X24" s="424" t="str">
        <f t="shared" si="44"/>
        <v>—</v>
      </c>
      <c r="Y24" s="424" t="str">
        <f t="shared" si="44"/>
        <v>—</v>
      </c>
      <c r="Z24" s="424" t="str">
        <f t="shared" si="44"/>
        <v>—</v>
      </c>
      <c r="AA24" s="424" t="str">
        <f t="shared" si="44"/>
        <v>—</v>
      </c>
      <c r="AB24" s="424" t="str">
        <f t="shared" si="44"/>
        <v>—</v>
      </c>
      <c r="AC24" s="424" t="str">
        <f t="shared" si="44"/>
        <v>—</v>
      </c>
      <c r="AD24" s="424" t="str">
        <f t="shared" si="44"/>
        <v>—</v>
      </c>
      <c r="AE24" s="424" t="str">
        <f t="shared" si="44"/>
        <v>—</v>
      </c>
      <c r="AF24" s="424" t="str">
        <f t="shared" si="44"/>
        <v>—</v>
      </c>
      <c r="AG24" s="424" t="str">
        <f t="shared" si="44"/>
        <v>—</v>
      </c>
      <c r="AH24" s="424" t="str">
        <f t="shared" si="44"/>
        <v>—</v>
      </c>
      <c r="AI24" s="424" t="str">
        <f t="shared" si="44"/>
        <v>—</v>
      </c>
      <c r="AJ24" s="424" t="str">
        <f t="shared" si="44"/>
        <v>—</v>
      </c>
      <c r="AK24" s="424" t="str">
        <f t="shared" si="44"/>
        <v>—</v>
      </c>
      <c r="AL24" s="424" t="str">
        <f>IF(ISERROR((AL22-AK22)/ABS(AK22)),"—",(AL22-AK22)/ABS(AK22))</f>
        <v>—</v>
      </c>
      <c r="AM24" s="424" t="str">
        <f t="shared" ref="AM24:AT24" si="45">IF(ISERROR((AM22-AL22)/ABS(AL22)),"—",(AM22-AL22)/ABS(AL22))</f>
        <v>—</v>
      </c>
      <c r="AN24" s="424" t="str">
        <f t="shared" si="45"/>
        <v>—</v>
      </c>
      <c r="AO24" s="424" t="str">
        <f t="shared" si="45"/>
        <v>—</v>
      </c>
      <c r="AP24" s="424" t="str">
        <f t="shared" si="45"/>
        <v>—</v>
      </c>
      <c r="AQ24" s="424" t="str">
        <f t="shared" si="45"/>
        <v>—</v>
      </c>
      <c r="AR24" s="424" t="str">
        <f t="shared" si="45"/>
        <v>—</v>
      </c>
      <c r="AS24" s="424" t="str">
        <f t="shared" si="45"/>
        <v>—</v>
      </c>
      <c r="AT24" s="424" t="str">
        <f t="shared" si="45"/>
        <v>—</v>
      </c>
    </row>
    <row r="25" spans="1:46" ht="15" customHeight="1" outlineLevel="1">
      <c r="A25" s="426"/>
      <c r="B25" s="133"/>
      <c r="C25" s="133"/>
      <c r="D25" s="42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</row>
    <row r="26" spans="1:46" s="398" customFormat="1" ht="15" customHeight="1" outlineLevel="1">
      <c r="A26" s="426"/>
      <c r="B26" s="125"/>
      <c r="C26" s="427"/>
      <c r="D26" s="428"/>
      <c r="E26" s="188"/>
      <c r="F26" s="443"/>
      <c r="G26" s="188"/>
      <c r="H26" s="443"/>
      <c r="I26" s="188"/>
      <c r="J26" s="443"/>
      <c r="K26" s="188"/>
      <c r="L26" s="443"/>
      <c r="M26" s="188"/>
      <c r="N26" s="443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</row>
    <row r="27" spans="1:46" s="400" customFormat="1" ht="15" customHeight="1" outlineLevel="1">
      <c r="A27" s="162" t="s">
        <v>451</v>
      </c>
      <c r="B27" s="117" t="s">
        <v>77</v>
      </c>
      <c r="C27" s="425"/>
      <c r="D27" s="409"/>
      <c r="E27" s="447">
        <f>财务基础数据!J11*目录!$D$6</f>
        <v>0</v>
      </c>
      <c r="F27" s="447">
        <f>财务基础数据!K11*目录!$D$6</f>
        <v>0</v>
      </c>
      <c r="G27" s="447">
        <f>财务基础数据!L11*目录!$D$6</f>
        <v>0</v>
      </c>
      <c r="H27" s="447">
        <f>财务基础数据!M11*目录!$D$6</f>
        <v>0</v>
      </c>
      <c r="I27" s="447">
        <f>财务基础数据!N11*目录!$D$6</f>
        <v>0</v>
      </c>
      <c r="J27" s="447">
        <f>财务基础数据!O11*目录!$D$6</f>
        <v>0</v>
      </c>
      <c r="K27" s="447">
        <f>财务基础数据!P11*目录!$D$6</f>
        <v>0</v>
      </c>
      <c r="L27" s="447">
        <f>财务基础数据!Q11*目录!$D$6</f>
        <v>0</v>
      </c>
      <c r="M27" s="447">
        <f>财务基础数据!R11*目录!$D$6</f>
        <v>0</v>
      </c>
      <c r="N27" s="447">
        <f>财务基础数据!S11*目录!$D$6</f>
        <v>0</v>
      </c>
      <c r="O27" s="447">
        <f>财务基础数据!T11*目录!$D$6</f>
        <v>0</v>
      </c>
      <c r="P27" s="447">
        <f>财务基础数据!U11*目录!$D$6</f>
        <v>0</v>
      </c>
      <c r="Q27" s="447">
        <f>财务基础数据!V11*目录!$D$6</f>
        <v>0</v>
      </c>
      <c r="R27" s="447">
        <f>财务基础数据!W11*目录!$D$6</f>
        <v>0</v>
      </c>
      <c r="S27" s="447">
        <f>财务基础数据!X11*目录!$D$6</f>
        <v>0</v>
      </c>
      <c r="T27" s="447">
        <f>财务基础数据!Y11*目录!$D$6</f>
        <v>0</v>
      </c>
      <c r="U27" s="447">
        <f>财务基础数据!Z11*目录!$D$6</f>
        <v>0</v>
      </c>
      <c r="V27" s="447">
        <f>财务基础数据!AA11*目录!$D$6</f>
        <v>0</v>
      </c>
      <c r="W27" s="447">
        <f>财务基础数据!AB11*目录!$D$6</f>
        <v>0</v>
      </c>
      <c r="X27" s="447">
        <f>财务基础数据!AC11*目录!$D$6</f>
        <v>0</v>
      </c>
      <c r="Y27" s="447">
        <f>财务基础数据!AD11*目录!$D$6</f>
        <v>0</v>
      </c>
      <c r="Z27" s="447">
        <f>财务基础数据!AE11*目录!$D$6</f>
        <v>0</v>
      </c>
      <c r="AA27" s="447">
        <f>财务基础数据!AF11*目录!$D$6</f>
        <v>0</v>
      </c>
      <c r="AB27" s="447">
        <f>财务基础数据!AG11*目录!$D$6</f>
        <v>0</v>
      </c>
      <c r="AC27" s="447">
        <f>财务基础数据!AH11*目录!$D$6</f>
        <v>0</v>
      </c>
      <c r="AD27" s="447">
        <f>财务基础数据!AI11*目录!$D$6</f>
        <v>0</v>
      </c>
      <c r="AE27" s="447">
        <f>财务基础数据!AJ11*目录!$D$6</f>
        <v>0</v>
      </c>
      <c r="AF27" s="447">
        <f>财务基础数据!AK11*目录!$D$6</f>
        <v>0</v>
      </c>
      <c r="AG27" s="447">
        <f>财务基础数据!AL11*目录!$D$6</f>
        <v>0</v>
      </c>
      <c r="AH27" s="447">
        <f>财务基础数据!AM11*目录!$D$6</f>
        <v>0</v>
      </c>
      <c r="AI27" s="447">
        <f>财务基础数据!AN11*目录!$D$6</f>
        <v>0</v>
      </c>
      <c r="AJ27" s="447">
        <f>财务基础数据!AO11*目录!$D$6</f>
        <v>0</v>
      </c>
      <c r="AK27" s="188">
        <f>IF(ISERROR(销售预测!L21),"—",销售预测!L21)</f>
        <v>0</v>
      </c>
      <c r="AL27" s="188">
        <f>IF(ISERROR(销售预测!M21),"—",销售预测!M21)</f>
        <v>0</v>
      </c>
      <c r="AM27" s="188">
        <f>IF(ISERROR(销售预测!N21),"—",销售预测!N21)</f>
        <v>0</v>
      </c>
      <c r="AN27" s="188">
        <f>IF(ISERROR(销售预测!O21),"—",销售预测!O21)</f>
        <v>0</v>
      </c>
      <c r="AO27" s="188">
        <f>IF(ISERROR(销售预测!P21),"—",销售预测!P21)</f>
        <v>0</v>
      </c>
      <c r="AP27" s="188">
        <f>IF(ISERROR(销售预测!Q21),"—",销售预测!Q21)</f>
        <v>0</v>
      </c>
      <c r="AQ27" s="188">
        <f>IF(ISERROR(销售预测!R21),"—",销售预测!R21)</f>
        <v>0</v>
      </c>
      <c r="AR27" s="188">
        <f>IF(ISERROR(销售预测!S21),"—",销售预测!S21)</f>
        <v>0</v>
      </c>
      <c r="AS27" s="188">
        <f>IF(ISERROR(销售预测!T21),"—",销售预测!T21)</f>
        <v>0</v>
      </c>
      <c r="AT27" s="188">
        <f>IF(ISERROR(销售预测!U21),"—",销售预测!U21)</f>
        <v>0</v>
      </c>
    </row>
    <row r="28" spans="1:46" ht="15" customHeight="1" outlineLevel="1">
      <c r="C28" s="431" t="s">
        <v>449</v>
      </c>
      <c r="E28" s="443" t="str">
        <f>IF(ISERROR(E27/E8),"—",E27/E8)</f>
        <v>—</v>
      </c>
      <c r="F28" s="443" t="str">
        <f t="shared" ref="F28:AK28" si="46">IF(ISERROR(F27/F8),"—",F27/F8)</f>
        <v>—</v>
      </c>
      <c r="G28" s="443" t="str">
        <f t="shared" si="46"/>
        <v>—</v>
      </c>
      <c r="H28" s="443" t="str">
        <f t="shared" si="46"/>
        <v>—</v>
      </c>
      <c r="I28" s="443" t="str">
        <f t="shared" si="46"/>
        <v>—</v>
      </c>
      <c r="J28" s="443" t="str">
        <f t="shared" si="46"/>
        <v>—</v>
      </c>
      <c r="K28" s="443" t="str">
        <f t="shared" si="46"/>
        <v>—</v>
      </c>
      <c r="L28" s="443" t="str">
        <f t="shared" si="46"/>
        <v>—</v>
      </c>
      <c r="M28" s="443" t="str">
        <f t="shared" si="46"/>
        <v>—</v>
      </c>
      <c r="N28" s="443" t="str">
        <f t="shared" si="46"/>
        <v>—</v>
      </c>
      <c r="O28" s="443" t="str">
        <f t="shared" si="46"/>
        <v>—</v>
      </c>
      <c r="P28" s="443" t="str">
        <f t="shared" si="46"/>
        <v>—</v>
      </c>
      <c r="Q28" s="443" t="str">
        <f t="shared" si="46"/>
        <v>—</v>
      </c>
      <c r="R28" s="443" t="str">
        <f t="shared" si="46"/>
        <v>—</v>
      </c>
      <c r="S28" s="443" t="str">
        <f t="shared" si="46"/>
        <v>—</v>
      </c>
      <c r="T28" s="443" t="str">
        <f t="shared" si="46"/>
        <v>—</v>
      </c>
      <c r="U28" s="443" t="str">
        <f t="shared" si="46"/>
        <v>—</v>
      </c>
      <c r="V28" s="443" t="str">
        <f t="shared" si="46"/>
        <v>—</v>
      </c>
      <c r="W28" s="443" t="str">
        <f t="shared" si="46"/>
        <v>—</v>
      </c>
      <c r="X28" s="443" t="str">
        <f t="shared" si="46"/>
        <v>—</v>
      </c>
      <c r="Y28" s="443" t="str">
        <f t="shared" si="46"/>
        <v>—</v>
      </c>
      <c r="Z28" s="443" t="str">
        <f t="shared" si="46"/>
        <v>—</v>
      </c>
      <c r="AA28" s="443" t="str">
        <f t="shared" si="46"/>
        <v>—</v>
      </c>
      <c r="AB28" s="443" t="str">
        <f t="shared" si="46"/>
        <v>—</v>
      </c>
      <c r="AC28" s="443" t="str">
        <f t="shared" si="46"/>
        <v>—</v>
      </c>
      <c r="AD28" s="443" t="str">
        <f t="shared" si="46"/>
        <v>—</v>
      </c>
      <c r="AE28" s="443" t="str">
        <f t="shared" si="46"/>
        <v>—</v>
      </c>
      <c r="AF28" s="443" t="str">
        <f t="shared" si="46"/>
        <v>—</v>
      </c>
      <c r="AG28" s="443" t="str">
        <f t="shared" si="46"/>
        <v>—</v>
      </c>
      <c r="AH28" s="443" t="str">
        <f t="shared" si="46"/>
        <v>—</v>
      </c>
      <c r="AI28" s="443" t="str">
        <f t="shared" si="46"/>
        <v>—</v>
      </c>
      <c r="AJ28" s="443" t="str">
        <f t="shared" si="46"/>
        <v>—</v>
      </c>
      <c r="AK28" s="443" t="str">
        <f t="shared" si="46"/>
        <v>—</v>
      </c>
      <c r="AL28" s="443" t="str">
        <f t="shared" ref="AL28:AT28" si="47">IF(ISERROR(AL27/AL8),"—",AL27/AL8)</f>
        <v>—</v>
      </c>
      <c r="AM28" s="443" t="str">
        <f t="shared" si="47"/>
        <v>—</v>
      </c>
      <c r="AN28" s="443" t="str">
        <f t="shared" si="47"/>
        <v>—</v>
      </c>
      <c r="AO28" s="443" t="str">
        <f t="shared" si="47"/>
        <v>—</v>
      </c>
      <c r="AP28" s="443" t="str">
        <f t="shared" si="47"/>
        <v>—</v>
      </c>
      <c r="AQ28" s="443" t="str">
        <f t="shared" si="47"/>
        <v>—</v>
      </c>
      <c r="AR28" s="443" t="str">
        <f t="shared" si="47"/>
        <v>—</v>
      </c>
      <c r="AS28" s="443" t="str">
        <f t="shared" si="47"/>
        <v>—</v>
      </c>
      <c r="AT28" s="443" t="str">
        <f t="shared" si="47"/>
        <v>—</v>
      </c>
    </row>
    <row r="29" spans="1:46" ht="15" customHeight="1" outlineLevel="1">
      <c r="B29" s="117" t="s">
        <v>79</v>
      </c>
      <c r="E29" s="188">
        <f>财务基础数据!J12*目录!$D$6</f>
        <v>0</v>
      </c>
      <c r="F29" s="188">
        <f>财务基础数据!K12*目录!$D$6</f>
        <v>0</v>
      </c>
      <c r="G29" s="188">
        <f>财务基础数据!L12*目录!$D$6</f>
        <v>0</v>
      </c>
      <c r="H29" s="188">
        <f>财务基础数据!M12*目录!$D$6</f>
        <v>0</v>
      </c>
      <c r="I29" s="188">
        <f>财务基础数据!N12*目录!$D$6</f>
        <v>0</v>
      </c>
      <c r="J29" s="188">
        <f>财务基础数据!O12*目录!$D$6</f>
        <v>0</v>
      </c>
      <c r="K29" s="188">
        <f>财务基础数据!P12*目录!$D$6</f>
        <v>0</v>
      </c>
      <c r="L29" s="188">
        <f>财务基础数据!Q12*目录!$D$6</f>
        <v>0</v>
      </c>
      <c r="M29" s="188">
        <f>财务基础数据!R12*目录!$D$6</f>
        <v>0</v>
      </c>
      <c r="N29" s="188">
        <f>财务基础数据!S12*目录!$D$6</f>
        <v>0</v>
      </c>
      <c r="O29" s="188">
        <f>财务基础数据!T12*目录!$D$6</f>
        <v>0</v>
      </c>
      <c r="P29" s="188">
        <f>财务基础数据!U12*目录!$D$6</f>
        <v>0</v>
      </c>
      <c r="Q29" s="188">
        <f>财务基础数据!V12*目录!$D$6</f>
        <v>0</v>
      </c>
      <c r="R29" s="188">
        <f>财务基础数据!W12*目录!$D$6</f>
        <v>0</v>
      </c>
      <c r="S29" s="188">
        <f>财务基础数据!X12*目录!$D$6</f>
        <v>0</v>
      </c>
      <c r="T29" s="188">
        <f>财务基础数据!Y12*目录!$D$6</f>
        <v>0</v>
      </c>
      <c r="U29" s="188">
        <f>财务基础数据!Z12*目录!$D$6</f>
        <v>0</v>
      </c>
      <c r="V29" s="188">
        <f>财务基础数据!AA12*目录!$D$6</f>
        <v>0</v>
      </c>
      <c r="W29" s="188">
        <f>财务基础数据!AB12*目录!$D$6</f>
        <v>0</v>
      </c>
      <c r="X29" s="188">
        <f>财务基础数据!AC12*目录!$D$6</f>
        <v>0</v>
      </c>
      <c r="Y29" s="188">
        <f>财务基础数据!AD12*目录!$D$6</f>
        <v>0</v>
      </c>
      <c r="Z29" s="188">
        <f>财务基础数据!AE12*目录!$D$6</f>
        <v>0</v>
      </c>
      <c r="AA29" s="188">
        <f>财务基础数据!AF12*目录!$D$6</f>
        <v>0</v>
      </c>
      <c r="AB29" s="188">
        <f>财务基础数据!AG12*目录!$D$6</f>
        <v>0</v>
      </c>
      <c r="AC29" s="188">
        <f>财务基础数据!AH12*目录!$D$6</f>
        <v>0</v>
      </c>
      <c r="AD29" s="188">
        <f>财务基础数据!AI12*目录!$D$6</f>
        <v>0</v>
      </c>
      <c r="AE29" s="188">
        <f>财务基础数据!AJ12*目录!$D$6</f>
        <v>0</v>
      </c>
      <c r="AF29" s="188">
        <f>财务基础数据!AK12*目录!$D$6</f>
        <v>0</v>
      </c>
      <c r="AG29" s="188">
        <f>财务基础数据!AL12*目录!$D$6</f>
        <v>0</v>
      </c>
      <c r="AH29" s="188">
        <f>财务基础数据!AM12*目录!$D$6</f>
        <v>0</v>
      </c>
      <c r="AI29" s="188">
        <f>财务基础数据!AN12*目录!$D$6</f>
        <v>0</v>
      </c>
      <c r="AJ29" s="188">
        <f>财务基础数据!AO12*目录!$D$6</f>
        <v>0</v>
      </c>
      <c r="AK29" s="188">
        <f>IF(ISERROR(销售预测!L24),"—",销售预测!L24)</f>
        <v>0</v>
      </c>
      <c r="AL29" s="188">
        <f>IF(ISERROR(销售预测!M24),"—",销售预测!M24)</f>
        <v>0</v>
      </c>
      <c r="AM29" s="188">
        <f>IF(ISERROR(销售预测!N24),"—",销售预测!N24)</f>
        <v>0</v>
      </c>
      <c r="AN29" s="188">
        <f>IF(ISERROR(销售预测!O24),"—",销售预测!O24)</f>
        <v>0</v>
      </c>
      <c r="AO29" s="188">
        <f>IF(ISERROR(销售预测!P24),"—",销售预测!P24)</f>
        <v>0</v>
      </c>
      <c r="AP29" s="188">
        <f>IF(ISERROR(销售预测!Q24),"—",销售预测!Q24)</f>
        <v>0</v>
      </c>
      <c r="AQ29" s="188">
        <f>IF(ISERROR(销售预测!R24),"—",销售预测!R24)</f>
        <v>0</v>
      </c>
      <c r="AR29" s="188">
        <f>IF(ISERROR(销售预测!S24),"—",销售预测!S24)</f>
        <v>0</v>
      </c>
      <c r="AS29" s="188">
        <f>IF(ISERROR(销售预测!T24),"—",销售预测!T24)</f>
        <v>0</v>
      </c>
      <c r="AT29" s="188">
        <f>IF(ISERROR(销售预测!U24),"—",销售预测!U24)</f>
        <v>0</v>
      </c>
    </row>
    <row r="30" spans="1:46" ht="15" customHeight="1" outlineLevel="1">
      <c r="C30" s="425" t="s">
        <v>449</v>
      </c>
      <c r="E30" s="443" t="str">
        <f>IF(ISERROR(E29/E8),"—",E29/E8)</f>
        <v>—</v>
      </c>
      <c r="F30" s="443" t="str">
        <f t="shared" ref="F30:AK30" si="48">IF(ISERROR(F29/F8),"—",F29/F8)</f>
        <v>—</v>
      </c>
      <c r="G30" s="443" t="str">
        <f t="shared" si="48"/>
        <v>—</v>
      </c>
      <c r="H30" s="443" t="str">
        <f t="shared" si="48"/>
        <v>—</v>
      </c>
      <c r="I30" s="443" t="str">
        <f t="shared" si="48"/>
        <v>—</v>
      </c>
      <c r="J30" s="443" t="str">
        <f t="shared" si="48"/>
        <v>—</v>
      </c>
      <c r="K30" s="443" t="str">
        <f t="shared" si="48"/>
        <v>—</v>
      </c>
      <c r="L30" s="443" t="str">
        <f t="shared" si="48"/>
        <v>—</v>
      </c>
      <c r="M30" s="443" t="str">
        <f t="shared" si="48"/>
        <v>—</v>
      </c>
      <c r="N30" s="443" t="str">
        <f t="shared" si="48"/>
        <v>—</v>
      </c>
      <c r="O30" s="443" t="str">
        <f t="shared" si="48"/>
        <v>—</v>
      </c>
      <c r="P30" s="443" t="str">
        <f t="shared" si="48"/>
        <v>—</v>
      </c>
      <c r="Q30" s="443" t="str">
        <f t="shared" si="48"/>
        <v>—</v>
      </c>
      <c r="R30" s="443" t="str">
        <f t="shared" si="48"/>
        <v>—</v>
      </c>
      <c r="S30" s="443" t="str">
        <f t="shared" si="48"/>
        <v>—</v>
      </c>
      <c r="T30" s="443" t="str">
        <f t="shared" si="48"/>
        <v>—</v>
      </c>
      <c r="U30" s="443" t="str">
        <f t="shared" si="48"/>
        <v>—</v>
      </c>
      <c r="V30" s="443" t="str">
        <f t="shared" si="48"/>
        <v>—</v>
      </c>
      <c r="W30" s="443" t="str">
        <f t="shared" si="48"/>
        <v>—</v>
      </c>
      <c r="X30" s="443" t="str">
        <f t="shared" si="48"/>
        <v>—</v>
      </c>
      <c r="Y30" s="443" t="str">
        <f t="shared" si="48"/>
        <v>—</v>
      </c>
      <c r="Z30" s="443" t="str">
        <f t="shared" si="48"/>
        <v>—</v>
      </c>
      <c r="AA30" s="443" t="str">
        <f t="shared" si="48"/>
        <v>—</v>
      </c>
      <c r="AB30" s="443" t="str">
        <f t="shared" si="48"/>
        <v>—</v>
      </c>
      <c r="AC30" s="443" t="str">
        <f t="shared" si="48"/>
        <v>—</v>
      </c>
      <c r="AD30" s="443" t="str">
        <f t="shared" si="48"/>
        <v>—</v>
      </c>
      <c r="AE30" s="443" t="str">
        <f t="shared" si="48"/>
        <v>—</v>
      </c>
      <c r="AF30" s="443" t="str">
        <f t="shared" si="48"/>
        <v>—</v>
      </c>
      <c r="AG30" s="443" t="str">
        <f t="shared" si="48"/>
        <v>—</v>
      </c>
      <c r="AH30" s="443" t="str">
        <f t="shared" si="48"/>
        <v>—</v>
      </c>
      <c r="AI30" s="443" t="str">
        <f t="shared" si="48"/>
        <v>—</v>
      </c>
      <c r="AJ30" s="443" t="str">
        <f t="shared" si="48"/>
        <v>—</v>
      </c>
      <c r="AK30" s="443" t="str">
        <f t="shared" si="48"/>
        <v>—</v>
      </c>
      <c r="AL30" s="443" t="str">
        <f t="shared" ref="AL30:AT30" si="49">IF(ISERROR(AL29/AL8),"—",AL29/AL8)</f>
        <v>—</v>
      </c>
      <c r="AM30" s="443" t="str">
        <f t="shared" si="49"/>
        <v>—</v>
      </c>
      <c r="AN30" s="443" t="str">
        <f t="shared" si="49"/>
        <v>—</v>
      </c>
      <c r="AO30" s="443" t="str">
        <f t="shared" si="49"/>
        <v>—</v>
      </c>
      <c r="AP30" s="443" t="str">
        <f t="shared" si="49"/>
        <v>—</v>
      </c>
      <c r="AQ30" s="443" t="str">
        <f t="shared" si="49"/>
        <v>—</v>
      </c>
      <c r="AR30" s="443" t="str">
        <f t="shared" si="49"/>
        <v>—</v>
      </c>
      <c r="AS30" s="443" t="str">
        <f t="shared" si="49"/>
        <v>—</v>
      </c>
      <c r="AT30" s="443" t="str">
        <f t="shared" si="49"/>
        <v>—</v>
      </c>
    </row>
    <row r="31" spans="1:46" s="400" customFormat="1" ht="15" customHeight="1">
      <c r="A31" s="426"/>
      <c r="B31" s="126" t="s">
        <v>81</v>
      </c>
      <c r="C31" s="126"/>
      <c r="D31" s="434"/>
      <c r="E31" s="188">
        <f>(财务基础数据!J13)*目录!$D$6</f>
        <v>0</v>
      </c>
      <c r="F31" s="188">
        <f>(财务基础数据!K13)*目录!$D$6</f>
        <v>0</v>
      </c>
      <c r="G31" s="188">
        <f>(财务基础数据!L13)*目录!$D$6</f>
        <v>0</v>
      </c>
      <c r="H31" s="188">
        <f>(财务基础数据!M13)*目录!$D$6</f>
        <v>0</v>
      </c>
      <c r="I31" s="188">
        <f>(财务基础数据!N13)*目录!$D$6</f>
        <v>0</v>
      </c>
      <c r="J31" s="188">
        <f>(财务基础数据!O13)*目录!$D$6</f>
        <v>0</v>
      </c>
      <c r="K31" s="188">
        <f>(财务基础数据!P13)*目录!$D$6</f>
        <v>0</v>
      </c>
      <c r="L31" s="188">
        <f>(财务基础数据!Q13)*目录!$D$6</f>
        <v>0</v>
      </c>
      <c r="M31" s="188">
        <f>(财务基础数据!R13)*目录!$D$6</f>
        <v>0</v>
      </c>
      <c r="N31" s="188">
        <f>(财务基础数据!S13)*目录!$D$6</f>
        <v>0</v>
      </c>
      <c r="O31" s="188">
        <f>(财务基础数据!T13)*目录!$D$6</f>
        <v>0</v>
      </c>
      <c r="P31" s="188">
        <f>(财务基础数据!U13)*目录!$D$6</f>
        <v>0</v>
      </c>
      <c r="Q31" s="188">
        <f>(财务基础数据!V13)*目录!$D$6</f>
        <v>0</v>
      </c>
      <c r="R31" s="188">
        <f>(财务基础数据!W13)*目录!$D$6</f>
        <v>0</v>
      </c>
      <c r="S31" s="188">
        <f>(财务基础数据!X13)*目录!$D$6</f>
        <v>0</v>
      </c>
      <c r="T31" s="188">
        <f>(财务基础数据!Y13)*目录!$D$6</f>
        <v>0</v>
      </c>
      <c r="U31" s="188">
        <f>(财务基础数据!Z13)*目录!$D$6</f>
        <v>0</v>
      </c>
      <c r="V31" s="188">
        <f>(财务基础数据!AA13)*目录!$D$6</f>
        <v>0</v>
      </c>
      <c r="W31" s="188">
        <f>(财务基础数据!AB13)*目录!$D$6</f>
        <v>0</v>
      </c>
      <c r="X31" s="188">
        <f>(财务基础数据!AC13)*目录!$D$6</f>
        <v>0</v>
      </c>
      <c r="Y31" s="188">
        <f>(财务基础数据!AD13)*目录!$D$6</f>
        <v>0</v>
      </c>
      <c r="Z31" s="188">
        <f>(财务基础数据!AE13)*目录!$D$6</f>
        <v>0</v>
      </c>
      <c r="AA31" s="188">
        <f>(财务基础数据!AF13)*目录!$D$6</f>
        <v>0</v>
      </c>
      <c r="AB31" s="188">
        <f>(财务基础数据!AG13)*目录!$D$6</f>
        <v>0</v>
      </c>
      <c r="AC31" s="188">
        <f>(财务基础数据!AH13)*目录!$D$6</f>
        <v>0</v>
      </c>
      <c r="AD31" s="188">
        <f>(财务基础数据!AI13)*目录!$D$6</f>
        <v>0</v>
      </c>
      <c r="AE31" s="188">
        <f>(财务基础数据!AJ13)*目录!$D$6</f>
        <v>0</v>
      </c>
      <c r="AF31" s="188">
        <f>(财务基础数据!AK13)*目录!$D$6</f>
        <v>0</v>
      </c>
      <c r="AG31" s="188">
        <f>(财务基础数据!AL13)*目录!$D$6</f>
        <v>0</v>
      </c>
      <c r="AH31" s="188">
        <f>(财务基础数据!AM13)*目录!$D$6</f>
        <v>0</v>
      </c>
      <c r="AI31" s="188">
        <f>(财务基础数据!AN13)*目录!$D$6</f>
        <v>0</v>
      </c>
      <c r="AJ31" s="188">
        <f>(财务基础数据!AO13)*目录!$D$6</f>
        <v>0</v>
      </c>
      <c r="AK31" s="188">
        <f>IF(ISERROR(销售预测!L27),"—",销售预测!L27)</f>
        <v>0</v>
      </c>
      <c r="AL31" s="188">
        <f>IF(ISERROR(销售预测!M27),"—",销售预测!M27)</f>
        <v>0</v>
      </c>
      <c r="AM31" s="188">
        <f>IF(ISERROR(销售预测!N27),"—",销售预测!N27)</f>
        <v>0</v>
      </c>
      <c r="AN31" s="188">
        <f>IF(ISERROR(销售预测!O27),"—",销售预测!O27)</f>
        <v>0</v>
      </c>
      <c r="AO31" s="188">
        <f>IF(ISERROR(销售预测!P27),"—",销售预测!P27)</f>
        <v>0</v>
      </c>
      <c r="AP31" s="188">
        <f>IF(ISERROR(销售预测!Q27),"—",销售预测!Q27)</f>
        <v>0</v>
      </c>
      <c r="AQ31" s="188">
        <f>IF(ISERROR(销售预测!R27),"—",销售预测!R27)</f>
        <v>0</v>
      </c>
      <c r="AR31" s="188">
        <f>IF(ISERROR(销售预测!S27),"—",销售预测!S27)</f>
        <v>0</v>
      </c>
      <c r="AS31" s="188">
        <f>IF(ISERROR(销售预测!T27),"—",销售预测!T27)</f>
        <v>0</v>
      </c>
      <c r="AT31" s="188">
        <f>IF(ISERROR(销售预测!U27),"—",销售预测!U27)</f>
        <v>0</v>
      </c>
    </row>
    <row r="32" spans="1:46" ht="15" customHeight="1">
      <c r="B32" s="427"/>
      <c r="C32" s="425" t="s">
        <v>449</v>
      </c>
      <c r="E32" s="448" t="str">
        <f>IF(ISERROR(E31/E8),"—",E31/E8)</f>
        <v>—</v>
      </c>
      <c r="F32" s="448" t="str">
        <f t="shared" ref="F32:AK32" si="50">IF(ISERROR(F31/F8),"—",F31/F8)</f>
        <v>—</v>
      </c>
      <c r="G32" s="448" t="str">
        <f t="shared" si="50"/>
        <v>—</v>
      </c>
      <c r="H32" s="448" t="str">
        <f t="shared" si="50"/>
        <v>—</v>
      </c>
      <c r="I32" s="448" t="str">
        <f t="shared" si="50"/>
        <v>—</v>
      </c>
      <c r="J32" s="448" t="str">
        <f t="shared" si="50"/>
        <v>—</v>
      </c>
      <c r="K32" s="448" t="str">
        <f t="shared" si="50"/>
        <v>—</v>
      </c>
      <c r="L32" s="448" t="str">
        <f t="shared" si="50"/>
        <v>—</v>
      </c>
      <c r="M32" s="448" t="str">
        <f t="shared" si="50"/>
        <v>—</v>
      </c>
      <c r="N32" s="448" t="str">
        <f t="shared" si="50"/>
        <v>—</v>
      </c>
      <c r="O32" s="448" t="str">
        <f t="shared" si="50"/>
        <v>—</v>
      </c>
      <c r="P32" s="448" t="str">
        <f t="shared" si="50"/>
        <v>—</v>
      </c>
      <c r="Q32" s="448" t="str">
        <f t="shared" si="50"/>
        <v>—</v>
      </c>
      <c r="R32" s="448" t="str">
        <f t="shared" si="50"/>
        <v>—</v>
      </c>
      <c r="S32" s="448" t="str">
        <f t="shared" si="50"/>
        <v>—</v>
      </c>
      <c r="T32" s="448" t="str">
        <f t="shared" si="50"/>
        <v>—</v>
      </c>
      <c r="U32" s="448" t="str">
        <f t="shared" si="50"/>
        <v>—</v>
      </c>
      <c r="V32" s="448" t="str">
        <f t="shared" si="50"/>
        <v>—</v>
      </c>
      <c r="W32" s="448" t="str">
        <f t="shared" si="50"/>
        <v>—</v>
      </c>
      <c r="X32" s="448" t="str">
        <f t="shared" si="50"/>
        <v>—</v>
      </c>
      <c r="Y32" s="448" t="str">
        <f t="shared" si="50"/>
        <v>—</v>
      </c>
      <c r="Z32" s="448" t="str">
        <f t="shared" si="50"/>
        <v>—</v>
      </c>
      <c r="AA32" s="448" t="str">
        <f t="shared" si="50"/>
        <v>—</v>
      </c>
      <c r="AB32" s="448" t="str">
        <f t="shared" si="50"/>
        <v>—</v>
      </c>
      <c r="AC32" s="448" t="str">
        <f t="shared" si="50"/>
        <v>—</v>
      </c>
      <c r="AD32" s="448" t="str">
        <f t="shared" si="50"/>
        <v>—</v>
      </c>
      <c r="AE32" s="448" t="str">
        <f t="shared" si="50"/>
        <v>—</v>
      </c>
      <c r="AF32" s="448" t="str">
        <f t="shared" si="50"/>
        <v>—</v>
      </c>
      <c r="AG32" s="448" t="str">
        <f t="shared" si="50"/>
        <v>—</v>
      </c>
      <c r="AH32" s="448" t="str">
        <f t="shared" si="50"/>
        <v>—</v>
      </c>
      <c r="AI32" s="448" t="str">
        <f t="shared" si="50"/>
        <v>—</v>
      </c>
      <c r="AJ32" s="448" t="str">
        <f t="shared" si="50"/>
        <v>—</v>
      </c>
      <c r="AK32" s="448" t="str">
        <f t="shared" si="50"/>
        <v>—</v>
      </c>
      <c r="AL32" s="448" t="str">
        <f t="shared" ref="AL32:AT32" si="51">IF(ISERROR(AL31/AL8),"—",AL31/AL8)</f>
        <v>—</v>
      </c>
      <c r="AM32" s="448" t="str">
        <f t="shared" si="51"/>
        <v>—</v>
      </c>
      <c r="AN32" s="448" t="str">
        <f t="shared" si="51"/>
        <v>—</v>
      </c>
      <c r="AO32" s="448" t="str">
        <f t="shared" si="51"/>
        <v>—</v>
      </c>
      <c r="AP32" s="448" t="str">
        <f t="shared" si="51"/>
        <v>—</v>
      </c>
      <c r="AQ32" s="448" t="str">
        <f t="shared" si="51"/>
        <v>—</v>
      </c>
      <c r="AR32" s="448" t="str">
        <f t="shared" si="51"/>
        <v>—</v>
      </c>
      <c r="AS32" s="448" t="str">
        <f t="shared" si="51"/>
        <v>—</v>
      </c>
      <c r="AT32" s="448" t="str">
        <f t="shared" si="51"/>
        <v>—</v>
      </c>
    </row>
    <row r="33" spans="1:47" ht="15" customHeight="1" outlineLevel="1">
      <c r="A33" s="426"/>
      <c r="B33" s="126" t="s">
        <v>83</v>
      </c>
      <c r="C33" s="133"/>
      <c r="D33" s="428"/>
      <c r="E33" s="188">
        <f>财务基础数据!J14*目录!$D$6</f>
        <v>0</v>
      </c>
      <c r="F33" s="188">
        <f>财务基础数据!K14*目录!$D$6</f>
        <v>0</v>
      </c>
      <c r="G33" s="188">
        <f>财务基础数据!L14*目录!$D$6</f>
        <v>0</v>
      </c>
      <c r="H33" s="188">
        <f>财务基础数据!M14*目录!$D$6</f>
        <v>0</v>
      </c>
      <c r="I33" s="188">
        <f>财务基础数据!N14*目录!$D$6</f>
        <v>0</v>
      </c>
      <c r="J33" s="188">
        <f>财务基础数据!O14*目录!$D$6</f>
        <v>0</v>
      </c>
      <c r="K33" s="188">
        <f>财务基础数据!P14*目录!$D$6</f>
        <v>0</v>
      </c>
      <c r="L33" s="188">
        <f>财务基础数据!Q14*目录!$D$6</f>
        <v>0</v>
      </c>
      <c r="M33" s="188">
        <f>财务基础数据!R14*目录!$D$6</f>
        <v>0</v>
      </c>
      <c r="N33" s="188">
        <f>财务基础数据!S14*目录!$D$6</f>
        <v>0</v>
      </c>
      <c r="O33" s="188">
        <f>财务基础数据!T14*目录!$D$6</f>
        <v>0</v>
      </c>
      <c r="P33" s="188">
        <f>财务基础数据!U14*目录!$D$6</f>
        <v>0</v>
      </c>
      <c r="Q33" s="188">
        <f>财务基础数据!V14*目录!$D$6</f>
        <v>0</v>
      </c>
      <c r="R33" s="188">
        <f>财务基础数据!W14*目录!$D$6</f>
        <v>0</v>
      </c>
      <c r="S33" s="188">
        <f>财务基础数据!X14*目录!$D$6</f>
        <v>0</v>
      </c>
      <c r="T33" s="188">
        <f>财务基础数据!Y14*目录!$D$6</f>
        <v>0</v>
      </c>
      <c r="U33" s="188">
        <f>财务基础数据!Z14*目录!$D$6</f>
        <v>0</v>
      </c>
      <c r="V33" s="188">
        <f>财务基础数据!AA14*目录!$D$6</f>
        <v>0</v>
      </c>
      <c r="W33" s="188">
        <f>财务基础数据!AB14*目录!$D$6</f>
        <v>0</v>
      </c>
      <c r="X33" s="188">
        <f>财务基础数据!AC14*目录!$D$6</f>
        <v>0</v>
      </c>
      <c r="Y33" s="188">
        <f>财务基础数据!AD14*目录!$D$6</f>
        <v>0</v>
      </c>
      <c r="Z33" s="188">
        <f>财务基础数据!AE14*目录!$D$6</f>
        <v>0</v>
      </c>
      <c r="AA33" s="188">
        <f>财务基础数据!AF14*目录!$D$6</f>
        <v>0</v>
      </c>
      <c r="AB33" s="188">
        <f>财务基础数据!AG14*目录!$D$6</f>
        <v>0</v>
      </c>
      <c r="AC33" s="188">
        <f>财务基础数据!AH14*目录!$D$6</f>
        <v>0</v>
      </c>
      <c r="AD33" s="188">
        <f>财务基础数据!AI14*目录!$D$6</f>
        <v>0</v>
      </c>
      <c r="AE33" s="188">
        <f>财务基础数据!AJ14*目录!$D$6</f>
        <v>0</v>
      </c>
      <c r="AF33" s="188">
        <f>财务基础数据!AK14*目录!$D$6</f>
        <v>0</v>
      </c>
      <c r="AG33" s="188">
        <f>财务基础数据!AL14*目录!$D$6</f>
        <v>0</v>
      </c>
      <c r="AH33" s="188">
        <f>财务基础数据!AM14*目录!$D$6</f>
        <v>0</v>
      </c>
      <c r="AI33" s="188">
        <f>财务基础数据!AN14*目录!$D$6</f>
        <v>0</v>
      </c>
      <c r="AJ33" s="188">
        <f>财务基础数据!AO14*目录!$D$6</f>
        <v>0</v>
      </c>
      <c r="AK33" s="188">
        <f>IF(ISERROR(销售预测!L30),"—",销售预测!L30)</f>
        <v>0</v>
      </c>
      <c r="AL33" s="188">
        <f>IF(ISERROR(销售预测!M30),"—",销售预测!M30)</f>
        <v>0</v>
      </c>
      <c r="AM33" s="188">
        <f>IF(ISERROR(销售预测!N30),"—",销售预测!N30)</f>
        <v>0</v>
      </c>
      <c r="AN33" s="188">
        <f>IF(ISERROR(销售预测!O30),"—",销售预测!O30)</f>
        <v>0</v>
      </c>
      <c r="AO33" s="188">
        <f>IF(ISERROR(销售预测!P30),"—",销售预测!P30)</f>
        <v>0</v>
      </c>
      <c r="AP33" s="188">
        <f>IF(ISERROR(销售预测!Q30),"—",销售预测!Q30)</f>
        <v>0</v>
      </c>
      <c r="AQ33" s="188">
        <f>IF(ISERROR(销售预测!R30),"—",销售预测!R30)</f>
        <v>0</v>
      </c>
      <c r="AR33" s="188">
        <f>IF(ISERROR(销售预测!S30),"—",销售预测!S30)</f>
        <v>0</v>
      </c>
      <c r="AS33" s="188">
        <f>IF(ISERROR(销售预测!T30),"—",销售预测!T30)</f>
        <v>0</v>
      </c>
      <c r="AT33" s="188">
        <f>IF(ISERROR(销售预测!U30),"—",销售预测!U30)</f>
        <v>0</v>
      </c>
    </row>
    <row r="34" spans="1:47" ht="15" customHeight="1" outlineLevel="1">
      <c r="A34" s="426"/>
      <c r="B34" s="133"/>
      <c r="C34" s="425" t="s">
        <v>449</v>
      </c>
      <c r="D34" s="428"/>
      <c r="E34" s="443" t="str">
        <f>IF(ISERROR(E33/E8)," —",E33/E8)</f>
        <v xml:space="preserve"> —</v>
      </c>
      <c r="F34" s="443" t="str">
        <f t="shared" ref="F34:AK34" si="52">IF(ISERROR(F33/F8)," —",F33/F8)</f>
        <v xml:space="preserve"> —</v>
      </c>
      <c r="G34" s="443" t="str">
        <f t="shared" si="52"/>
        <v xml:space="preserve"> —</v>
      </c>
      <c r="H34" s="443" t="str">
        <f t="shared" si="52"/>
        <v xml:space="preserve"> —</v>
      </c>
      <c r="I34" s="443" t="str">
        <f t="shared" si="52"/>
        <v xml:space="preserve"> —</v>
      </c>
      <c r="J34" s="443" t="str">
        <f t="shared" si="52"/>
        <v xml:space="preserve"> —</v>
      </c>
      <c r="K34" s="443" t="str">
        <f t="shared" si="52"/>
        <v xml:space="preserve"> —</v>
      </c>
      <c r="L34" s="443" t="str">
        <f t="shared" si="52"/>
        <v xml:space="preserve"> —</v>
      </c>
      <c r="M34" s="443" t="str">
        <f t="shared" si="52"/>
        <v xml:space="preserve"> —</v>
      </c>
      <c r="N34" s="443" t="str">
        <f t="shared" si="52"/>
        <v xml:space="preserve"> —</v>
      </c>
      <c r="O34" s="443" t="str">
        <f t="shared" si="52"/>
        <v xml:space="preserve"> —</v>
      </c>
      <c r="P34" s="443" t="str">
        <f t="shared" si="52"/>
        <v xml:space="preserve"> —</v>
      </c>
      <c r="Q34" s="443" t="str">
        <f t="shared" si="52"/>
        <v xml:space="preserve"> —</v>
      </c>
      <c r="R34" s="443" t="str">
        <f t="shared" si="52"/>
        <v xml:space="preserve"> —</v>
      </c>
      <c r="S34" s="443" t="str">
        <f t="shared" si="52"/>
        <v xml:space="preserve"> —</v>
      </c>
      <c r="T34" s="443" t="str">
        <f t="shared" si="52"/>
        <v xml:space="preserve"> —</v>
      </c>
      <c r="U34" s="443" t="str">
        <f t="shared" si="52"/>
        <v xml:space="preserve"> —</v>
      </c>
      <c r="V34" s="443" t="str">
        <f t="shared" si="52"/>
        <v xml:space="preserve"> —</v>
      </c>
      <c r="W34" s="443" t="str">
        <f t="shared" si="52"/>
        <v xml:space="preserve"> —</v>
      </c>
      <c r="X34" s="443" t="str">
        <f t="shared" si="52"/>
        <v xml:space="preserve"> —</v>
      </c>
      <c r="Y34" s="443" t="str">
        <f t="shared" si="52"/>
        <v xml:space="preserve"> —</v>
      </c>
      <c r="Z34" s="443" t="str">
        <f t="shared" si="52"/>
        <v xml:space="preserve"> —</v>
      </c>
      <c r="AA34" s="443" t="str">
        <f t="shared" si="52"/>
        <v xml:space="preserve"> —</v>
      </c>
      <c r="AB34" s="443" t="str">
        <f t="shared" si="52"/>
        <v xml:space="preserve"> —</v>
      </c>
      <c r="AC34" s="443" t="str">
        <f t="shared" si="52"/>
        <v xml:space="preserve"> —</v>
      </c>
      <c r="AD34" s="443" t="str">
        <f t="shared" si="52"/>
        <v xml:space="preserve"> —</v>
      </c>
      <c r="AE34" s="443" t="str">
        <f t="shared" si="52"/>
        <v xml:space="preserve"> —</v>
      </c>
      <c r="AF34" s="443" t="str">
        <f t="shared" si="52"/>
        <v xml:space="preserve"> —</v>
      </c>
      <c r="AG34" s="443" t="str">
        <f t="shared" si="52"/>
        <v xml:space="preserve"> —</v>
      </c>
      <c r="AH34" s="443" t="str">
        <f t="shared" si="52"/>
        <v xml:space="preserve"> —</v>
      </c>
      <c r="AI34" s="443" t="str">
        <f t="shared" si="52"/>
        <v xml:space="preserve"> —</v>
      </c>
      <c r="AJ34" s="443" t="str">
        <f t="shared" si="52"/>
        <v xml:space="preserve"> —</v>
      </c>
      <c r="AK34" s="443" t="str">
        <f t="shared" si="52"/>
        <v xml:space="preserve"> —</v>
      </c>
      <c r="AL34" s="443" t="str">
        <f t="shared" ref="AL34:AT34" si="53">IF(ISERROR(AL33/AL8)," —",AL33/AL8)</f>
        <v xml:space="preserve"> —</v>
      </c>
      <c r="AM34" s="443" t="str">
        <f t="shared" si="53"/>
        <v xml:space="preserve"> —</v>
      </c>
      <c r="AN34" s="443" t="str">
        <f t="shared" si="53"/>
        <v xml:space="preserve"> —</v>
      </c>
      <c r="AO34" s="443" t="str">
        <f t="shared" si="53"/>
        <v xml:space="preserve"> —</v>
      </c>
      <c r="AP34" s="443" t="str">
        <f t="shared" si="53"/>
        <v xml:space="preserve"> —</v>
      </c>
      <c r="AQ34" s="443" t="str">
        <f t="shared" si="53"/>
        <v xml:space="preserve"> —</v>
      </c>
      <c r="AR34" s="443" t="str">
        <f t="shared" si="53"/>
        <v xml:space="preserve"> —</v>
      </c>
      <c r="AS34" s="443" t="str">
        <f t="shared" si="53"/>
        <v xml:space="preserve"> —</v>
      </c>
      <c r="AT34" s="443" t="str">
        <f t="shared" si="53"/>
        <v xml:space="preserve"> —</v>
      </c>
    </row>
    <row r="35" spans="1:47" ht="15" customHeight="1" outlineLevel="1">
      <c r="A35" s="426"/>
      <c r="B35" s="133"/>
      <c r="C35" s="425"/>
      <c r="D35" s="428"/>
      <c r="E35" s="443"/>
      <c r="F35" s="443"/>
      <c r="G35" s="443"/>
      <c r="H35" s="443"/>
      <c r="I35" s="443"/>
      <c r="J35" s="443"/>
      <c r="K35" s="443"/>
      <c r="L35" s="443"/>
      <c r="M35" s="443"/>
      <c r="N35" s="443"/>
      <c r="O35" s="443"/>
      <c r="P35" s="443"/>
      <c r="Q35" s="443"/>
      <c r="R35" s="443"/>
      <c r="S35" s="443"/>
      <c r="T35" s="443"/>
      <c r="U35" s="443"/>
      <c r="V35" s="443"/>
      <c r="W35" s="443"/>
      <c r="X35" s="443"/>
      <c r="Y35" s="443"/>
      <c r="Z35" s="443"/>
      <c r="AA35" s="443"/>
      <c r="AB35" s="443"/>
      <c r="AC35" s="443"/>
      <c r="AD35" s="443"/>
      <c r="AE35" s="443"/>
      <c r="AF35" s="443"/>
      <c r="AG35" s="443"/>
      <c r="AH35" s="443"/>
      <c r="AI35" s="443"/>
      <c r="AJ35" s="443"/>
      <c r="AK35" s="443"/>
      <c r="AL35" s="443"/>
      <c r="AM35" s="443"/>
      <c r="AN35" s="443"/>
      <c r="AO35" s="443"/>
      <c r="AP35" s="443"/>
      <c r="AQ35" s="443"/>
      <c r="AR35" s="443"/>
      <c r="AS35" s="443"/>
      <c r="AT35" s="443"/>
    </row>
    <row r="36" spans="1:47" s="399" customFormat="1" ht="15" customHeight="1">
      <c r="A36" s="430"/>
      <c r="B36" s="125" t="s">
        <v>330</v>
      </c>
      <c r="C36" s="125"/>
      <c r="D36" s="432"/>
      <c r="E36" s="118">
        <f>财务基础数据!J15*目录!$D$6</f>
        <v>0</v>
      </c>
      <c r="F36" s="118">
        <f>财务基础数据!K15*目录!$D$6</f>
        <v>0</v>
      </c>
      <c r="G36" s="118">
        <f>财务基础数据!L15*目录!$D$6</f>
        <v>0</v>
      </c>
      <c r="H36" s="118">
        <f>财务基础数据!M15*目录!$D$6</f>
        <v>0</v>
      </c>
      <c r="I36" s="118">
        <f>财务基础数据!N15*目录!$D$6</f>
        <v>0</v>
      </c>
      <c r="J36" s="118">
        <f>财务基础数据!O15*目录!$D$6</f>
        <v>0</v>
      </c>
      <c r="K36" s="118">
        <f>财务基础数据!P15*目录!$D$6</f>
        <v>0</v>
      </c>
      <c r="L36" s="118">
        <f>财务基础数据!Q15*目录!$D$6</f>
        <v>0</v>
      </c>
      <c r="M36" s="118">
        <f>财务基础数据!R15*目录!$D$6</f>
        <v>0</v>
      </c>
      <c r="N36" s="118">
        <f>财务基础数据!S15*目录!$D$6</f>
        <v>0</v>
      </c>
      <c r="O36" s="118">
        <f>财务基础数据!T15*目录!$D$6</f>
        <v>0</v>
      </c>
      <c r="P36" s="118">
        <f>财务基础数据!U15*目录!$D$6</f>
        <v>0</v>
      </c>
      <c r="Q36" s="118">
        <f>财务基础数据!V15*目录!$D$6</f>
        <v>0</v>
      </c>
      <c r="R36" s="118">
        <f>财务基础数据!W15*目录!$D$6</f>
        <v>0</v>
      </c>
      <c r="S36" s="118">
        <f>财务基础数据!X15*目录!$D$6</f>
        <v>0</v>
      </c>
      <c r="T36" s="118">
        <f>财务基础数据!Y15*目录!$D$6</f>
        <v>0</v>
      </c>
      <c r="U36" s="118">
        <f>财务基础数据!Z15*目录!$D$6</f>
        <v>0</v>
      </c>
      <c r="V36" s="118">
        <f>财务基础数据!AA15*目录!$D$6</f>
        <v>0</v>
      </c>
      <c r="W36" s="118">
        <f>财务基础数据!AB15*目录!$D$6</f>
        <v>0</v>
      </c>
      <c r="X36" s="118">
        <f>财务基础数据!AC15*目录!$D$6</f>
        <v>0</v>
      </c>
      <c r="Y36" s="118">
        <f>财务基础数据!AD15*目录!$D$6</f>
        <v>0</v>
      </c>
      <c r="Z36" s="118">
        <f>财务基础数据!AE15*目录!$D$6</f>
        <v>0</v>
      </c>
      <c r="AA36" s="118">
        <f>财务基础数据!AF15*目录!$D$6</f>
        <v>0</v>
      </c>
      <c r="AB36" s="118">
        <f>财务基础数据!AG15*目录!$D$6</f>
        <v>0</v>
      </c>
      <c r="AC36" s="118">
        <f>财务基础数据!AH15*目录!$D$6</f>
        <v>0</v>
      </c>
      <c r="AD36" s="118">
        <f>财务基础数据!AI15*目录!$D$6</f>
        <v>0</v>
      </c>
      <c r="AE36" s="118">
        <f>财务基础数据!AJ15*目录!$D$6</f>
        <v>0</v>
      </c>
      <c r="AF36" s="118">
        <f>财务基础数据!AK15*目录!$D$6</f>
        <v>0</v>
      </c>
      <c r="AG36" s="118">
        <f>财务基础数据!AL15*目录!$D$6</f>
        <v>0</v>
      </c>
      <c r="AH36" s="118">
        <f>财务基础数据!AM15*目录!$D$6</f>
        <v>0</v>
      </c>
      <c r="AI36" s="118">
        <f>财务基础数据!AN15*目录!$D$6</f>
        <v>0</v>
      </c>
      <c r="AJ36" s="118">
        <f>财务基础数据!AO15*目录!$D$6</f>
        <v>0</v>
      </c>
      <c r="AK36" s="118">
        <f>IF(ISERROR(资产预测!L215),"—",资产预测!L215)</f>
        <v>0</v>
      </c>
      <c r="AL36" s="118">
        <f>IF(ISERROR(资产预测!M215),"—",资产预测!M215)</f>
        <v>0</v>
      </c>
      <c r="AM36" s="118">
        <f>IF(ISERROR(资产预测!N215),"—",资产预测!N215)</f>
        <v>0</v>
      </c>
      <c r="AN36" s="118">
        <f>IF(ISERROR(资产预测!O215),"—",资产预测!O215)</f>
        <v>0</v>
      </c>
      <c r="AO36" s="118">
        <f>IF(ISERROR(资产预测!P215),"—",资产预测!P215)</f>
        <v>0</v>
      </c>
      <c r="AP36" s="118">
        <f>IF(ISERROR(资产预测!Q215),"—",资产预测!Q215)</f>
        <v>0</v>
      </c>
      <c r="AQ36" s="118">
        <f>IF(ISERROR(资产预测!R215),"—",资产预测!R215)</f>
        <v>0</v>
      </c>
      <c r="AR36" s="118">
        <f>IF(ISERROR(资产预测!S215),"—",资产预测!S215)</f>
        <v>0</v>
      </c>
      <c r="AS36" s="118">
        <f>IF(ISERROR(资产预测!T215),"—",资产预测!T215)</f>
        <v>0</v>
      </c>
      <c r="AT36" s="118">
        <f>IF(ISERROR(资产预测!U215),"—",资产预测!U215)</f>
        <v>0</v>
      </c>
    </row>
    <row r="37" spans="1:47" s="402" customFormat="1" ht="15" customHeight="1">
      <c r="A37" s="430"/>
      <c r="B37" s="125"/>
      <c r="C37" s="431" t="s">
        <v>449</v>
      </c>
      <c r="D37" s="432"/>
      <c r="E37" s="449" t="str">
        <f>IF(ISERROR(E36/E8),"—",E36/E8)</f>
        <v>—</v>
      </c>
      <c r="F37" s="449" t="str">
        <f t="shared" ref="F37:AT37" si="54">IF(ISERROR(F36/F8),"—",F36/F8)</f>
        <v>—</v>
      </c>
      <c r="G37" s="449" t="str">
        <f t="shared" si="54"/>
        <v>—</v>
      </c>
      <c r="H37" s="449" t="str">
        <f t="shared" si="54"/>
        <v>—</v>
      </c>
      <c r="I37" s="449" t="str">
        <f t="shared" si="54"/>
        <v>—</v>
      </c>
      <c r="J37" s="449" t="str">
        <f t="shared" si="54"/>
        <v>—</v>
      </c>
      <c r="K37" s="449" t="str">
        <f t="shared" si="54"/>
        <v>—</v>
      </c>
      <c r="L37" s="449" t="str">
        <f t="shared" si="54"/>
        <v>—</v>
      </c>
      <c r="M37" s="449" t="str">
        <f t="shared" si="54"/>
        <v>—</v>
      </c>
      <c r="N37" s="449" t="str">
        <f t="shared" si="54"/>
        <v>—</v>
      </c>
      <c r="O37" s="449" t="str">
        <f t="shared" si="54"/>
        <v>—</v>
      </c>
      <c r="P37" s="449" t="str">
        <f t="shared" si="54"/>
        <v>—</v>
      </c>
      <c r="Q37" s="449" t="str">
        <f t="shared" si="54"/>
        <v>—</v>
      </c>
      <c r="R37" s="449" t="str">
        <f t="shared" si="54"/>
        <v>—</v>
      </c>
      <c r="S37" s="449" t="str">
        <f t="shared" si="54"/>
        <v>—</v>
      </c>
      <c r="T37" s="449" t="str">
        <f t="shared" si="54"/>
        <v>—</v>
      </c>
      <c r="U37" s="449" t="str">
        <f t="shared" si="54"/>
        <v>—</v>
      </c>
      <c r="V37" s="449" t="str">
        <f t="shared" si="54"/>
        <v>—</v>
      </c>
      <c r="W37" s="449" t="str">
        <f t="shared" si="54"/>
        <v>—</v>
      </c>
      <c r="X37" s="449" t="str">
        <f t="shared" si="54"/>
        <v>—</v>
      </c>
      <c r="Y37" s="449" t="str">
        <f t="shared" si="54"/>
        <v>—</v>
      </c>
      <c r="Z37" s="449" t="str">
        <f t="shared" si="54"/>
        <v>—</v>
      </c>
      <c r="AA37" s="449" t="str">
        <f t="shared" si="54"/>
        <v>—</v>
      </c>
      <c r="AB37" s="449" t="str">
        <f t="shared" si="54"/>
        <v>—</v>
      </c>
      <c r="AC37" s="449" t="str">
        <f t="shared" si="54"/>
        <v>—</v>
      </c>
      <c r="AD37" s="449" t="str">
        <f t="shared" si="54"/>
        <v>—</v>
      </c>
      <c r="AE37" s="449" t="str">
        <f t="shared" si="54"/>
        <v>—</v>
      </c>
      <c r="AF37" s="449" t="str">
        <f t="shared" si="54"/>
        <v>—</v>
      </c>
      <c r="AG37" s="449" t="str">
        <f t="shared" si="54"/>
        <v>—</v>
      </c>
      <c r="AH37" s="449" t="str">
        <f t="shared" si="54"/>
        <v>—</v>
      </c>
      <c r="AI37" s="449" t="str">
        <f t="shared" si="54"/>
        <v>—</v>
      </c>
      <c r="AJ37" s="449" t="str">
        <f t="shared" si="54"/>
        <v>—</v>
      </c>
      <c r="AK37" s="449" t="str">
        <f t="shared" si="54"/>
        <v>—</v>
      </c>
      <c r="AL37" s="449" t="str">
        <f t="shared" si="54"/>
        <v>—</v>
      </c>
      <c r="AM37" s="449" t="str">
        <f t="shared" si="54"/>
        <v>—</v>
      </c>
      <c r="AN37" s="449" t="str">
        <f t="shared" si="54"/>
        <v>—</v>
      </c>
      <c r="AO37" s="449" t="str">
        <f t="shared" si="54"/>
        <v>—</v>
      </c>
      <c r="AP37" s="449" t="str">
        <f t="shared" si="54"/>
        <v>—</v>
      </c>
      <c r="AQ37" s="449" t="str">
        <f t="shared" si="54"/>
        <v>—</v>
      </c>
      <c r="AR37" s="449" t="str">
        <f t="shared" si="54"/>
        <v>—</v>
      </c>
      <c r="AS37" s="449" t="str">
        <f t="shared" si="54"/>
        <v>—</v>
      </c>
      <c r="AT37" s="449" t="str">
        <f t="shared" si="54"/>
        <v>—</v>
      </c>
    </row>
    <row r="38" spans="1:47" s="30" customFormat="1" ht="15" customHeight="1">
      <c r="A38" s="430"/>
      <c r="B38" s="125" t="s">
        <v>452</v>
      </c>
      <c r="C38" s="431"/>
      <c r="D38" s="432"/>
      <c r="E38" s="118">
        <f>财务基础数据!J16*目录!$D$6</f>
        <v>0</v>
      </c>
      <c r="F38" s="118">
        <f>财务基础数据!K16*目录!$D$6</f>
        <v>0</v>
      </c>
      <c r="G38" s="118">
        <f>财务基础数据!L16*目录!$D$6</f>
        <v>0</v>
      </c>
      <c r="H38" s="118">
        <f>财务基础数据!M16*目录!$D$6</f>
        <v>0</v>
      </c>
      <c r="I38" s="118">
        <f>财务基础数据!N16*目录!$D$6</f>
        <v>0</v>
      </c>
      <c r="J38" s="118">
        <f>财务基础数据!O16*目录!$D$6</f>
        <v>0</v>
      </c>
      <c r="K38" s="118">
        <f>财务基础数据!P16*目录!$D$6</f>
        <v>0</v>
      </c>
      <c r="L38" s="118">
        <f>财务基础数据!Q16*目录!$D$6</f>
        <v>0</v>
      </c>
      <c r="M38" s="118">
        <f>财务基础数据!R16*目录!$D$6</f>
        <v>0</v>
      </c>
      <c r="N38" s="118">
        <f>财务基础数据!S16*目录!$D$6</f>
        <v>0</v>
      </c>
      <c r="O38" s="118">
        <f>财务基础数据!T16*目录!$D$6</f>
        <v>0</v>
      </c>
      <c r="P38" s="118">
        <f>财务基础数据!U16*目录!$D$6</f>
        <v>0</v>
      </c>
      <c r="Q38" s="118">
        <f>财务基础数据!V16*目录!$D$6</f>
        <v>0</v>
      </c>
      <c r="R38" s="118">
        <f>财务基础数据!W16*目录!$D$6</f>
        <v>0</v>
      </c>
      <c r="S38" s="118">
        <f>财务基础数据!X16*目录!$D$6</f>
        <v>0</v>
      </c>
      <c r="T38" s="118">
        <f>财务基础数据!Y16*目录!$D$6</f>
        <v>0</v>
      </c>
      <c r="U38" s="118">
        <f>财务基础数据!Z16*目录!$D$6</f>
        <v>0</v>
      </c>
      <c r="V38" s="118">
        <f>财务基础数据!AA16*目录!$D$6</f>
        <v>0</v>
      </c>
      <c r="W38" s="118">
        <f>财务基础数据!AB16*目录!$D$6</f>
        <v>0</v>
      </c>
      <c r="X38" s="118">
        <f>财务基础数据!AC16*目录!$D$6</f>
        <v>0</v>
      </c>
      <c r="Y38" s="118">
        <f>财务基础数据!AD16*目录!$D$6</f>
        <v>0</v>
      </c>
      <c r="Z38" s="118">
        <f>财务基础数据!AE16*目录!$D$6</f>
        <v>0</v>
      </c>
      <c r="AA38" s="118">
        <f>财务基础数据!AF16*目录!$D$6</f>
        <v>0</v>
      </c>
      <c r="AB38" s="118">
        <f>财务基础数据!AG16*目录!$D$6</f>
        <v>0</v>
      </c>
      <c r="AC38" s="118">
        <f>财务基础数据!AH16*目录!$D$6</f>
        <v>0</v>
      </c>
      <c r="AD38" s="118">
        <f>财务基础数据!AI16*目录!$D$6</f>
        <v>0</v>
      </c>
      <c r="AE38" s="118">
        <f>财务基础数据!AJ16*目录!$D$6</f>
        <v>0</v>
      </c>
      <c r="AF38" s="118">
        <f>财务基础数据!AK16*目录!$D$6</f>
        <v>0</v>
      </c>
      <c r="AG38" s="118">
        <f>财务基础数据!AL16*目录!$D$6</f>
        <v>0</v>
      </c>
      <c r="AH38" s="118">
        <f>财务基础数据!AM16*目录!$D$6</f>
        <v>0</v>
      </c>
      <c r="AI38" s="118">
        <f>财务基础数据!AN16*目录!$D$6</f>
        <v>0</v>
      </c>
      <c r="AJ38" s="118">
        <f>财务基础数据!AO16*目录!$D$6</f>
        <v>0</v>
      </c>
      <c r="AK38" s="118">
        <f>IF(ISERROR(资产预测!L207),"—",资产预测!L207)</f>
        <v>0</v>
      </c>
      <c r="AL38" s="118">
        <f>IF(ISERROR(资产预测!M207),"—",资产预测!M207)</f>
        <v>0</v>
      </c>
      <c r="AM38" s="118">
        <f>IF(ISERROR(资产预测!N207),"—",资产预测!N207)</f>
        <v>0</v>
      </c>
      <c r="AN38" s="118">
        <f>IF(ISERROR(资产预测!O207),"—",资产预测!O207)</f>
        <v>0</v>
      </c>
      <c r="AO38" s="118">
        <f>IF(ISERROR(资产预测!P207),"—",资产预测!P207)</f>
        <v>0</v>
      </c>
      <c r="AP38" s="118">
        <f>IF(ISERROR(资产预测!Q207),"—",资产预测!Q207)</f>
        <v>0</v>
      </c>
      <c r="AQ38" s="118">
        <f>IF(ISERROR(资产预测!R207),"—",资产预测!R207)</f>
        <v>0</v>
      </c>
      <c r="AR38" s="118">
        <f>IF(ISERROR(资产预测!S207),"—",资产预测!S207)</f>
        <v>0</v>
      </c>
      <c r="AS38" s="118">
        <f>IF(ISERROR(资产预测!T207),"—",资产预测!T207)</f>
        <v>0</v>
      </c>
      <c r="AT38" s="118">
        <f>IF(ISERROR(资产预测!U207),"—",资产预测!U207)</f>
        <v>0</v>
      </c>
    </row>
    <row r="39" spans="1:47" s="402" customFormat="1" ht="15" customHeight="1">
      <c r="A39" s="430"/>
      <c r="B39" s="125" t="s">
        <v>453</v>
      </c>
      <c r="C39" s="125"/>
      <c r="D39" s="432"/>
      <c r="E39" s="118">
        <f>财务基础数据!J17*目录!$D$6</f>
        <v>0</v>
      </c>
      <c r="F39" s="118">
        <f>财务基础数据!K17*目录!$D$6</f>
        <v>0</v>
      </c>
      <c r="G39" s="118">
        <f>财务基础数据!L17*目录!$D$6</f>
        <v>0</v>
      </c>
      <c r="H39" s="118">
        <f>财务基础数据!M17*目录!$D$6</f>
        <v>0</v>
      </c>
      <c r="I39" s="118">
        <f>财务基础数据!N17*目录!$D$6</f>
        <v>0</v>
      </c>
      <c r="J39" s="118">
        <f>财务基础数据!O17*目录!$D$6</f>
        <v>0</v>
      </c>
      <c r="K39" s="118">
        <f>财务基础数据!P17*目录!$D$6</f>
        <v>0</v>
      </c>
      <c r="L39" s="118">
        <f>财务基础数据!Q17*目录!$D$6</f>
        <v>0</v>
      </c>
      <c r="M39" s="118">
        <f>财务基础数据!R17*目录!$D$6</f>
        <v>0</v>
      </c>
      <c r="N39" s="118">
        <f>财务基础数据!S17*目录!$D$6</f>
        <v>0</v>
      </c>
      <c r="O39" s="118">
        <f>财务基础数据!T17*目录!$D$6</f>
        <v>0</v>
      </c>
      <c r="P39" s="118">
        <f>财务基础数据!U17*目录!$D$6</f>
        <v>0</v>
      </c>
      <c r="Q39" s="118">
        <f>财务基础数据!V17*目录!$D$6</f>
        <v>0</v>
      </c>
      <c r="R39" s="118">
        <f>财务基础数据!W17*目录!$D$6</f>
        <v>0</v>
      </c>
      <c r="S39" s="118">
        <f>财务基础数据!X17*目录!$D$6</f>
        <v>0</v>
      </c>
      <c r="T39" s="118">
        <f>财务基础数据!Y17*目录!$D$6</f>
        <v>0</v>
      </c>
      <c r="U39" s="118">
        <f>财务基础数据!Z17*目录!$D$6</f>
        <v>0</v>
      </c>
      <c r="V39" s="118">
        <f>财务基础数据!AA17*目录!$D$6</f>
        <v>0</v>
      </c>
      <c r="W39" s="118">
        <f>财务基础数据!AB17*目录!$D$6</f>
        <v>0</v>
      </c>
      <c r="X39" s="118">
        <f>财务基础数据!AC17*目录!$D$6</f>
        <v>0</v>
      </c>
      <c r="Y39" s="118">
        <f>财务基础数据!AD17*目录!$D$6</f>
        <v>0</v>
      </c>
      <c r="Z39" s="118">
        <f>财务基础数据!AE17*目录!$D$6</f>
        <v>0</v>
      </c>
      <c r="AA39" s="118">
        <f>财务基础数据!AF17*目录!$D$6</f>
        <v>0</v>
      </c>
      <c r="AB39" s="118">
        <f>财务基础数据!AG17*目录!$D$6</f>
        <v>0</v>
      </c>
      <c r="AC39" s="118">
        <f>财务基础数据!AH17*目录!$D$6</f>
        <v>0</v>
      </c>
      <c r="AD39" s="118">
        <f>财务基础数据!AI17*目录!$D$6</f>
        <v>0</v>
      </c>
      <c r="AE39" s="118">
        <f>财务基础数据!AJ17*目录!$D$6</f>
        <v>0</v>
      </c>
      <c r="AF39" s="118">
        <f>财务基础数据!AK17*目录!$D$6</f>
        <v>0</v>
      </c>
      <c r="AG39" s="118">
        <f>财务基础数据!AL17*目录!$D$6</f>
        <v>0</v>
      </c>
      <c r="AH39" s="118">
        <f>财务基础数据!AM17*目录!$D$6</f>
        <v>0</v>
      </c>
      <c r="AI39" s="118">
        <f>财务基础数据!AN17*目录!$D$6</f>
        <v>0</v>
      </c>
      <c r="AJ39" s="118">
        <f>财务基础数据!AO17*目录!$D$6</f>
        <v>0</v>
      </c>
      <c r="AK39" s="118">
        <f>IF(ISERROR(资产预测!L210),"—",资产预测!L210)</f>
        <v>0</v>
      </c>
      <c r="AL39" s="118">
        <f>IF(ISERROR(资产预测!M210),"—",资产预测!M210)</f>
        <v>0</v>
      </c>
      <c r="AM39" s="118">
        <f>IF(ISERROR(资产预测!N210),"—",资产预测!N210)</f>
        <v>0</v>
      </c>
      <c r="AN39" s="118">
        <f>IF(ISERROR(资产预测!O210),"—",资产预测!O210)</f>
        <v>0</v>
      </c>
      <c r="AO39" s="118">
        <f>IF(ISERROR(资产预测!P210),"—",资产预测!P210)</f>
        <v>0</v>
      </c>
      <c r="AP39" s="118">
        <f>IF(ISERROR(资产预测!Q210),"—",资产预测!Q210)</f>
        <v>0</v>
      </c>
      <c r="AQ39" s="118">
        <f>IF(ISERROR(资产预测!R210),"—",资产预测!R210)</f>
        <v>0</v>
      </c>
      <c r="AR39" s="118">
        <f>IF(ISERROR(资产预测!S210),"—",资产预测!S210)</f>
        <v>0</v>
      </c>
      <c r="AS39" s="118">
        <f>IF(ISERROR(资产预测!T210),"—",资产预测!T210)</f>
        <v>0</v>
      </c>
      <c r="AT39" s="118">
        <f>IF(ISERROR(资产预测!U210),"—",资产预测!U210)</f>
        <v>0</v>
      </c>
    </row>
    <row r="40" spans="1:47" s="398" customFormat="1" ht="15" customHeight="1">
      <c r="A40" s="426"/>
      <c r="B40" s="134" t="s">
        <v>454</v>
      </c>
      <c r="C40" s="450"/>
      <c r="D40" s="439"/>
      <c r="E40" s="135">
        <f>E36-(E38-E39)</f>
        <v>0</v>
      </c>
      <c r="F40" s="135">
        <f t="shared" ref="F40:AJ40" si="55">F36-(F38-F39)</f>
        <v>0</v>
      </c>
      <c r="G40" s="135">
        <f t="shared" si="55"/>
        <v>0</v>
      </c>
      <c r="H40" s="135">
        <f t="shared" si="55"/>
        <v>0</v>
      </c>
      <c r="I40" s="135">
        <f t="shared" si="55"/>
        <v>0</v>
      </c>
      <c r="J40" s="135">
        <f t="shared" si="55"/>
        <v>0</v>
      </c>
      <c r="K40" s="135">
        <f t="shared" si="55"/>
        <v>0</v>
      </c>
      <c r="L40" s="135">
        <f t="shared" si="55"/>
        <v>0</v>
      </c>
      <c r="M40" s="135">
        <f t="shared" si="55"/>
        <v>0</v>
      </c>
      <c r="N40" s="135">
        <f t="shared" si="55"/>
        <v>0</v>
      </c>
      <c r="O40" s="135">
        <f t="shared" si="55"/>
        <v>0</v>
      </c>
      <c r="P40" s="135">
        <f t="shared" si="55"/>
        <v>0</v>
      </c>
      <c r="Q40" s="135">
        <f t="shared" si="55"/>
        <v>0</v>
      </c>
      <c r="R40" s="135">
        <f t="shared" si="55"/>
        <v>0</v>
      </c>
      <c r="S40" s="135">
        <f t="shared" si="55"/>
        <v>0</v>
      </c>
      <c r="T40" s="135">
        <f t="shared" si="55"/>
        <v>0</v>
      </c>
      <c r="U40" s="135">
        <f t="shared" si="55"/>
        <v>0</v>
      </c>
      <c r="V40" s="135">
        <f t="shared" si="55"/>
        <v>0</v>
      </c>
      <c r="W40" s="135">
        <f t="shared" si="55"/>
        <v>0</v>
      </c>
      <c r="X40" s="135">
        <f t="shared" si="55"/>
        <v>0</v>
      </c>
      <c r="Y40" s="135">
        <f t="shared" si="55"/>
        <v>0</v>
      </c>
      <c r="Z40" s="135">
        <f t="shared" si="55"/>
        <v>0</v>
      </c>
      <c r="AA40" s="135">
        <f t="shared" si="55"/>
        <v>0</v>
      </c>
      <c r="AB40" s="135">
        <f t="shared" si="55"/>
        <v>0</v>
      </c>
      <c r="AC40" s="135">
        <f t="shared" si="55"/>
        <v>0</v>
      </c>
      <c r="AD40" s="135">
        <f t="shared" si="55"/>
        <v>0</v>
      </c>
      <c r="AE40" s="135">
        <f t="shared" si="55"/>
        <v>0</v>
      </c>
      <c r="AF40" s="135">
        <f t="shared" si="55"/>
        <v>0</v>
      </c>
      <c r="AG40" s="135">
        <f t="shared" si="55"/>
        <v>0</v>
      </c>
      <c r="AH40" s="135">
        <f t="shared" si="55"/>
        <v>0</v>
      </c>
      <c r="AI40" s="135">
        <f t="shared" si="55"/>
        <v>0</v>
      </c>
      <c r="AJ40" s="135">
        <f t="shared" si="55"/>
        <v>0</v>
      </c>
      <c r="AK40" s="135">
        <f>IF(ISERROR(资产预测!L214),"—",资产预测!L214)</f>
        <v>0</v>
      </c>
      <c r="AL40" s="135">
        <f>IF(ISERROR(资产预测!M214),"—",资产预测!M214)</f>
        <v>0</v>
      </c>
      <c r="AM40" s="135">
        <f>IF(ISERROR(资产预测!N214),"—",资产预测!N214)</f>
        <v>0</v>
      </c>
      <c r="AN40" s="135">
        <f>IF(ISERROR(资产预测!O214),"—",资产预测!O214)</f>
        <v>0</v>
      </c>
      <c r="AO40" s="135">
        <f>IF(ISERROR(资产预测!P214),"—",资产预测!P214)</f>
        <v>0</v>
      </c>
      <c r="AP40" s="135">
        <f>IF(ISERROR(资产预测!Q214),"—",资产预测!Q214)</f>
        <v>0</v>
      </c>
      <c r="AQ40" s="135">
        <f>IF(ISERROR(资产预测!R214),"—",资产预测!R214)</f>
        <v>0</v>
      </c>
      <c r="AR40" s="135">
        <f>IF(ISERROR(资产预测!S214),"—",资产预测!S214)</f>
        <v>0</v>
      </c>
      <c r="AS40" s="135">
        <f>IF(ISERROR(资产预测!T214),"—",资产预测!T214)</f>
        <v>0</v>
      </c>
      <c r="AT40" s="135">
        <f>IF(ISERROR(资产预测!U214),"—",资产预测!U214)</f>
        <v>0</v>
      </c>
    </row>
    <row r="41" spans="1:47" s="398" customFormat="1" ht="15" customHeight="1">
      <c r="A41" s="426"/>
      <c r="B41" s="126"/>
      <c r="C41" s="126"/>
      <c r="D41" s="434"/>
      <c r="E41" s="118"/>
      <c r="F41" s="447"/>
      <c r="G41" s="447"/>
      <c r="H41" s="447"/>
      <c r="I41" s="447"/>
      <c r="J41" s="447"/>
      <c r="K41" s="447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60"/>
      <c r="AL41" s="460"/>
      <c r="AM41" s="460"/>
      <c r="AN41" s="460"/>
      <c r="AO41" s="460"/>
      <c r="AP41" s="460"/>
      <c r="AQ41" s="460"/>
      <c r="AR41" s="460"/>
      <c r="AS41" s="460"/>
      <c r="AT41" s="460"/>
    </row>
    <row r="42" spans="1:47" s="30" customFormat="1" ht="15" customHeight="1">
      <c r="A42" s="150"/>
      <c r="B42" s="125" t="s">
        <v>455</v>
      </c>
      <c r="C42" s="451"/>
      <c r="D42" s="419"/>
      <c r="E42" s="118">
        <f>IF(财务基础数据!J45*目录!$D$6=0,E45+E16,财务基础数据!J45*目录!$D$6)</f>
        <v>0</v>
      </c>
      <c r="F42" s="118">
        <f>IF(财务基础数据!K45*目录!$D$6=0,F45+F16,财务基础数据!K45*目录!$D$6)</f>
        <v>0</v>
      </c>
      <c r="G42" s="118">
        <f>IF(财务基础数据!L45*目录!$D$6=0,G45+G16,财务基础数据!L45*目录!$D$6)</f>
        <v>0</v>
      </c>
      <c r="H42" s="118">
        <f>IF(财务基础数据!M45*目录!$D$6=0,H45+H16,财务基础数据!M45*目录!$D$6)</f>
        <v>0</v>
      </c>
      <c r="I42" s="118">
        <f>IF(财务基础数据!N45*目录!$D$6=0,I45+I16,财务基础数据!N45*目录!$D$6)</f>
        <v>0</v>
      </c>
      <c r="J42" s="118">
        <f>IF(财务基础数据!O45*目录!$D$6=0,J45+J16,财务基础数据!O45*目录!$D$6)</f>
        <v>0</v>
      </c>
      <c r="K42" s="118">
        <f>IF(财务基础数据!P45*目录!$D$6=0,K45+K16,财务基础数据!P45*目录!$D$6)</f>
        <v>0</v>
      </c>
      <c r="L42" s="118">
        <f>IF(财务基础数据!Q45*目录!$D$6=0,L45+L16,财务基础数据!Q45*目录!$D$6)</f>
        <v>0</v>
      </c>
      <c r="M42" s="118">
        <f>IF(财务基础数据!R45*目录!$D$6=0,M45+M16,财务基础数据!R45*目录!$D$6)</f>
        <v>0</v>
      </c>
      <c r="N42" s="118">
        <f>IF(财务基础数据!S45*目录!$D$6=0,N45+N16,财务基础数据!S45*目录!$D$6)</f>
        <v>0</v>
      </c>
      <c r="O42" s="118">
        <f>IF(财务基础数据!T45*目录!$D$6=0,O45+O16,财务基础数据!T45*目录!$D$6)</f>
        <v>0</v>
      </c>
      <c r="P42" s="118">
        <f>IF(财务基础数据!U45*目录!$D$6=0,P45+P16,财务基础数据!U45*目录!$D$6)</f>
        <v>0</v>
      </c>
      <c r="Q42" s="118">
        <f>IF(财务基础数据!V45*目录!$D$6=0,Q45+Q16,财务基础数据!V45*目录!$D$6)</f>
        <v>0</v>
      </c>
      <c r="R42" s="118">
        <f>IF(财务基础数据!W45*目录!$D$6=0,R45+R16,财务基础数据!W45*目录!$D$6)</f>
        <v>0</v>
      </c>
      <c r="S42" s="118">
        <f>IF(财务基础数据!X45*目录!$D$6=0,S45+S16,财务基础数据!X45*目录!$D$6)</f>
        <v>0</v>
      </c>
      <c r="T42" s="118">
        <f>IF(财务基础数据!Y45*目录!$D$6=0,T45+T16,财务基础数据!Y45*目录!$D$6)</f>
        <v>0</v>
      </c>
      <c r="U42" s="118">
        <f>IF(财务基础数据!Z45*目录!$D$6=0,U45+U16,财务基础数据!Z45*目录!$D$6)</f>
        <v>0</v>
      </c>
      <c r="V42" s="118">
        <f>IF(财务基础数据!AA45*目录!$D$6=0,V45+V16,财务基础数据!AA45*目录!$D$6)</f>
        <v>0</v>
      </c>
      <c r="W42" s="118">
        <f>IF(财务基础数据!AB45*目录!$D$6=0,W45+W16,财务基础数据!AB45*目录!$D$6)</f>
        <v>0</v>
      </c>
      <c r="X42" s="118">
        <f>IF(财务基础数据!AC45*目录!$D$6=0,X45+X16,财务基础数据!AC45*目录!$D$6)</f>
        <v>0</v>
      </c>
      <c r="Y42" s="118">
        <f>IF(财务基础数据!AD45*目录!$D$6=0,Y45+Y16,财务基础数据!AD45*目录!$D$6)</f>
        <v>0</v>
      </c>
      <c r="Z42" s="118">
        <f>IF(财务基础数据!AE45*目录!$D$6=0,Z45+Z16,财务基础数据!AE45*目录!$D$6)</f>
        <v>0</v>
      </c>
      <c r="AA42" s="118">
        <f>IF(财务基础数据!AF45*目录!$D$6=0,AA45+AA16,财务基础数据!AF45*目录!$D$6)</f>
        <v>0</v>
      </c>
      <c r="AB42" s="118">
        <f>IF(财务基础数据!AG45*目录!$D$6=0,AB45+AB16,财务基础数据!AG45*目录!$D$6)</f>
        <v>0</v>
      </c>
      <c r="AC42" s="118">
        <f>IF(财务基础数据!AH45*目录!$D$6=0,AC45+AC16,财务基础数据!AH45*目录!$D$6)</f>
        <v>0</v>
      </c>
      <c r="AD42" s="118">
        <f>IF(财务基础数据!AI45*目录!$D$6=0,AD45+AD16,财务基础数据!AI45*目录!$D$6)</f>
        <v>0</v>
      </c>
      <c r="AE42" s="118">
        <f>IF(财务基础数据!AJ45*目录!$D$6=0,AE45+AE16,财务基础数据!AJ45*目录!$D$6)</f>
        <v>0</v>
      </c>
      <c r="AF42" s="118">
        <f>IF(财务基础数据!AK45*目录!$D$6=0,AF45+AF16,财务基础数据!AK45*目录!$D$6)</f>
        <v>0</v>
      </c>
      <c r="AG42" s="118">
        <f>IF(财务基础数据!AL45*目录!$D$6=0,AG45+AG16,财务基础数据!AL45*目录!$D$6)</f>
        <v>0</v>
      </c>
      <c r="AH42" s="118">
        <f>IF(财务基础数据!AM45*目录!$D$6=0,AH45+AH16,财务基础数据!AM45*目录!$D$6)</f>
        <v>0</v>
      </c>
      <c r="AI42" s="118">
        <f>IF(财务基础数据!AN45*目录!$D$6=0,AI45+AI16,财务基础数据!AN45*目录!$D$6)</f>
        <v>0</v>
      </c>
      <c r="AJ42" s="118">
        <f>IF(财务基础数据!AO45*目录!$D$6=0,AJ45+AJ16,财务基础数据!AO45*目录!$D$6)</f>
        <v>0</v>
      </c>
      <c r="AK42" s="461">
        <f t="shared" ref="AK42:AT42" si="56">IF(ISERROR(AK45+AK16),0,AK45+AK16)</f>
        <v>0</v>
      </c>
      <c r="AL42" s="461">
        <f t="shared" si="56"/>
        <v>0</v>
      </c>
      <c r="AM42" s="461">
        <f t="shared" si="56"/>
        <v>0</v>
      </c>
      <c r="AN42" s="461">
        <f t="shared" si="56"/>
        <v>0</v>
      </c>
      <c r="AO42" s="461">
        <f t="shared" si="56"/>
        <v>0</v>
      </c>
      <c r="AP42" s="461">
        <f t="shared" si="56"/>
        <v>0</v>
      </c>
      <c r="AQ42" s="461">
        <f t="shared" si="56"/>
        <v>0</v>
      </c>
      <c r="AR42" s="461">
        <f t="shared" si="56"/>
        <v>0</v>
      </c>
      <c r="AS42" s="461">
        <f t="shared" si="56"/>
        <v>0</v>
      </c>
      <c r="AT42" s="461">
        <f t="shared" si="56"/>
        <v>0</v>
      </c>
    </row>
    <row r="43" spans="1:47" ht="15" customHeight="1">
      <c r="B43" s="427"/>
      <c r="C43" s="425" t="s">
        <v>449</v>
      </c>
      <c r="E43" s="120" t="str">
        <f>IF(ISERROR(E42/E8),"—",E42/E8)</f>
        <v>—</v>
      </c>
      <c r="F43" s="120" t="str">
        <f t="shared" ref="F43:Q43" si="57">IF(ISERROR(F42/F8),"—",F42/F8)</f>
        <v>—</v>
      </c>
      <c r="G43" s="120" t="str">
        <f t="shared" si="57"/>
        <v>—</v>
      </c>
      <c r="H43" s="120" t="str">
        <f t="shared" si="57"/>
        <v>—</v>
      </c>
      <c r="I43" s="120" t="str">
        <f t="shared" si="57"/>
        <v>—</v>
      </c>
      <c r="J43" s="120" t="str">
        <f t="shared" si="57"/>
        <v>—</v>
      </c>
      <c r="K43" s="120" t="str">
        <f t="shared" si="57"/>
        <v>—</v>
      </c>
      <c r="L43" s="120" t="str">
        <f t="shared" si="57"/>
        <v>—</v>
      </c>
      <c r="M43" s="120" t="str">
        <f t="shared" si="57"/>
        <v>—</v>
      </c>
      <c r="N43" s="120" t="str">
        <f t="shared" si="57"/>
        <v>—</v>
      </c>
      <c r="O43" s="120" t="str">
        <f t="shared" si="57"/>
        <v>—</v>
      </c>
      <c r="P43" s="120" t="str">
        <f t="shared" si="57"/>
        <v>—</v>
      </c>
      <c r="Q43" s="120" t="str">
        <f t="shared" si="57"/>
        <v>—</v>
      </c>
      <c r="R43" s="443" t="str">
        <f t="shared" ref="R43:AT43" si="58">IF(ISERROR(R42/R8),"—",R42/R8)</f>
        <v>—</v>
      </c>
      <c r="S43" s="443" t="str">
        <f t="shared" si="58"/>
        <v>—</v>
      </c>
      <c r="T43" s="443" t="str">
        <f t="shared" si="58"/>
        <v>—</v>
      </c>
      <c r="U43" s="443" t="str">
        <f t="shared" si="58"/>
        <v>—</v>
      </c>
      <c r="V43" s="443" t="str">
        <f t="shared" si="58"/>
        <v>—</v>
      </c>
      <c r="W43" s="443" t="str">
        <f t="shared" si="58"/>
        <v>—</v>
      </c>
      <c r="X43" s="443" t="str">
        <f t="shared" si="58"/>
        <v>—</v>
      </c>
      <c r="Y43" s="443" t="str">
        <f t="shared" si="58"/>
        <v>—</v>
      </c>
      <c r="Z43" s="443" t="str">
        <f t="shared" si="58"/>
        <v>—</v>
      </c>
      <c r="AA43" s="443" t="str">
        <f t="shared" si="58"/>
        <v>—</v>
      </c>
      <c r="AB43" s="443" t="str">
        <f t="shared" si="58"/>
        <v>—</v>
      </c>
      <c r="AC43" s="443" t="str">
        <f t="shared" si="58"/>
        <v>—</v>
      </c>
      <c r="AD43" s="443" t="str">
        <f t="shared" si="58"/>
        <v>—</v>
      </c>
      <c r="AE43" s="443" t="str">
        <f t="shared" si="58"/>
        <v>—</v>
      </c>
      <c r="AF43" s="443" t="str">
        <f t="shared" si="58"/>
        <v>—</v>
      </c>
      <c r="AG43" s="443" t="str">
        <f t="shared" si="58"/>
        <v>—</v>
      </c>
      <c r="AH43" s="443" t="str">
        <f t="shared" si="58"/>
        <v>—</v>
      </c>
      <c r="AI43" s="443" t="str">
        <f t="shared" si="58"/>
        <v>—</v>
      </c>
      <c r="AJ43" s="443" t="str">
        <f t="shared" si="58"/>
        <v>—</v>
      </c>
      <c r="AK43" s="443" t="str">
        <f t="shared" si="58"/>
        <v>—</v>
      </c>
      <c r="AL43" s="443" t="str">
        <f t="shared" si="58"/>
        <v>—</v>
      </c>
      <c r="AM43" s="443" t="str">
        <f t="shared" si="58"/>
        <v>—</v>
      </c>
      <c r="AN43" s="443" t="str">
        <f t="shared" si="58"/>
        <v>—</v>
      </c>
      <c r="AO43" s="443" t="str">
        <f t="shared" si="58"/>
        <v>—</v>
      </c>
      <c r="AP43" s="443" t="str">
        <f t="shared" si="58"/>
        <v>—</v>
      </c>
      <c r="AQ43" s="443" t="str">
        <f t="shared" si="58"/>
        <v>—</v>
      </c>
      <c r="AR43" s="443" t="str">
        <f t="shared" si="58"/>
        <v>—</v>
      </c>
      <c r="AS43" s="443" t="str">
        <f t="shared" si="58"/>
        <v>—</v>
      </c>
      <c r="AT43" s="443" t="str">
        <f t="shared" si="58"/>
        <v>—</v>
      </c>
    </row>
    <row r="44" spans="1:47" s="401" customFormat="1" ht="15" customHeight="1">
      <c r="A44" s="444"/>
      <c r="B44" s="422"/>
      <c r="C44" s="422" t="s">
        <v>442</v>
      </c>
      <c r="D44" s="446"/>
      <c r="E44" s="118"/>
      <c r="F44" s="452"/>
      <c r="G44" s="452"/>
      <c r="H44" s="452"/>
      <c r="I44" s="452" t="str">
        <f t="shared" ref="I44:AK44" si="59">IF(ISERROR((I42-E42)/ABS(E42)),"—",(I42-E42)/ABS(E42))</f>
        <v>—</v>
      </c>
      <c r="J44" s="452" t="str">
        <f t="shared" si="59"/>
        <v>—</v>
      </c>
      <c r="K44" s="452" t="str">
        <f t="shared" si="59"/>
        <v>—</v>
      </c>
      <c r="L44" s="452" t="str">
        <f t="shared" si="59"/>
        <v>—</v>
      </c>
      <c r="M44" s="452" t="str">
        <f t="shared" si="59"/>
        <v>—</v>
      </c>
      <c r="N44" s="452" t="str">
        <f t="shared" si="59"/>
        <v>—</v>
      </c>
      <c r="O44" s="452" t="str">
        <f t="shared" si="59"/>
        <v>—</v>
      </c>
      <c r="P44" s="452" t="str">
        <f t="shared" si="59"/>
        <v>—</v>
      </c>
      <c r="Q44" s="452" t="str">
        <f t="shared" si="59"/>
        <v>—</v>
      </c>
      <c r="R44" s="452" t="str">
        <f t="shared" si="59"/>
        <v>—</v>
      </c>
      <c r="S44" s="452" t="str">
        <f t="shared" si="59"/>
        <v>—</v>
      </c>
      <c r="T44" s="452" t="str">
        <f t="shared" si="59"/>
        <v>—</v>
      </c>
      <c r="U44" s="452" t="str">
        <f t="shared" si="59"/>
        <v>—</v>
      </c>
      <c r="V44" s="452" t="str">
        <f t="shared" si="59"/>
        <v>—</v>
      </c>
      <c r="W44" s="452" t="str">
        <f t="shared" si="59"/>
        <v>—</v>
      </c>
      <c r="X44" s="452" t="str">
        <f t="shared" si="59"/>
        <v>—</v>
      </c>
      <c r="Y44" s="452" t="str">
        <f t="shared" si="59"/>
        <v>—</v>
      </c>
      <c r="Z44" s="452" t="str">
        <f t="shared" si="59"/>
        <v>—</v>
      </c>
      <c r="AA44" s="452" t="str">
        <f t="shared" si="59"/>
        <v>—</v>
      </c>
      <c r="AB44" s="452" t="str">
        <f t="shared" si="59"/>
        <v>—</v>
      </c>
      <c r="AC44" s="452" t="str">
        <f t="shared" si="59"/>
        <v>—</v>
      </c>
      <c r="AD44" s="452" t="str">
        <f t="shared" si="59"/>
        <v>—</v>
      </c>
      <c r="AE44" s="452" t="str">
        <f t="shared" si="59"/>
        <v>—</v>
      </c>
      <c r="AF44" s="452" t="str">
        <f t="shared" si="59"/>
        <v>—</v>
      </c>
      <c r="AG44" s="452" t="str">
        <f t="shared" si="59"/>
        <v>—</v>
      </c>
      <c r="AH44" s="452" t="str">
        <f t="shared" si="59"/>
        <v>—</v>
      </c>
      <c r="AI44" s="452" t="str">
        <f t="shared" si="59"/>
        <v>—</v>
      </c>
      <c r="AJ44" s="452" t="str">
        <f t="shared" si="59"/>
        <v>—</v>
      </c>
      <c r="AK44" s="424" t="str">
        <f t="shared" si="59"/>
        <v>—</v>
      </c>
      <c r="AL44" s="424" t="str">
        <f>IF(ISERROR((AL42-AK42)/ABS(AK42)),"—",(AL42-AK42)/ABS(AK42))</f>
        <v>—</v>
      </c>
      <c r="AM44" s="424" t="str">
        <f t="shared" ref="AM44:AT44" si="60">IF(ISERROR((AM42-AL42)/ABS(AL42)),"—",(AM42-AL42)/ABS(AL42))</f>
        <v>—</v>
      </c>
      <c r="AN44" s="424" t="str">
        <f t="shared" si="60"/>
        <v>—</v>
      </c>
      <c r="AO44" s="424" t="str">
        <f t="shared" si="60"/>
        <v>—</v>
      </c>
      <c r="AP44" s="424" t="str">
        <f t="shared" si="60"/>
        <v>—</v>
      </c>
      <c r="AQ44" s="424" t="str">
        <f t="shared" si="60"/>
        <v>—</v>
      </c>
      <c r="AR44" s="424" t="str">
        <f t="shared" si="60"/>
        <v>—</v>
      </c>
      <c r="AS44" s="424" t="str">
        <f t="shared" si="60"/>
        <v>—</v>
      </c>
      <c r="AT44" s="424" t="str">
        <f t="shared" si="60"/>
        <v>—</v>
      </c>
      <c r="AU44" s="464"/>
    </row>
    <row r="45" spans="1:47" s="30" customFormat="1" ht="15" customHeight="1">
      <c r="A45" s="150"/>
      <c r="B45" s="125" t="s">
        <v>456</v>
      </c>
      <c r="C45" s="453"/>
      <c r="D45" s="419"/>
      <c r="E45" s="118">
        <f>IF(财务基础数据!J44*目录!$D$6=0,E84+E36,财务基础数据!J44*目录!$D$6)</f>
        <v>0</v>
      </c>
      <c r="F45" s="118">
        <f>IF(财务基础数据!K44*目录!$D$6=0,F84+F36,财务基础数据!K44*目录!$D$6)</f>
        <v>0</v>
      </c>
      <c r="G45" s="118">
        <f>IF(财务基础数据!L44*目录!$D$6=0,G84+G36,财务基础数据!L44*目录!$D$6)</f>
        <v>0</v>
      </c>
      <c r="H45" s="118">
        <f>IF(财务基础数据!M44*目录!$D$6=0,H84+H36,财务基础数据!M44*目录!$D$6)</f>
        <v>0</v>
      </c>
      <c r="I45" s="118">
        <f>IF(财务基础数据!N44*目录!$D$6=0,I84+I36,财务基础数据!N44*目录!$D$6)</f>
        <v>0</v>
      </c>
      <c r="J45" s="118">
        <f>IF(财务基础数据!O44*目录!$D$6=0,J84+J36,财务基础数据!O44*目录!$D$6)</f>
        <v>0</v>
      </c>
      <c r="K45" s="118">
        <f>IF(财务基础数据!P44*目录!$D$6=0,K84+K36,财务基础数据!P44*目录!$D$6)</f>
        <v>0</v>
      </c>
      <c r="L45" s="118">
        <f>IF(财务基础数据!Q44*目录!$D$6=0,L84+L36,财务基础数据!Q44*目录!$D$6)</f>
        <v>0</v>
      </c>
      <c r="M45" s="118">
        <f>IF(财务基础数据!R44*目录!$D$6=0,M84+M36,财务基础数据!R44*目录!$D$6)</f>
        <v>0</v>
      </c>
      <c r="N45" s="118">
        <f>IF(财务基础数据!S44*目录!$D$6=0,N84+N36,财务基础数据!S44*目录!$D$6)</f>
        <v>0</v>
      </c>
      <c r="O45" s="118">
        <f>IF(财务基础数据!T44*目录!$D$6=0,O84+O36,财务基础数据!T44*目录!$D$6)</f>
        <v>0</v>
      </c>
      <c r="P45" s="118">
        <f>IF(财务基础数据!U44*目录!$D$6=0,P84+P36,财务基础数据!U44*目录!$D$6)</f>
        <v>0</v>
      </c>
      <c r="Q45" s="118">
        <f>IF(财务基础数据!V44*目录!$D$6=0,Q84+Q36,财务基础数据!V44*目录!$D$6)</f>
        <v>0</v>
      </c>
      <c r="R45" s="118">
        <f>IF(财务基础数据!W44*目录!$D$6=0,R84+R36,财务基础数据!W44*目录!$D$6)</f>
        <v>0</v>
      </c>
      <c r="S45" s="118">
        <f>IF(财务基础数据!X44*目录!$D$6=0,S84+S36,财务基础数据!X44*目录!$D$6)</f>
        <v>0</v>
      </c>
      <c r="T45" s="118">
        <f>IF(财务基础数据!Y44*目录!$D$6=0,T84+T36,财务基础数据!Y44*目录!$D$6)</f>
        <v>0</v>
      </c>
      <c r="U45" s="118">
        <f>IF(财务基础数据!Z44*目录!$D$6=0,U84+U36,财务基础数据!Z44*目录!$D$6)</f>
        <v>0</v>
      </c>
      <c r="V45" s="118">
        <f>IF(财务基础数据!AA44*目录!$D$6=0,V84+V36,财务基础数据!AA44*目录!$D$6)</f>
        <v>0</v>
      </c>
      <c r="W45" s="118">
        <f>IF(财务基础数据!AB44*目录!$D$6=0,W84+W36,财务基础数据!AB44*目录!$D$6)</f>
        <v>0</v>
      </c>
      <c r="X45" s="118">
        <f>IF(财务基础数据!AC44*目录!$D$6=0,X84+X36,财务基础数据!AC44*目录!$D$6)</f>
        <v>0</v>
      </c>
      <c r="Y45" s="118">
        <f>IF(财务基础数据!AD44*目录!$D$6=0,Y84+Y36,财务基础数据!AD44*目录!$D$6)</f>
        <v>0</v>
      </c>
      <c r="Z45" s="118">
        <f>IF(财务基础数据!AE44*目录!$D$6=0,Z84+Z36,财务基础数据!AE44*目录!$D$6)</f>
        <v>0</v>
      </c>
      <c r="AA45" s="118">
        <f>IF(财务基础数据!AF44*目录!$D$6=0,AA84+AA36,财务基础数据!AF44*目录!$D$6)</f>
        <v>0</v>
      </c>
      <c r="AB45" s="118">
        <f>IF(财务基础数据!AG44*目录!$D$6=0,AB84+AB36,财务基础数据!AG44*目录!$D$6)</f>
        <v>0</v>
      </c>
      <c r="AC45" s="118">
        <f>IF(财务基础数据!AH44*目录!$D$6=0,AC84+AC36,财务基础数据!AH44*目录!$D$6)</f>
        <v>0</v>
      </c>
      <c r="AD45" s="118">
        <f>IF(财务基础数据!AI44*目录!$D$6=0,AD84+AD36,财务基础数据!AI44*目录!$D$6)</f>
        <v>0</v>
      </c>
      <c r="AE45" s="118">
        <f>IF(财务基础数据!AJ44*目录!$D$6=0,AE84+AE36,财务基础数据!AJ44*目录!$D$6)</f>
        <v>0</v>
      </c>
      <c r="AF45" s="118">
        <f>IF(财务基础数据!AK44*目录!$D$6=0,AF84+AF36,财务基础数据!AK44*目录!$D$6)</f>
        <v>0</v>
      </c>
      <c r="AG45" s="118">
        <f>IF(财务基础数据!AL44*目录!$D$6=0,AG84+AG36,财务基础数据!AL44*目录!$D$6)</f>
        <v>0</v>
      </c>
      <c r="AH45" s="118">
        <f>IF(财务基础数据!AM44*目录!$D$6=0,AH84+AH36,财务基础数据!AM44*目录!$D$6)</f>
        <v>0</v>
      </c>
      <c r="AI45" s="118">
        <f>IF(财务基础数据!AN44*目录!$D$6=0,AI84+AI36,财务基础数据!AN44*目录!$D$6)</f>
        <v>0</v>
      </c>
      <c r="AJ45" s="118">
        <f>IF(财务基础数据!AO44*目录!$D$6=0,AJ84+AJ36,财务基础数据!AO44*目录!$D$6)</f>
        <v>0</v>
      </c>
      <c r="AK45" s="462">
        <f>IF(ISERROR(AK84+AK36),0,AK84+AK36)</f>
        <v>0</v>
      </c>
      <c r="AL45" s="462">
        <f t="shared" ref="AL45:AT45" si="61">IF(ISERROR(AL84+AL36),0,AL84+AL36)</f>
        <v>0</v>
      </c>
      <c r="AM45" s="462">
        <f t="shared" si="61"/>
        <v>0</v>
      </c>
      <c r="AN45" s="462">
        <f t="shared" si="61"/>
        <v>0</v>
      </c>
      <c r="AO45" s="462">
        <f t="shared" si="61"/>
        <v>0</v>
      </c>
      <c r="AP45" s="462">
        <f t="shared" si="61"/>
        <v>0</v>
      </c>
      <c r="AQ45" s="462">
        <f t="shared" si="61"/>
        <v>0</v>
      </c>
      <c r="AR45" s="462">
        <f t="shared" si="61"/>
        <v>0</v>
      </c>
      <c r="AS45" s="462">
        <f t="shared" si="61"/>
        <v>0</v>
      </c>
      <c r="AT45" s="462">
        <f t="shared" si="61"/>
        <v>0</v>
      </c>
      <c r="AU45" s="462"/>
    </row>
    <row r="46" spans="1:47" ht="15" customHeight="1">
      <c r="B46" s="427"/>
      <c r="C46" s="425" t="s">
        <v>449</v>
      </c>
      <c r="E46" s="120" t="str">
        <f>IF(ISERROR(E45/E8),"—",E45/E8)</f>
        <v>—</v>
      </c>
      <c r="F46" s="120" t="str">
        <f t="shared" ref="F46:S46" si="62">IF(ISERROR(F45/F8),"—",F45/F8)</f>
        <v>—</v>
      </c>
      <c r="G46" s="120" t="str">
        <f t="shared" si="62"/>
        <v>—</v>
      </c>
      <c r="H46" s="120" t="str">
        <f t="shared" si="62"/>
        <v>—</v>
      </c>
      <c r="I46" s="120" t="str">
        <f t="shared" si="62"/>
        <v>—</v>
      </c>
      <c r="J46" s="120" t="str">
        <f t="shared" si="62"/>
        <v>—</v>
      </c>
      <c r="K46" s="120" t="str">
        <f t="shared" si="62"/>
        <v>—</v>
      </c>
      <c r="L46" s="120" t="str">
        <f t="shared" si="62"/>
        <v>—</v>
      </c>
      <c r="M46" s="120" t="str">
        <f t="shared" si="62"/>
        <v>—</v>
      </c>
      <c r="N46" s="120" t="str">
        <f t="shared" si="62"/>
        <v>—</v>
      </c>
      <c r="O46" s="120" t="str">
        <f t="shared" si="62"/>
        <v>—</v>
      </c>
      <c r="P46" s="120" t="str">
        <f t="shared" si="62"/>
        <v>—</v>
      </c>
      <c r="Q46" s="120" t="str">
        <f t="shared" si="62"/>
        <v>—</v>
      </c>
      <c r="R46" s="120" t="str">
        <f t="shared" si="62"/>
        <v>—</v>
      </c>
      <c r="S46" s="120" t="str">
        <f t="shared" si="62"/>
        <v>—</v>
      </c>
      <c r="T46" s="443" t="str">
        <f t="shared" ref="T46:AT46" si="63">IF(ISERROR(T45/T8),"—",T45/T8)</f>
        <v>—</v>
      </c>
      <c r="U46" s="443" t="str">
        <f t="shared" si="63"/>
        <v>—</v>
      </c>
      <c r="V46" s="443" t="str">
        <f t="shared" si="63"/>
        <v>—</v>
      </c>
      <c r="W46" s="443" t="str">
        <f t="shared" si="63"/>
        <v>—</v>
      </c>
      <c r="X46" s="443" t="str">
        <f t="shared" si="63"/>
        <v>—</v>
      </c>
      <c r="Y46" s="443" t="str">
        <f t="shared" si="63"/>
        <v>—</v>
      </c>
      <c r="Z46" s="443" t="str">
        <f t="shared" si="63"/>
        <v>—</v>
      </c>
      <c r="AA46" s="443" t="str">
        <f t="shared" si="63"/>
        <v>—</v>
      </c>
      <c r="AB46" s="443" t="str">
        <f t="shared" si="63"/>
        <v>—</v>
      </c>
      <c r="AC46" s="443" t="str">
        <f t="shared" si="63"/>
        <v>—</v>
      </c>
      <c r="AD46" s="443" t="str">
        <f t="shared" si="63"/>
        <v>—</v>
      </c>
      <c r="AE46" s="443" t="str">
        <f t="shared" si="63"/>
        <v>—</v>
      </c>
      <c r="AF46" s="443" t="str">
        <f t="shared" si="63"/>
        <v>—</v>
      </c>
      <c r="AG46" s="443" t="str">
        <f t="shared" si="63"/>
        <v>—</v>
      </c>
      <c r="AH46" s="443" t="str">
        <f t="shared" si="63"/>
        <v>—</v>
      </c>
      <c r="AI46" s="443" t="str">
        <f t="shared" si="63"/>
        <v>—</v>
      </c>
      <c r="AJ46" s="443" t="str">
        <f t="shared" si="63"/>
        <v>—</v>
      </c>
      <c r="AK46" s="443" t="str">
        <f t="shared" si="63"/>
        <v>—</v>
      </c>
      <c r="AL46" s="443" t="str">
        <f t="shared" si="63"/>
        <v>—</v>
      </c>
      <c r="AM46" s="443" t="str">
        <f t="shared" si="63"/>
        <v>—</v>
      </c>
      <c r="AN46" s="443" t="str">
        <f t="shared" si="63"/>
        <v>—</v>
      </c>
      <c r="AO46" s="443" t="str">
        <f t="shared" si="63"/>
        <v>—</v>
      </c>
      <c r="AP46" s="443" t="str">
        <f t="shared" si="63"/>
        <v>—</v>
      </c>
      <c r="AQ46" s="443" t="str">
        <f t="shared" si="63"/>
        <v>—</v>
      </c>
      <c r="AR46" s="443" t="str">
        <f t="shared" si="63"/>
        <v>—</v>
      </c>
      <c r="AS46" s="443" t="str">
        <f t="shared" si="63"/>
        <v>—</v>
      </c>
      <c r="AT46" s="443" t="str">
        <f t="shared" si="63"/>
        <v>—</v>
      </c>
    </row>
    <row r="47" spans="1:47" s="403" customFormat="1" ht="15" customHeight="1">
      <c r="A47" s="454"/>
      <c r="B47" s="422"/>
      <c r="C47" s="422" t="s">
        <v>442</v>
      </c>
      <c r="D47" s="409"/>
      <c r="E47" s="424"/>
      <c r="F47" s="424"/>
      <c r="G47" s="424"/>
      <c r="H47" s="424"/>
      <c r="I47" s="424" t="str">
        <f t="shared" ref="I47:AK47" si="64">IF(ISERROR((I45-E45)/ABS(E45)),"—",(I45-E45)/ABS(E45))</f>
        <v>—</v>
      </c>
      <c r="J47" s="424" t="str">
        <f t="shared" si="64"/>
        <v>—</v>
      </c>
      <c r="K47" s="424" t="str">
        <f t="shared" si="64"/>
        <v>—</v>
      </c>
      <c r="L47" s="424" t="str">
        <f t="shared" si="64"/>
        <v>—</v>
      </c>
      <c r="M47" s="424" t="str">
        <f t="shared" si="64"/>
        <v>—</v>
      </c>
      <c r="N47" s="424" t="str">
        <f t="shared" si="64"/>
        <v>—</v>
      </c>
      <c r="O47" s="424" t="str">
        <f t="shared" si="64"/>
        <v>—</v>
      </c>
      <c r="P47" s="424" t="str">
        <f t="shared" si="64"/>
        <v>—</v>
      </c>
      <c r="Q47" s="424" t="str">
        <f t="shared" si="64"/>
        <v>—</v>
      </c>
      <c r="R47" s="424" t="str">
        <f t="shared" si="64"/>
        <v>—</v>
      </c>
      <c r="S47" s="424" t="str">
        <f t="shared" si="64"/>
        <v>—</v>
      </c>
      <c r="T47" s="424" t="str">
        <f t="shared" si="64"/>
        <v>—</v>
      </c>
      <c r="U47" s="424" t="str">
        <f t="shared" si="64"/>
        <v>—</v>
      </c>
      <c r="V47" s="424" t="str">
        <f t="shared" si="64"/>
        <v>—</v>
      </c>
      <c r="W47" s="424" t="str">
        <f t="shared" si="64"/>
        <v>—</v>
      </c>
      <c r="X47" s="424" t="str">
        <f t="shared" si="64"/>
        <v>—</v>
      </c>
      <c r="Y47" s="424" t="str">
        <f t="shared" si="64"/>
        <v>—</v>
      </c>
      <c r="Z47" s="424" t="str">
        <f t="shared" si="64"/>
        <v>—</v>
      </c>
      <c r="AA47" s="424" t="str">
        <f t="shared" si="64"/>
        <v>—</v>
      </c>
      <c r="AB47" s="424" t="str">
        <f t="shared" si="64"/>
        <v>—</v>
      </c>
      <c r="AC47" s="424" t="str">
        <f t="shared" si="64"/>
        <v>—</v>
      </c>
      <c r="AD47" s="424" t="str">
        <f t="shared" si="64"/>
        <v>—</v>
      </c>
      <c r="AE47" s="424" t="str">
        <f t="shared" si="64"/>
        <v>—</v>
      </c>
      <c r="AF47" s="424" t="str">
        <f t="shared" si="64"/>
        <v>—</v>
      </c>
      <c r="AG47" s="424" t="str">
        <f t="shared" si="64"/>
        <v>—</v>
      </c>
      <c r="AH47" s="424" t="str">
        <f t="shared" si="64"/>
        <v>—</v>
      </c>
      <c r="AI47" s="424" t="str">
        <f t="shared" si="64"/>
        <v>—</v>
      </c>
      <c r="AJ47" s="424" t="str">
        <f t="shared" si="64"/>
        <v>—</v>
      </c>
      <c r="AK47" s="424" t="str">
        <f t="shared" si="64"/>
        <v>—</v>
      </c>
      <c r="AL47" s="424" t="str">
        <f>IF(ISERROR((AL45-AK45)/ABS(AK45)),"—",(AL45-AK45)/ABS(AK45))</f>
        <v>—</v>
      </c>
      <c r="AM47" s="424" t="str">
        <f t="shared" ref="AM47:AT47" si="65">IF(ISERROR((AM45-AL45)/ABS(AL45)),"—",(AM45-AL45)/ABS(AL45))</f>
        <v>—</v>
      </c>
      <c r="AN47" s="424" t="str">
        <f t="shared" si="65"/>
        <v>—</v>
      </c>
      <c r="AO47" s="424" t="str">
        <f t="shared" si="65"/>
        <v>—</v>
      </c>
      <c r="AP47" s="424" t="str">
        <f t="shared" si="65"/>
        <v>—</v>
      </c>
      <c r="AQ47" s="424" t="str">
        <f t="shared" si="65"/>
        <v>—</v>
      </c>
      <c r="AR47" s="424" t="str">
        <f t="shared" si="65"/>
        <v>—</v>
      </c>
      <c r="AS47" s="424" t="str">
        <f t="shared" si="65"/>
        <v>—</v>
      </c>
      <c r="AT47" s="424" t="str">
        <f t="shared" si="65"/>
        <v>—</v>
      </c>
    </row>
    <row r="48" spans="1:47" s="403" customFormat="1" ht="15" customHeight="1">
      <c r="A48" s="454"/>
      <c r="B48" s="422"/>
      <c r="C48" s="422"/>
      <c r="D48" s="409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</row>
    <row r="49" spans="1:46" s="30" customFormat="1" ht="15" customHeight="1">
      <c r="A49" s="143" t="s">
        <v>457</v>
      </c>
      <c r="B49" s="125" t="s">
        <v>85</v>
      </c>
      <c r="C49" s="431"/>
      <c r="D49" s="419"/>
      <c r="E49" s="118">
        <f>财务基础数据!J23*目录!$D$6</f>
        <v>0</v>
      </c>
      <c r="F49" s="118">
        <f>财务基础数据!K23*目录!$D$6</f>
        <v>0</v>
      </c>
      <c r="G49" s="118">
        <f>财务基础数据!L23*目录!$D$6</f>
        <v>0</v>
      </c>
      <c r="H49" s="118">
        <f>财务基础数据!M23*目录!$D$6</f>
        <v>0</v>
      </c>
      <c r="I49" s="118">
        <f>财务基础数据!N23*目录!$D$6</f>
        <v>0</v>
      </c>
      <c r="J49" s="118">
        <f>财务基础数据!O23*目录!$D$6</f>
        <v>0</v>
      </c>
      <c r="K49" s="118">
        <f>财务基础数据!P23*目录!$D$6</f>
        <v>0</v>
      </c>
      <c r="L49" s="118">
        <f>财务基础数据!Q23*目录!$D$6</f>
        <v>0</v>
      </c>
      <c r="M49" s="118">
        <f>财务基础数据!R23*目录!$D$6</f>
        <v>0</v>
      </c>
      <c r="N49" s="118">
        <f>财务基础数据!S23*目录!$D$6</f>
        <v>0</v>
      </c>
      <c r="O49" s="118">
        <f>财务基础数据!T23*目录!$D$6</f>
        <v>0</v>
      </c>
      <c r="P49" s="118">
        <f>财务基础数据!U23*目录!$D$6</f>
        <v>0</v>
      </c>
      <c r="Q49" s="118">
        <f>财务基础数据!V23*目录!$D$6</f>
        <v>0</v>
      </c>
      <c r="R49" s="118">
        <f>财务基础数据!W23*目录!$D$6</f>
        <v>0</v>
      </c>
      <c r="S49" s="118">
        <f>财务基础数据!X23*目录!$D$6</f>
        <v>0</v>
      </c>
      <c r="T49" s="118">
        <f>财务基础数据!Y23*目录!$D$6</f>
        <v>0</v>
      </c>
      <c r="U49" s="118">
        <f>财务基础数据!Z23*目录!$D$6</f>
        <v>0</v>
      </c>
      <c r="V49" s="118">
        <f>财务基础数据!AA23*目录!$D$6</f>
        <v>0</v>
      </c>
      <c r="W49" s="118">
        <f>财务基础数据!AB23*目录!$D$6</f>
        <v>0</v>
      </c>
      <c r="X49" s="118">
        <f>财务基础数据!AC23*目录!$D$6</f>
        <v>0</v>
      </c>
      <c r="Y49" s="118">
        <f>财务基础数据!AD23*目录!$D$6</f>
        <v>0</v>
      </c>
      <c r="Z49" s="118">
        <f>财务基础数据!AE23*目录!$D$6</f>
        <v>0</v>
      </c>
      <c r="AA49" s="118">
        <f>财务基础数据!AF23*目录!$D$6</f>
        <v>0</v>
      </c>
      <c r="AB49" s="118">
        <f>财务基础数据!AG23*目录!$D$6</f>
        <v>0</v>
      </c>
      <c r="AC49" s="118">
        <f>财务基础数据!AH23*目录!$D$6</f>
        <v>0</v>
      </c>
      <c r="AD49" s="118">
        <f>财务基础数据!AI23*目录!$D$6</f>
        <v>0</v>
      </c>
      <c r="AE49" s="118">
        <f>财务基础数据!AJ23*目录!$D$6</f>
        <v>0</v>
      </c>
      <c r="AF49" s="118">
        <f>财务基础数据!AK23*目录!$D$6</f>
        <v>0</v>
      </c>
      <c r="AG49" s="118">
        <f>财务基础数据!AL23*目录!$D$6</f>
        <v>0</v>
      </c>
      <c r="AH49" s="118">
        <f>财务基础数据!AM23*目录!$D$6</f>
        <v>0</v>
      </c>
      <c r="AI49" s="118">
        <f>财务基础数据!AN23*目录!$D$6</f>
        <v>0</v>
      </c>
      <c r="AJ49" s="118">
        <f>财务基础数据!AO23*目录!$D$6</f>
        <v>0</v>
      </c>
      <c r="AK49" s="188">
        <f>IF(ISERROR(销售预测!L33),"—",销售预测!L33)</f>
        <v>0</v>
      </c>
      <c r="AL49" s="188">
        <f>IF(ISERROR(销售预测!M33),"—",销售预测!M33)</f>
        <v>0</v>
      </c>
      <c r="AM49" s="188">
        <f>IF(ISERROR(销售预测!N33),"—",销售预测!N33)</f>
        <v>0</v>
      </c>
      <c r="AN49" s="188">
        <f>IF(ISERROR(销售预测!O33),"—",销售预测!O33)</f>
        <v>0</v>
      </c>
      <c r="AO49" s="188">
        <f>IF(ISERROR(销售预测!P33),"—",销售预测!P33)</f>
        <v>0</v>
      </c>
      <c r="AP49" s="188">
        <f>IF(ISERROR(销售预测!Q33),"—",销售预测!Q33)</f>
        <v>0</v>
      </c>
      <c r="AQ49" s="188">
        <f>IF(ISERROR(销售预测!R33),"—",销售预测!R33)</f>
        <v>0</v>
      </c>
      <c r="AR49" s="188">
        <f>IF(ISERROR(销售预测!S33),"—",销售预测!S33)</f>
        <v>0</v>
      </c>
      <c r="AS49" s="188">
        <f>IF(ISERROR(销售预测!T33),"—",销售预测!T33)</f>
        <v>0</v>
      </c>
      <c r="AT49" s="188">
        <f>IF(ISERROR(销售预测!U33),"—",销售预测!U33)</f>
        <v>0</v>
      </c>
    </row>
    <row r="50" spans="1:46" ht="15" customHeight="1">
      <c r="B50" s="126"/>
      <c r="C50" s="425" t="s">
        <v>458</v>
      </c>
      <c r="E50" s="105" t="str">
        <f t="shared" ref="E50:AJ50" si="66">IF(ISERROR(E49/E84),"—",E49/E84)</f>
        <v>—</v>
      </c>
      <c r="F50" s="105" t="str">
        <f t="shared" si="66"/>
        <v>—</v>
      </c>
      <c r="G50" s="105" t="str">
        <f t="shared" si="66"/>
        <v>—</v>
      </c>
      <c r="H50" s="105" t="str">
        <f t="shared" si="66"/>
        <v>—</v>
      </c>
      <c r="I50" s="105" t="str">
        <f t="shared" si="66"/>
        <v>—</v>
      </c>
      <c r="J50" s="105" t="str">
        <f t="shared" si="66"/>
        <v>—</v>
      </c>
      <c r="K50" s="105" t="str">
        <f t="shared" si="66"/>
        <v>—</v>
      </c>
      <c r="L50" s="105" t="str">
        <f t="shared" si="66"/>
        <v>—</v>
      </c>
      <c r="M50" s="105" t="str">
        <f t="shared" si="66"/>
        <v>—</v>
      </c>
      <c r="N50" s="105" t="str">
        <f t="shared" si="66"/>
        <v>—</v>
      </c>
      <c r="O50" s="105" t="str">
        <f t="shared" si="66"/>
        <v>—</v>
      </c>
      <c r="P50" s="105" t="str">
        <f t="shared" si="66"/>
        <v>—</v>
      </c>
      <c r="Q50" s="105" t="str">
        <f t="shared" si="66"/>
        <v>—</v>
      </c>
      <c r="R50" s="105" t="str">
        <f t="shared" si="66"/>
        <v>—</v>
      </c>
      <c r="S50" s="105" t="str">
        <f t="shared" si="66"/>
        <v>—</v>
      </c>
      <c r="T50" s="105" t="str">
        <f t="shared" si="66"/>
        <v>—</v>
      </c>
      <c r="U50" s="105" t="str">
        <f t="shared" si="66"/>
        <v>—</v>
      </c>
      <c r="V50" s="105" t="str">
        <f t="shared" si="66"/>
        <v>—</v>
      </c>
      <c r="W50" s="105" t="str">
        <f t="shared" si="66"/>
        <v>—</v>
      </c>
      <c r="X50" s="105" t="str">
        <f t="shared" si="66"/>
        <v>—</v>
      </c>
      <c r="Y50" s="105" t="str">
        <f t="shared" si="66"/>
        <v>—</v>
      </c>
      <c r="Z50" s="105" t="str">
        <f t="shared" si="66"/>
        <v>—</v>
      </c>
      <c r="AA50" s="105" t="str">
        <f t="shared" si="66"/>
        <v>—</v>
      </c>
      <c r="AB50" s="105" t="str">
        <f t="shared" si="66"/>
        <v>—</v>
      </c>
      <c r="AC50" s="105" t="str">
        <f t="shared" si="66"/>
        <v>—</v>
      </c>
      <c r="AD50" s="105" t="str">
        <f t="shared" si="66"/>
        <v>—</v>
      </c>
      <c r="AE50" s="105" t="str">
        <f t="shared" si="66"/>
        <v>—</v>
      </c>
      <c r="AF50" s="105" t="str">
        <f t="shared" si="66"/>
        <v>—</v>
      </c>
      <c r="AG50" s="105" t="str">
        <f t="shared" si="66"/>
        <v>—</v>
      </c>
      <c r="AH50" s="105" t="str">
        <f t="shared" si="66"/>
        <v>—</v>
      </c>
      <c r="AI50" s="105" t="str">
        <f t="shared" si="66"/>
        <v>—</v>
      </c>
      <c r="AJ50" s="105" t="str">
        <f t="shared" si="66"/>
        <v>—</v>
      </c>
      <c r="AK50" s="105" t="str">
        <f t="shared" ref="AK50:AT50" si="67">IF(ISERROR(AK49/AK84),"—",AK49/AK84)</f>
        <v>—</v>
      </c>
      <c r="AL50" s="105" t="str">
        <f t="shared" si="67"/>
        <v>—</v>
      </c>
      <c r="AM50" s="105" t="str">
        <f t="shared" si="67"/>
        <v>—</v>
      </c>
      <c r="AN50" s="105" t="str">
        <f t="shared" si="67"/>
        <v>—</v>
      </c>
      <c r="AO50" s="105" t="str">
        <f t="shared" si="67"/>
        <v>—</v>
      </c>
      <c r="AP50" s="105" t="str">
        <f t="shared" si="67"/>
        <v>—</v>
      </c>
      <c r="AQ50" s="105" t="str">
        <f t="shared" si="67"/>
        <v>—</v>
      </c>
      <c r="AR50" s="105" t="str">
        <f t="shared" si="67"/>
        <v>—</v>
      </c>
      <c r="AS50" s="105" t="str">
        <f t="shared" si="67"/>
        <v>—</v>
      </c>
      <c r="AT50" s="105" t="str">
        <f t="shared" si="67"/>
        <v>—</v>
      </c>
    </row>
    <row r="51" spans="1:46" s="404" customFormat="1" ht="15" customHeight="1">
      <c r="A51" s="150"/>
      <c r="B51" s="130" t="s">
        <v>87</v>
      </c>
      <c r="C51" s="130"/>
      <c r="D51" s="419"/>
      <c r="E51" s="118">
        <f>(财务基础数据!J21)*目录!$D$6</f>
        <v>0</v>
      </c>
      <c r="F51" s="118">
        <f>(财务基础数据!K21)*目录!$D$6</f>
        <v>0</v>
      </c>
      <c r="G51" s="118">
        <f>(财务基础数据!L21)*目录!$D$6</f>
        <v>0</v>
      </c>
      <c r="H51" s="118">
        <f>(财务基础数据!M21)*目录!$D$6</f>
        <v>0</v>
      </c>
      <c r="I51" s="118">
        <f>(财务基础数据!N21)*目录!$D$6</f>
        <v>0</v>
      </c>
      <c r="J51" s="118">
        <f>(财务基础数据!O21)*目录!$D$6</f>
        <v>0</v>
      </c>
      <c r="K51" s="118">
        <f>(财务基础数据!P21)*目录!$D$6</f>
        <v>0</v>
      </c>
      <c r="L51" s="118">
        <f>(财务基础数据!Q21)*目录!$D$6</f>
        <v>0</v>
      </c>
      <c r="M51" s="118">
        <f>(财务基础数据!R21)*目录!$D$6</f>
        <v>0</v>
      </c>
      <c r="N51" s="118">
        <f>(财务基础数据!S21)*目录!$D$6</f>
        <v>0</v>
      </c>
      <c r="O51" s="118">
        <f>(财务基础数据!T21)*目录!$D$6</f>
        <v>0</v>
      </c>
      <c r="P51" s="118">
        <f>(财务基础数据!U21)*目录!$D$6</f>
        <v>0</v>
      </c>
      <c r="Q51" s="118">
        <f>(财务基础数据!V21)*目录!$D$6</f>
        <v>0</v>
      </c>
      <c r="R51" s="118">
        <f>(财务基础数据!W21)*目录!$D$6</f>
        <v>0</v>
      </c>
      <c r="S51" s="118">
        <f>(财务基础数据!X21)*目录!$D$6</f>
        <v>0</v>
      </c>
      <c r="T51" s="118">
        <f>(财务基础数据!Y21)*目录!$D$6</f>
        <v>0</v>
      </c>
      <c r="U51" s="118">
        <f>(财务基础数据!Z21)*目录!$D$6</f>
        <v>0</v>
      </c>
      <c r="V51" s="118">
        <f>(财务基础数据!AA21)*目录!$D$6</f>
        <v>0</v>
      </c>
      <c r="W51" s="118">
        <f>(财务基础数据!AB21)*目录!$D$6</f>
        <v>0</v>
      </c>
      <c r="X51" s="118">
        <f>(财务基础数据!AC21)*目录!$D$6</f>
        <v>0</v>
      </c>
      <c r="Y51" s="118">
        <f>(财务基础数据!AD21)*目录!$D$6</f>
        <v>0</v>
      </c>
      <c r="Z51" s="118">
        <f>(财务基础数据!AE21)*目录!$D$6</f>
        <v>0</v>
      </c>
      <c r="AA51" s="118">
        <f>(财务基础数据!AF21)*目录!$D$6</f>
        <v>0</v>
      </c>
      <c r="AB51" s="118">
        <f>(财务基础数据!AG21)*目录!$D$6</f>
        <v>0</v>
      </c>
      <c r="AC51" s="118">
        <f>(财务基础数据!AH21)*目录!$D$6</f>
        <v>0</v>
      </c>
      <c r="AD51" s="118">
        <f>(财务基础数据!AI21)*目录!$D$6</f>
        <v>0</v>
      </c>
      <c r="AE51" s="118">
        <f>(财务基础数据!AJ21)*目录!$D$6</f>
        <v>0</v>
      </c>
      <c r="AF51" s="118">
        <f>(财务基础数据!AK21)*目录!$D$6</f>
        <v>0</v>
      </c>
      <c r="AG51" s="118">
        <f>(财务基础数据!AL21)*目录!$D$6</f>
        <v>0</v>
      </c>
      <c r="AH51" s="118">
        <f>(财务基础数据!AM21)*目录!$D$6</f>
        <v>0</v>
      </c>
      <c r="AI51" s="118">
        <f>(财务基础数据!AN21)*目录!$D$6</f>
        <v>0</v>
      </c>
      <c r="AJ51" s="118">
        <f>(财务基础数据!AO21)*目录!$D$6</f>
        <v>0</v>
      </c>
      <c r="AK51" s="118">
        <f>IF(ISERROR(销售预测!L36),"—",销售预测!L36)</f>
        <v>0</v>
      </c>
      <c r="AL51" s="188">
        <f>IF(ISERROR(销售预测!M36),"—",销售预测!M36)</f>
        <v>0</v>
      </c>
      <c r="AM51" s="188">
        <f>IF(ISERROR(销售预测!N36),"—",销售预测!N36)</f>
        <v>0</v>
      </c>
      <c r="AN51" s="188">
        <f>IF(ISERROR(销售预测!O36),"—",销售预测!O36)</f>
        <v>0</v>
      </c>
      <c r="AO51" s="188">
        <f>IF(ISERROR(销售预测!P36),"—",销售预测!P36)</f>
        <v>0</v>
      </c>
      <c r="AP51" s="188">
        <f>IF(ISERROR(销售预测!Q36),"—",销售预测!Q36)</f>
        <v>0</v>
      </c>
      <c r="AQ51" s="188">
        <f>IF(ISERROR(销售预测!R36),"—",销售预测!R36)</f>
        <v>0</v>
      </c>
      <c r="AR51" s="188">
        <f>IF(ISERROR(销售预测!S36),"—",销售预测!S36)</f>
        <v>0</v>
      </c>
      <c r="AS51" s="188">
        <f>IF(ISERROR(销售预测!T36),"—",销售预测!T36)</f>
        <v>0</v>
      </c>
      <c r="AT51" s="188">
        <f>IF(ISERROR(销售预测!U36),"—",销售预测!U36)</f>
        <v>0</v>
      </c>
    </row>
    <row r="52" spans="1:46" s="400" customFormat="1" ht="15" customHeight="1">
      <c r="A52" s="97"/>
      <c r="B52" s="117"/>
      <c r="C52" s="425" t="s">
        <v>458</v>
      </c>
      <c r="D52" s="409"/>
      <c r="E52" s="448" t="str">
        <f>IF(ISERROR(E51/E84),"—",E51/E84)</f>
        <v>—</v>
      </c>
      <c r="F52" s="448" t="str">
        <f t="shared" ref="F52:S52" si="68">IF(ISERROR(F51/F84),"—",F51/F84)</f>
        <v>—</v>
      </c>
      <c r="G52" s="448" t="str">
        <f t="shared" si="68"/>
        <v>—</v>
      </c>
      <c r="H52" s="448" t="str">
        <f t="shared" si="68"/>
        <v>—</v>
      </c>
      <c r="I52" s="448" t="str">
        <f t="shared" si="68"/>
        <v>—</v>
      </c>
      <c r="J52" s="448" t="str">
        <f t="shared" si="68"/>
        <v>—</v>
      </c>
      <c r="K52" s="448" t="str">
        <f t="shared" si="68"/>
        <v>—</v>
      </c>
      <c r="L52" s="448" t="str">
        <f t="shared" si="68"/>
        <v>—</v>
      </c>
      <c r="M52" s="448" t="str">
        <f t="shared" si="68"/>
        <v>—</v>
      </c>
      <c r="N52" s="448" t="str">
        <f t="shared" si="68"/>
        <v>—</v>
      </c>
      <c r="O52" s="448" t="str">
        <f t="shared" si="68"/>
        <v>—</v>
      </c>
      <c r="P52" s="448" t="str">
        <f t="shared" si="68"/>
        <v>—</v>
      </c>
      <c r="Q52" s="448" t="str">
        <f t="shared" si="68"/>
        <v>—</v>
      </c>
      <c r="R52" s="448" t="str">
        <f t="shared" si="68"/>
        <v>—</v>
      </c>
      <c r="S52" s="448" t="str">
        <f t="shared" si="68"/>
        <v>—</v>
      </c>
      <c r="T52" s="448" t="str">
        <f t="shared" ref="T52:AL52" si="69">IF(ISERROR(T51/T84),"—",T51/T84)</f>
        <v>—</v>
      </c>
      <c r="U52" s="448" t="str">
        <f t="shared" si="69"/>
        <v>—</v>
      </c>
      <c r="V52" s="448" t="str">
        <f t="shared" si="69"/>
        <v>—</v>
      </c>
      <c r="W52" s="448" t="str">
        <f t="shared" si="69"/>
        <v>—</v>
      </c>
      <c r="X52" s="448" t="str">
        <f t="shared" si="69"/>
        <v>—</v>
      </c>
      <c r="Y52" s="448" t="str">
        <f t="shared" si="69"/>
        <v>—</v>
      </c>
      <c r="Z52" s="448" t="str">
        <f t="shared" si="69"/>
        <v>—</v>
      </c>
      <c r="AA52" s="448" t="str">
        <f t="shared" si="69"/>
        <v>—</v>
      </c>
      <c r="AB52" s="448" t="str">
        <f t="shared" si="69"/>
        <v>—</v>
      </c>
      <c r="AC52" s="448" t="str">
        <f t="shared" si="69"/>
        <v>—</v>
      </c>
      <c r="AD52" s="448" t="str">
        <f t="shared" si="69"/>
        <v>—</v>
      </c>
      <c r="AE52" s="448" t="str">
        <f t="shared" si="69"/>
        <v>—</v>
      </c>
      <c r="AF52" s="448" t="str">
        <f t="shared" si="69"/>
        <v>—</v>
      </c>
      <c r="AG52" s="448" t="str">
        <f t="shared" si="69"/>
        <v>—</v>
      </c>
      <c r="AH52" s="448" t="str">
        <f t="shared" si="69"/>
        <v>—</v>
      </c>
      <c r="AI52" s="448" t="str">
        <f t="shared" si="69"/>
        <v>—</v>
      </c>
      <c r="AJ52" s="448" t="str">
        <f t="shared" si="69"/>
        <v>—</v>
      </c>
      <c r="AK52" s="448" t="str">
        <f t="shared" si="69"/>
        <v>—</v>
      </c>
      <c r="AL52" s="448" t="str">
        <f t="shared" si="69"/>
        <v>—</v>
      </c>
      <c r="AM52" s="448" t="str">
        <f t="shared" ref="AM52:AT52" si="70">IF(ISERROR(AM51/AM84),"—",AM51/AM84)</f>
        <v>—</v>
      </c>
      <c r="AN52" s="448" t="str">
        <f t="shared" si="70"/>
        <v>—</v>
      </c>
      <c r="AO52" s="448" t="str">
        <f t="shared" si="70"/>
        <v>—</v>
      </c>
      <c r="AP52" s="448" t="str">
        <f t="shared" si="70"/>
        <v>—</v>
      </c>
      <c r="AQ52" s="448" t="str">
        <f t="shared" si="70"/>
        <v>—</v>
      </c>
      <c r="AR52" s="448" t="str">
        <f t="shared" si="70"/>
        <v>—</v>
      </c>
      <c r="AS52" s="448" t="str">
        <f t="shared" si="70"/>
        <v>—</v>
      </c>
      <c r="AT52" s="448" t="str">
        <f t="shared" si="70"/>
        <v>—</v>
      </c>
    </row>
    <row r="53" spans="1:46" s="400" customFormat="1" ht="15" customHeight="1">
      <c r="A53" s="97"/>
      <c r="B53" s="117"/>
      <c r="C53" s="425"/>
      <c r="D53" s="409"/>
      <c r="E53" s="448"/>
      <c r="F53" s="448"/>
      <c r="G53" s="448"/>
      <c r="H53" s="448"/>
      <c r="I53" s="448"/>
      <c r="J53" s="448"/>
      <c r="K53" s="448"/>
      <c r="L53" s="448"/>
      <c r="M53" s="448"/>
      <c r="N53" s="448"/>
      <c r="O53" s="448"/>
      <c r="P53" s="448"/>
      <c r="Q53" s="448"/>
      <c r="R53" s="448"/>
      <c r="S53" s="448"/>
      <c r="T53" s="448"/>
      <c r="U53" s="448"/>
      <c r="V53" s="448"/>
      <c r="W53" s="448"/>
      <c r="X53" s="448"/>
      <c r="Y53" s="448"/>
      <c r="Z53" s="448"/>
      <c r="AA53" s="448"/>
      <c r="AB53" s="448"/>
      <c r="AC53" s="448"/>
      <c r="AD53" s="448"/>
      <c r="AE53" s="448"/>
      <c r="AF53" s="448"/>
      <c r="AG53" s="448"/>
      <c r="AH53" s="448"/>
      <c r="AI53" s="448"/>
      <c r="AJ53" s="448"/>
      <c r="AK53" s="448"/>
      <c r="AL53" s="448"/>
      <c r="AM53" s="448"/>
      <c r="AN53" s="448"/>
      <c r="AO53" s="448"/>
      <c r="AP53" s="448"/>
      <c r="AQ53" s="448"/>
      <c r="AR53" s="448"/>
      <c r="AS53" s="448"/>
      <c r="AT53" s="448"/>
    </row>
    <row r="54" spans="1:46" s="398" customFormat="1" ht="15" customHeight="1">
      <c r="A54" s="426"/>
      <c r="B54" s="126" t="s">
        <v>334</v>
      </c>
      <c r="C54" s="126"/>
      <c r="D54" s="434"/>
      <c r="E54" s="188">
        <f>财务基础数据!J26*目录!$D$6</f>
        <v>0</v>
      </c>
      <c r="F54" s="188">
        <f>财务基础数据!K26*目录!$D$6</f>
        <v>0</v>
      </c>
      <c r="G54" s="188">
        <f>财务基础数据!L26*目录!$D$6</f>
        <v>0</v>
      </c>
      <c r="H54" s="188">
        <f>财务基础数据!M26*目录!$D$6</f>
        <v>0</v>
      </c>
      <c r="I54" s="188">
        <f>财务基础数据!N26*目录!$D$6</f>
        <v>0</v>
      </c>
      <c r="J54" s="188">
        <f>财务基础数据!O26*目录!$D$6</f>
        <v>0</v>
      </c>
      <c r="K54" s="188">
        <f>财务基础数据!P26*目录!$D$6</f>
        <v>0</v>
      </c>
      <c r="L54" s="188">
        <f>财务基础数据!Q26*目录!$D$6</f>
        <v>0</v>
      </c>
      <c r="M54" s="188">
        <f>财务基础数据!R26*目录!$D$6</f>
        <v>0</v>
      </c>
      <c r="N54" s="188">
        <f>财务基础数据!S26*目录!$D$6</f>
        <v>0</v>
      </c>
      <c r="O54" s="188">
        <f>财务基础数据!T26*目录!$D$6</f>
        <v>0</v>
      </c>
      <c r="P54" s="188">
        <f>财务基础数据!U26*目录!$D$6</f>
        <v>0</v>
      </c>
      <c r="Q54" s="188">
        <f>财务基础数据!V26*目录!$D$6</f>
        <v>0</v>
      </c>
      <c r="R54" s="188">
        <f>财务基础数据!W26*目录!$D$6</f>
        <v>0</v>
      </c>
      <c r="S54" s="188">
        <f>财务基础数据!X26*目录!$D$6</f>
        <v>0</v>
      </c>
      <c r="T54" s="188">
        <f>财务基础数据!Y26*目录!$D$6</f>
        <v>0</v>
      </c>
      <c r="U54" s="188">
        <f>财务基础数据!Z26*目录!$D$6</f>
        <v>0</v>
      </c>
      <c r="V54" s="188">
        <f>财务基础数据!AA26*目录!$D$6</f>
        <v>0</v>
      </c>
      <c r="W54" s="188">
        <f>财务基础数据!AB26*目录!$D$6</f>
        <v>0</v>
      </c>
      <c r="X54" s="188">
        <f>财务基础数据!AC26*目录!$D$6</f>
        <v>0</v>
      </c>
      <c r="Y54" s="188">
        <f>财务基础数据!AD26*目录!$D$6</f>
        <v>0</v>
      </c>
      <c r="Z54" s="188">
        <f>财务基础数据!AE26*目录!$D$6</f>
        <v>0</v>
      </c>
      <c r="AA54" s="188">
        <f>财务基础数据!AF26*目录!$D$6</f>
        <v>0</v>
      </c>
      <c r="AB54" s="188">
        <f>财务基础数据!AG26*目录!$D$6</f>
        <v>0</v>
      </c>
      <c r="AC54" s="188">
        <f>财务基础数据!AH26*目录!$D$6</f>
        <v>0</v>
      </c>
      <c r="AD54" s="188">
        <f>财务基础数据!AI26*目录!$D$6</f>
        <v>0</v>
      </c>
      <c r="AE54" s="188">
        <f>财务基础数据!AJ26*目录!$D$6</f>
        <v>0</v>
      </c>
      <c r="AF54" s="188">
        <f>财务基础数据!AK26*目录!$D$6</f>
        <v>0</v>
      </c>
      <c r="AG54" s="188">
        <f>财务基础数据!AL26*目录!$D$6</f>
        <v>0</v>
      </c>
      <c r="AH54" s="188">
        <f>财务基础数据!AM26*目录!$D$6</f>
        <v>0</v>
      </c>
      <c r="AI54" s="188">
        <f>财务基础数据!AN26*目录!$D$6</f>
        <v>0</v>
      </c>
      <c r="AJ54" s="188">
        <f>财务基础数据!AO26*目录!$D$6</f>
        <v>0</v>
      </c>
      <c r="AK54" s="463">
        <f>IF(财务基础数据!$AM$4=0,AG54,IF(财务基础数据!$AM$4=1,AH54,IF(财务基础数据!$AM$4=2,AI54,AJ54)))</f>
        <v>0</v>
      </c>
      <c r="AL54" s="463"/>
      <c r="AM54" s="463"/>
      <c r="AN54" s="463"/>
      <c r="AO54" s="463"/>
      <c r="AP54" s="463"/>
      <c r="AQ54" s="463"/>
      <c r="AR54" s="463"/>
      <c r="AS54" s="463"/>
      <c r="AT54" s="463"/>
    </row>
    <row r="55" spans="1:46" s="398" customFormat="1" ht="15" customHeight="1">
      <c r="A55" s="426"/>
      <c r="B55" s="126"/>
      <c r="C55" s="425" t="s">
        <v>458</v>
      </c>
      <c r="D55" s="434"/>
      <c r="E55" s="105" t="str">
        <f t="shared" ref="E55:AJ55" si="71">IF(ISERROR(E54/E84),"—",E54/E84)</f>
        <v>—</v>
      </c>
      <c r="F55" s="105" t="str">
        <f t="shared" si="71"/>
        <v>—</v>
      </c>
      <c r="G55" s="105" t="str">
        <f t="shared" si="71"/>
        <v>—</v>
      </c>
      <c r="H55" s="105" t="str">
        <f t="shared" si="71"/>
        <v>—</v>
      </c>
      <c r="I55" s="105" t="str">
        <f t="shared" si="71"/>
        <v>—</v>
      </c>
      <c r="J55" s="105" t="str">
        <f t="shared" si="71"/>
        <v>—</v>
      </c>
      <c r="K55" s="105" t="str">
        <f t="shared" si="71"/>
        <v>—</v>
      </c>
      <c r="L55" s="105" t="str">
        <f t="shared" si="71"/>
        <v>—</v>
      </c>
      <c r="M55" s="105" t="str">
        <f t="shared" si="71"/>
        <v>—</v>
      </c>
      <c r="N55" s="105" t="str">
        <f t="shared" si="71"/>
        <v>—</v>
      </c>
      <c r="O55" s="105" t="str">
        <f t="shared" si="71"/>
        <v>—</v>
      </c>
      <c r="P55" s="105" t="str">
        <f t="shared" si="71"/>
        <v>—</v>
      </c>
      <c r="Q55" s="105" t="str">
        <f t="shared" si="71"/>
        <v>—</v>
      </c>
      <c r="R55" s="105" t="str">
        <f t="shared" si="71"/>
        <v>—</v>
      </c>
      <c r="S55" s="105" t="str">
        <f t="shared" si="71"/>
        <v>—</v>
      </c>
      <c r="T55" s="105" t="str">
        <f t="shared" si="71"/>
        <v>—</v>
      </c>
      <c r="U55" s="105" t="str">
        <f t="shared" si="71"/>
        <v>—</v>
      </c>
      <c r="V55" s="105" t="str">
        <f t="shared" si="71"/>
        <v>—</v>
      </c>
      <c r="W55" s="105" t="str">
        <f t="shared" si="71"/>
        <v>—</v>
      </c>
      <c r="X55" s="105" t="str">
        <f t="shared" si="71"/>
        <v>—</v>
      </c>
      <c r="Y55" s="105" t="str">
        <f t="shared" si="71"/>
        <v>—</v>
      </c>
      <c r="Z55" s="105" t="str">
        <f t="shared" si="71"/>
        <v>—</v>
      </c>
      <c r="AA55" s="105" t="str">
        <f t="shared" si="71"/>
        <v>—</v>
      </c>
      <c r="AB55" s="105" t="str">
        <f t="shared" si="71"/>
        <v>—</v>
      </c>
      <c r="AC55" s="105" t="str">
        <f t="shared" si="71"/>
        <v>—</v>
      </c>
      <c r="AD55" s="105" t="str">
        <f t="shared" si="71"/>
        <v>—</v>
      </c>
      <c r="AE55" s="105" t="str">
        <f t="shared" si="71"/>
        <v>—</v>
      </c>
      <c r="AF55" s="105" t="str">
        <f t="shared" si="71"/>
        <v>—</v>
      </c>
      <c r="AG55" s="105" t="str">
        <f t="shared" si="71"/>
        <v>—</v>
      </c>
      <c r="AH55" s="105" t="str">
        <f t="shared" si="71"/>
        <v>—</v>
      </c>
      <c r="AI55" s="105" t="str">
        <f t="shared" si="71"/>
        <v>—</v>
      </c>
      <c r="AJ55" s="105" t="str">
        <f t="shared" si="71"/>
        <v>—</v>
      </c>
      <c r="AK55" s="105" t="str">
        <f t="shared" ref="AK55:AT55" si="72">IF(ISERROR(AK54/AK84),"—",AK54/AK84)</f>
        <v>—</v>
      </c>
      <c r="AL55" s="105" t="str">
        <f t="shared" si="72"/>
        <v>—</v>
      </c>
      <c r="AM55" s="105" t="str">
        <f t="shared" si="72"/>
        <v>—</v>
      </c>
      <c r="AN55" s="105" t="str">
        <f t="shared" si="72"/>
        <v>—</v>
      </c>
      <c r="AO55" s="105" t="str">
        <f t="shared" si="72"/>
        <v>—</v>
      </c>
      <c r="AP55" s="105" t="str">
        <f t="shared" si="72"/>
        <v>—</v>
      </c>
      <c r="AQ55" s="105" t="str">
        <f t="shared" si="72"/>
        <v>—</v>
      </c>
      <c r="AR55" s="105" t="str">
        <f t="shared" si="72"/>
        <v>—</v>
      </c>
      <c r="AS55" s="105" t="str">
        <f t="shared" si="72"/>
        <v>—</v>
      </c>
      <c r="AT55" s="105" t="str">
        <f t="shared" si="72"/>
        <v>—</v>
      </c>
    </row>
    <row r="56" spans="1:46" s="398" customFormat="1" ht="15" customHeight="1">
      <c r="A56" s="426"/>
      <c r="B56" s="126"/>
      <c r="C56" s="425"/>
      <c r="D56" s="434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</row>
    <row r="57" spans="1:46" s="405" customFormat="1" ht="15" customHeight="1">
      <c r="A57" s="97"/>
      <c r="B57" s="126" t="s">
        <v>335</v>
      </c>
      <c r="C57" s="425"/>
      <c r="D57" s="409"/>
      <c r="E57" s="188">
        <f>财务基础数据!J20*目录!$D$6</f>
        <v>0</v>
      </c>
      <c r="F57" s="188">
        <f>财务基础数据!K20*目录!$D$6</f>
        <v>0</v>
      </c>
      <c r="G57" s="188">
        <f>财务基础数据!L20*目录!$D$6</f>
        <v>0</v>
      </c>
      <c r="H57" s="188">
        <f>财务基础数据!M20*目录!$D$6</f>
        <v>0</v>
      </c>
      <c r="I57" s="188">
        <f>财务基础数据!N20*目录!$D$6</f>
        <v>0</v>
      </c>
      <c r="J57" s="188">
        <f>财务基础数据!O20*目录!$D$6</f>
        <v>0</v>
      </c>
      <c r="K57" s="188">
        <f>财务基础数据!P20*目录!$D$6</f>
        <v>0</v>
      </c>
      <c r="L57" s="188">
        <f>财务基础数据!Q20*目录!$D$6</f>
        <v>0</v>
      </c>
      <c r="M57" s="188">
        <f>财务基础数据!R20*目录!$D$6</f>
        <v>0</v>
      </c>
      <c r="N57" s="188">
        <f>财务基础数据!S20*目录!$D$6</f>
        <v>0</v>
      </c>
      <c r="O57" s="188">
        <f>财务基础数据!T20*目录!$D$6</f>
        <v>0</v>
      </c>
      <c r="P57" s="188">
        <f>财务基础数据!U20*目录!$D$6</f>
        <v>0</v>
      </c>
      <c r="Q57" s="188">
        <f>财务基础数据!V20*目录!$D$6</f>
        <v>0</v>
      </c>
      <c r="R57" s="188">
        <f>财务基础数据!W20*目录!$D$6</f>
        <v>0</v>
      </c>
      <c r="S57" s="188">
        <f>财务基础数据!X20*目录!$D$6</f>
        <v>0</v>
      </c>
      <c r="T57" s="188">
        <f>财务基础数据!Y20*目录!$D$6</f>
        <v>0</v>
      </c>
      <c r="U57" s="188">
        <f>财务基础数据!Z20*目录!$D$6</f>
        <v>0</v>
      </c>
      <c r="V57" s="188">
        <f>财务基础数据!AA20*目录!$D$6</f>
        <v>0</v>
      </c>
      <c r="W57" s="188">
        <f>财务基础数据!AB20*目录!$D$6</f>
        <v>0</v>
      </c>
      <c r="X57" s="188">
        <f>财务基础数据!AC20*目录!$D$6</f>
        <v>0</v>
      </c>
      <c r="Y57" s="188">
        <f>财务基础数据!AD20*目录!$D$6</f>
        <v>0</v>
      </c>
      <c r="Z57" s="188">
        <f>财务基础数据!AE20*目录!$D$6</f>
        <v>0</v>
      </c>
      <c r="AA57" s="188">
        <f>财务基础数据!AF20*目录!$D$6</f>
        <v>0</v>
      </c>
      <c r="AB57" s="188">
        <f>财务基础数据!AG20*目录!$D$6</f>
        <v>0</v>
      </c>
      <c r="AC57" s="188">
        <f>财务基础数据!AH20*目录!$D$6</f>
        <v>0</v>
      </c>
      <c r="AD57" s="188">
        <f>财务基础数据!AI20*目录!$D$6</f>
        <v>0</v>
      </c>
      <c r="AE57" s="188">
        <f>财务基础数据!AJ20*目录!$D$6</f>
        <v>0</v>
      </c>
      <c r="AF57" s="188">
        <f>财务基础数据!AK20*目录!$D$6</f>
        <v>0</v>
      </c>
      <c r="AG57" s="188">
        <f>财务基础数据!AL20*目录!$D$6</f>
        <v>0</v>
      </c>
      <c r="AH57" s="188">
        <f>财务基础数据!AM20*目录!$D$6</f>
        <v>0</v>
      </c>
      <c r="AI57" s="188">
        <f>财务基础数据!AN20*目录!$D$6</f>
        <v>0</v>
      </c>
      <c r="AJ57" s="188">
        <f>财务基础数据!AO20*目录!$D$6</f>
        <v>0</v>
      </c>
      <c r="AK57" s="118">
        <f>IF(ISERROR(资产预测!L119),"—",资产预测!L119)</f>
        <v>0</v>
      </c>
      <c r="AL57" s="118">
        <f>IF(ISERROR(资产预测!M119),"—",资产预测!M119)</f>
        <v>0</v>
      </c>
      <c r="AM57" s="118">
        <f>IF(ISERROR(资产预测!N119),"—",资产预测!N119)</f>
        <v>0</v>
      </c>
      <c r="AN57" s="118">
        <f>IF(ISERROR(资产预测!O119),"—",资产预测!O119)</f>
        <v>0</v>
      </c>
      <c r="AO57" s="118">
        <f>IF(ISERROR(资产预测!P119),"—",资产预测!P119)</f>
        <v>0</v>
      </c>
      <c r="AP57" s="118">
        <f>IF(ISERROR(资产预测!Q119),"—",资产预测!Q119)</f>
        <v>0</v>
      </c>
      <c r="AQ57" s="118">
        <f>IF(ISERROR(资产预测!R119),"—",资产预测!R119)</f>
        <v>0</v>
      </c>
      <c r="AR57" s="118">
        <f>IF(ISERROR(资产预测!S119),"—",资产预测!S119)</f>
        <v>0</v>
      </c>
      <c r="AS57" s="118">
        <f>IF(ISERROR(资产预测!T119),"—",资产预测!T119)</f>
        <v>0</v>
      </c>
      <c r="AT57" s="118">
        <f>IF(ISERROR(资产预测!U119),"—",资产预测!U119)</f>
        <v>0</v>
      </c>
    </row>
    <row r="58" spans="1:46" s="405" customFormat="1" ht="15" customHeight="1">
      <c r="A58" s="97"/>
      <c r="B58" s="126"/>
      <c r="C58" s="425" t="s">
        <v>458</v>
      </c>
      <c r="D58" s="409"/>
      <c r="E58" s="443" t="str">
        <f>IF(ISERROR(E57/E84),"—",E57/E84)</f>
        <v>—</v>
      </c>
      <c r="F58" s="443" t="str">
        <f t="shared" ref="F58:S58" si="73">IF(ISERROR(F57/F84),"—",F57/F84)</f>
        <v>—</v>
      </c>
      <c r="G58" s="443" t="str">
        <f t="shared" si="73"/>
        <v>—</v>
      </c>
      <c r="H58" s="443" t="str">
        <f t="shared" si="73"/>
        <v>—</v>
      </c>
      <c r="I58" s="443" t="str">
        <f t="shared" si="73"/>
        <v>—</v>
      </c>
      <c r="J58" s="443" t="str">
        <f t="shared" si="73"/>
        <v>—</v>
      </c>
      <c r="K58" s="443" t="str">
        <f t="shared" si="73"/>
        <v>—</v>
      </c>
      <c r="L58" s="443" t="str">
        <f t="shared" si="73"/>
        <v>—</v>
      </c>
      <c r="M58" s="443" t="str">
        <f t="shared" si="73"/>
        <v>—</v>
      </c>
      <c r="N58" s="443" t="str">
        <f t="shared" si="73"/>
        <v>—</v>
      </c>
      <c r="O58" s="443" t="str">
        <f t="shared" si="73"/>
        <v>—</v>
      </c>
      <c r="P58" s="443" t="str">
        <f t="shared" si="73"/>
        <v>—</v>
      </c>
      <c r="Q58" s="443" t="str">
        <f t="shared" si="73"/>
        <v>—</v>
      </c>
      <c r="R58" s="443" t="str">
        <f t="shared" si="73"/>
        <v>—</v>
      </c>
      <c r="S58" s="443" t="str">
        <f t="shared" si="73"/>
        <v>—</v>
      </c>
      <c r="T58" s="443" t="str">
        <f t="shared" ref="T58:AL58" si="74">IF(ISERROR(T57/T84),"—",T57/T84)</f>
        <v>—</v>
      </c>
      <c r="U58" s="443" t="str">
        <f t="shared" si="74"/>
        <v>—</v>
      </c>
      <c r="V58" s="443" t="str">
        <f t="shared" si="74"/>
        <v>—</v>
      </c>
      <c r="W58" s="443" t="str">
        <f t="shared" si="74"/>
        <v>—</v>
      </c>
      <c r="X58" s="443" t="str">
        <f t="shared" si="74"/>
        <v>—</v>
      </c>
      <c r="Y58" s="443" t="str">
        <f t="shared" si="74"/>
        <v>—</v>
      </c>
      <c r="Z58" s="443" t="str">
        <f t="shared" si="74"/>
        <v>—</v>
      </c>
      <c r="AA58" s="443" t="str">
        <f t="shared" si="74"/>
        <v>—</v>
      </c>
      <c r="AB58" s="443" t="str">
        <f t="shared" si="74"/>
        <v>—</v>
      </c>
      <c r="AC58" s="443" t="str">
        <f t="shared" si="74"/>
        <v>—</v>
      </c>
      <c r="AD58" s="443" t="str">
        <f t="shared" si="74"/>
        <v>—</v>
      </c>
      <c r="AE58" s="443" t="str">
        <f t="shared" si="74"/>
        <v>—</v>
      </c>
      <c r="AF58" s="443" t="str">
        <f t="shared" si="74"/>
        <v>—</v>
      </c>
      <c r="AG58" s="443" t="str">
        <f t="shared" si="74"/>
        <v>—</v>
      </c>
      <c r="AH58" s="443" t="str">
        <f t="shared" si="74"/>
        <v>—</v>
      </c>
      <c r="AI58" s="443" t="str">
        <f t="shared" si="74"/>
        <v>—</v>
      </c>
      <c r="AJ58" s="443" t="str">
        <f t="shared" si="74"/>
        <v>—</v>
      </c>
      <c r="AK58" s="443" t="str">
        <f t="shared" si="74"/>
        <v>—</v>
      </c>
      <c r="AL58" s="443" t="str">
        <f t="shared" si="74"/>
        <v>—</v>
      </c>
      <c r="AM58" s="443" t="str">
        <f t="shared" ref="AM58:AT58" si="75">IF(ISERROR(AM57/AM84),"—",AM57/AM84)</f>
        <v>—</v>
      </c>
      <c r="AN58" s="443" t="str">
        <f t="shared" si="75"/>
        <v>—</v>
      </c>
      <c r="AO58" s="443" t="str">
        <f t="shared" si="75"/>
        <v>—</v>
      </c>
      <c r="AP58" s="443" t="str">
        <f t="shared" si="75"/>
        <v>—</v>
      </c>
      <c r="AQ58" s="443" t="str">
        <f t="shared" si="75"/>
        <v>—</v>
      </c>
      <c r="AR58" s="443" t="str">
        <f t="shared" si="75"/>
        <v>—</v>
      </c>
      <c r="AS58" s="443" t="str">
        <f t="shared" si="75"/>
        <v>—</v>
      </c>
      <c r="AT58" s="443" t="str">
        <f t="shared" si="75"/>
        <v>—</v>
      </c>
    </row>
    <row r="59" spans="1:46" s="405" customFormat="1" ht="15" customHeight="1">
      <c r="A59" s="97"/>
      <c r="B59" s="126"/>
      <c r="C59" s="425"/>
      <c r="D59" s="409"/>
      <c r="E59" s="443"/>
      <c r="F59" s="443"/>
      <c r="G59" s="443"/>
      <c r="H59" s="443"/>
      <c r="I59" s="443"/>
      <c r="J59" s="443"/>
      <c r="K59" s="443"/>
      <c r="L59" s="443"/>
      <c r="M59" s="443"/>
      <c r="N59" s="443"/>
      <c r="O59" s="443"/>
      <c r="P59" s="443"/>
      <c r="Q59" s="443"/>
      <c r="R59" s="443"/>
      <c r="S59" s="443"/>
      <c r="T59" s="443"/>
      <c r="U59" s="443"/>
      <c r="V59" s="443"/>
      <c r="W59" s="443"/>
      <c r="X59" s="443"/>
      <c r="Y59" s="443"/>
      <c r="Z59" s="443"/>
      <c r="AA59" s="443"/>
      <c r="AB59" s="443"/>
      <c r="AC59" s="443"/>
      <c r="AD59" s="443"/>
      <c r="AE59" s="443"/>
      <c r="AF59" s="443"/>
      <c r="AG59" s="443"/>
      <c r="AH59" s="443"/>
      <c r="AI59" s="443"/>
      <c r="AJ59" s="443"/>
      <c r="AK59" s="443"/>
      <c r="AL59" s="443"/>
      <c r="AM59" s="443"/>
      <c r="AN59" s="443"/>
      <c r="AO59" s="443"/>
      <c r="AP59" s="443"/>
      <c r="AQ59" s="443"/>
      <c r="AR59" s="443"/>
      <c r="AS59" s="443"/>
      <c r="AT59" s="443"/>
    </row>
    <row r="60" spans="1:46" s="398" customFormat="1" ht="15" customHeight="1">
      <c r="A60" s="426"/>
      <c r="B60" s="125" t="s">
        <v>459</v>
      </c>
      <c r="C60" s="126"/>
      <c r="D60" s="434"/>
      <c r="E60" s="118">
        <f>财务基础数据!J25*目录!$D$6</f>
        <v>0</v>
      </c>
      <c r="F60" s="188">
        <f>财务基础数据!K25*目录!$D$6</f>
        <v>0</v>
      </c>
      <c r="G60" s="188">
        <f>财务基础数据!L25*目录!$D$6</f>
        <v>0</v>
      </c>
      <c r="H60" s="188">
        <f>财务基础数据!M25*目录!$D$6</f>
        <v>0</v>
      </c>
      <c r="I60" s="188">
        <f>财务基础数据!N25*目录!$D$6</f>
        <v>0</v>
      </c>
      <c r="J60" s="188">
        <f>财务基础数据!O25*目录!$D$6</f>
        <v>0</v>
      </c>
      <c r="K60" s="188">
        <f>财务基础数据!P25*目录!$D$6</f>
        <v>0</v>
      </c>
      <c r="L60" s="188">
        <f>财务基础数据!Q25*目录!$D$6</f>
        <v>0</v>
      </c>
      <c r="M60" s="188">
        <f>财务基础数据!R25*目录!$D$6</f>
        <v>0</v>
      </c>
      <c r="N60" s="188">
        <f>财务基础数据!S25*目录!$D$6</f>
        <v>0</v>
      </c>
      <c r="O60" s="188">
        <f>财务基础数据!T25*目录!$D$6</f>
        <v>0</v>
      </c>
      <c r="P60" s="188">
        <f>财务基础数据!U25*目录!$D$6</f>
        <v>0</v>
      </c>
      <c r="Q60" s="188">
        <f>财务基础数据!V25*目录!$D$6</f>
        <v>0</v>
      </c>
      <c r="R60" s="188">
        <f>财务基础数据!W25*目录!$D$6</f>
        <v>0</v>
      </c>
      <c r="S60" s="188">
        <f>财务基础数据!X25*目录!$D$6</f>
        <v>0</v>
      </c>
      <c r="T60" s="188">
        <f>财务基础数据!Y25*目录!$D$6</f>
        <v>0</v>
      </c>
      <c r="U60" s="188">
        <f>财务基础数据!Z25*目录!$D$6</f>
        <v>0</v>
      </c>
      <c r="V60" s="188">
        <f>财务基础数据!AA25*目录!$D$6</f>
        <v>0</v>
      </c>
      <c r="W60" s="188">
        <f>财务基础数据!AB25*目录!$D$6</f>
        <v>0</v>
      </c>
      <c r="X60" s="188">
        <f>财务基础数据!AC25*目录!$D$6</f>
        <v>0</v>
      </c>
      <c r="Y60" s="188">
        <f>财务基础数据!AD25*目录!$D$6</f>
        <v>0</v>
      </c>
      <c r="Z60" s="188">
        <f>财务基础数据!AE25*目录!$D$6</f>
        <v>0</v>
      </c>
      <c r="AA60" s="188">
        <f>财务基础数据!AF25*目录!$D$6</f>
        <v>0</v>
      </c>
      <c r="AB60" s="188">
        <f>财务基础数据!AG25*目录!$D$6</f>
        <v>0</v>
      </c>
      <c r="AC60" s="188">
        <f>财务基础数据!AH25*目录!$D$6</f>
        <v>0</v>
      </c>
      <c r="AD60" s="188">
        <f>财务基础数据!AI25*目录!$D$6</f>
        <v>0</v>
      </c>
      <c r="AE60" s="188">
        <f>财务基础数据!AJ25*目录!$D$6</f>
        <v>0</v>
      </c>
      <c r="AF60" s="188">
        <f>财务基础数据!AK25*目录!$D$6</f>
        <v>0</v>
      </c>
      <c r="AG60" s="188">
        <f>财务基础数据!AL25*目录!$D$6</f>
        <v>0</v>
      </c>
      <c r="AH60" s="188">
        <f>财务基础数据!AM25*目录!$D$6</f>
        <v>0</v>
      </c>
      <c r="AI60" s="188">
        <f>财务基础数据!AN25*目录!$D$6</f>
        <v>0</v>
      </c>
      <c r="AJ60" s="188">
        <f>财务基础数据!AO25*目录!$D$6</f>
        <v>0</v>
      </c>
      <c r="AK60" s="118">
        <f>IF(ISERROR(投资与减值!L175),"—",投资与减值!L175)</f>
        <v>0</v>
      </c>
      <c r="AL60" s="118">
        <f>IF(ISERROR(投资与减值!M175),"—",投资与减值!M175)</f>
        <v>0</v>
      </c>
      <c r="AM60" s="118">
        <f>IF(ISERROR(投资与减值!N175),"—",投资与减值!N175)</f>
        <v>0</v>
      </c>
      <c r="AN60" s="118">
        <f>IF(ISERROR(投资与减值!O175),"—",投资与减值!O175)</f>
        <v>0</v>
      </c>
      <c r="AO60" s="118">
        <f>IF(ISERROR(投资与减值!P175),"—",投资与减值!P175)</f>
        <v>0</v>
      </c>
      <c r="AP60" s="118">
        <f>IF(ISERROR(投资与减值!Q175),"—",投资与减值!Q175)</f>
        <v>0</v>
      </c>
      <c r="AQ60" s="118">
        <f>IF(ISERROR(投资与减值!R175),"—",投资与减值!R175)</f>
        <v>0</v>
      </c>
      <c r="AR60" s="118">
        <f>IF(ISERROR(投资与减值!S175),"—",投资与减值!S175)</f>
        <v>0</v>
      </c>
      <c r="AS60" s="118">
        <f>IF(ISERROR(投资与减值!T175),"—",投资与减值!T175)</f>
        <v>0</v>
      </c>
      <c r="AT60" s="118">
        <f>IF(ISERROR(投资与减值!U175),"—",投资与减值!U175)</f>
        <v>0</v>
      </c>
    </row>
    <row r="61" spans="1:46" s="398" customFormat="1" ht="15" customHeight="1">
      <c r="A61" s="426"/>
      <c r="B61" s="125"/>
      <c r="C61" s="425" t="s">
        <v>458</v>
      </c>
      <c r="D61" s="434"/>
      <c r="E61" s="105" t="str">
        <f t="shared" ref="E61:AJ61" si="76">IF(ISERROR(E60/E84),"—",E60/E84)</f>
        <v>—</v>
      </c>
      <c r="F61" s="105" t="str">
        <f t="shared" si="76"/>
        <v>—</v>
      </c>
      <c r="G61" s="105" t="str">
        <f t="shared" si="76"/>
        <v>—</v>
      </c>
      <c r="H61" s="105" t="str">
        <f t="shared" si="76"/>
        <v>—</v>
      </c>
      <c r="I61" s="105" t="str">
        <f t="shared" si="76"/>
        <v>—</v>
      </c>
      <c r="J61" s="105" t="str">
        <f t="shared" si="76"/>
        <v>—</v>
      </c>
      <c r="K61" s="105" t="str">
        <f t="shared" si="76"/>
        <v>—</v>
      </c>
      <c r="L61" s="105" t="str">
        <f t="shared" si="76"/>
        <v>—</v>
      </c>
      <c r="M61" s="105" t="str">
        <f t="shared" si="76"/>
        <v>—</v>
      </c>
      <c r="N61" s="105" t="str">
        <f t="shared" si="76"/>
        <v>—</v>
      </c>
      <c r="O61" s="105" t="str">
        <f t="shared" si="76"/>
        <v>—</v>
      </c>
      <c r="P61" s="105" t="str">
        <f t="shared" si="76"/>
        <v>—</v>
      </c>
      <c r="Q61" s="105" t="str">
        <f t="shared" si="76"/>
        <v>—</v>
      </c>
      <c r="R61" s="105" t="str">
        <f t="shared" si="76"/>
        <v>—</v>
      </c>
      <c r="S61" s="105" t="str">
        <f t="shared" si="76"/>
        <v>—</v>
      </c>
      <c r="T61" s="105" t="str">
        <f t="shared" si="76"/>
        <v>—</v>
      </c>
      <c r="U61" s="105" t="str">
        <f t="shared" si="76"/>
        <v>—</v>
      </c>
      <c r="V61" s="105" t="str">
        <f t="shared" si="76"/>
        <v>—</v>
      </c>
      <c r="W61" s="105" t="str">
        <f t="shared" si="76"/>
        <v>—</v>
      </c>
      <c r="X61" s="105" t="str">
        <f t="shared" si="76"/>
        <v>—</v>
      </c>
      <c r="Y61" s="105" t="str">
        <f t="shared" si="76"/>
        <v>—</v>
      </c>
      <c r="Z61" s="105" t="str">
        <f t="shared" si="76"/>
        <v>—</v>
      </c>
      <c r="AA61" s="105" t="str">
        <f t="shared" si="76"/>
        <v>—</v>
      </c>
      <c r="AB61" s="105" t="str">
        <f t="shared" si="76"/>
        <v>—</v>
      </c>
      <c r="AC61" s="105" t="str">
        <f t="shared" si="76"/>
        <v>—</v>
      </c>
      <c r="AD61" s="105" t="str">
        <f t="shared" si="76"/>
        <v>—</v>
      </c>
      <c r="AE61" s="105" t="str">
        <f t="shared" si="76"/>
        <v>—</v>
      </c>
      <c r="AF61" s="105" t="str">
        <f t="shared" si="76"/>
        <v>—</v>
      </c>
      <c r="AG61" s="105" t="str">
        <f t="shared" si="76"/>
        <v>—</v>
      </c>
      <c r="AH61" s="105" t="str">
        <f t="shared" si="76"/>
        <v>—</v>
      </c>
      <c r="AI61" s="105" t="str">
        <f t="shared" si="76"/>
        <v>—</v>
      </c>
      <c r="AJ61" s="105" t="str">
        <f t="shared" si="76"/>
        <v>—</v>
      </c>
      <c r="AK61" s="105" t="str">
        <f t="shared" ref="AK61:AT61" si="77">IF(ISERROR(AK60/AK84),"—",AK60/AK84)</f>
        <v>—</v>
      </c>
      <c r="AL61" s="105" t="str">
        <f t="shared" si="77"/>
        <v>—</v>
      </c>
      <c r="AM61" s="105" t="str">
        <f t="shared" si="77"/>
        <v>—</v>
      </c>
      <c r="AN61" s="105" t="str">
        <f t="shared" si="77"/>
        <v>—</v>
      </c>
      <c r="AO61" s="105" t="str">
        <f t="shared" si="77"/>
        <v>—</v>
      </c>
      <c r="AP61" s="105" t="str">
        <f t="shared" si="77"/>
        <v>—</v>
      </c>
      <c r="AQ61" s="105" t="str">
        <f t="shared" si="77"/>
        <v>—</v>
      </c>
      <c r="AR61" s="105" t="str">
        <f t="shared" si="77"/>
        <v>—</v>
      </c>
      <c r="AS61" s="105" t="str">
        <f t="shared" si="77"/>
        <v>—</v>
      </c>
      <c r="AT61" s="105" t="str">
        <f t="shared" si="77"/>
        <v>—</v>
      </c>
    </row>
    <row r="62" spans="1:46" s="398" customFormat="1" ht="15" customHeight="1">
      <c r="A62" s="426"/>
      <c r="B62" s="125"/>
      <c r="C62" s="425"/>
      <c r="D62" s="434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</row>
    <row r="63" spans="1:46" s="398" customFormat="1" ht="15" customHeight="1">
      <c r="A63" s="426"/>
      <c r="B63" s="125" t="s">
        <v>460</v>
      </c>
      <c r="C63" s="126"/>
      <c r="D63" s="434"/>
      <c r="E63" s="188">
        <f>财务基础数据!J19*目录!$D$6</f>
        <v>0</v>
      </c>
      <c r="F63" s="188">
        <f>财务基础数据!K19*目录!$D$6</f>
        <v>0</v>
      </c>
      <c r="G63" s="188">
        <f>财务基础数据!L19*目录!$D$6</f>
        <v>0</v>
      </c>
      <c r="H63" s="188">
        <f>财务基础数据!M19*目录!$D$6</f>
        <v>0</v>
      </c>
      <c r="I63" s="188">
        <f>财务基础数据!N19*目录!$D$6</f>
        <v>0</v>
      </c>
      <c r="J63" s="188">
        <f>财务基础数据!O19*目录!$D$6</f>
        <v>0</v>
      </c>
      <c r="K63" s="188">
        <f>财务基础数据!P19*目录!$D$6</f>
        <v>0</v>
      </c>
      <c r="L63" s="188">
        <f>财务基础数据!Q19*目录!$D$6</f>
        <v>0</v>
      </c>
      <c r="M63" s="188">
        <f>财务基础数据!R19*目录!$D$6</f>
        <v>0</v>
      </c>
      <c r="N63" s="188">
        <f>财务基础数据!S19*目录!$D$6</f>
        <v>0</v>
      </c>
      <c r="O63" s="188">
        <f>财务基础数据!T19*目录!$D$6</f>
        <v>0</v>
      </c>
      <c r="P63" s="188">
        <f>财务基础数据!U19*目录!$D$6</f>
        <v>0</v>
      </c>
      <c r="Q63" s="188">
        <f>财务基础数据!V19*目录!$D$6</f>
        <v>0</v>
      </c>
      <c r="R63" s="188">
        <f>财务基础数据!W19*目录!$D$6</f>
        <v>0</v>
      </c>
      <c r="S63" s="188">
        <f>财务基础数据!X19*目录!$D$6</f>
        <v>0</v>
      </c>
      <c r="T63" s="188">
        <f>财务基础数据!Y19*目录!$D$6</f>
        <v>0</v>
      </c>
      <c r="U63" s="188">
        <f>财务基础数据!Z19*目录!$D$6</f>
        <v>0</v>
      </c>
      <c r="V63" s="188">
        <f>财务基础数据!AA19*目录!$D$6</f>
        <v>0</v>
      </c>
      <c r="W63" s="188">
        <f>财务基础数据!AB19*目录!$D$6</f>
        <v>0</v>
      </c>
      <c r="X63" s="188">
        <f>财务基础数据!AC19*目录!$D$6</f>
        <v>0</v>
      </c>
      <c r="Y63" s="188">
        <f>财务基础数据!AD19*目录!$D$6</f>
        <v>0</v>
      </c>
      <c r="Z63" s="188">
        <f>财务基础数据!AE19*目录!$D$6</f>
        <v>0</v>
      </c>
      <c r="AA63" s="188">
        <f>财务基础数据!AF19*目录!$D$6</f>
        <v>0</v>
      </c>
      <c r="AB63" s="188">
        <f>财务基础数据!AG19*目录!$D$6</f>
        <v>0</v>
      </c>
      <c r="AC63" s="188">
        <f>财务基础数据!AH19*目录!$D$6</f>
        <v>0</v>
      </c>
      <c r="AD63" s="188">
        <f>财务基础数据!AI19*目录!$D$6</f>
        <v>0</v>
      </c>
      <c r="AE63" s="188">
        <f>财务基础数据!AJ19*目录!$D$6</f>
        <v>0</v>
      </c>
      <c r="AF63" s="188">
        <f>财务基础数据!AK19*目录!$D$6</f>
        <v>0</v>
      </c>
      <c r="AG63" s="188">
        <f>财务基础数据!AL19*目录!$D$6</f>
        <v>0</v>
      </c>
      <c r="AH63" s="188">
        <f>财务基础数据!AM19*目录!$D$6</f>
        <v>0</v>
      </c>
      <c r="AI63" s="188">
        <f>财务基础数据!AN19*目录!$D$6</f>
        <v>0</v>
      </c>
      <c r="AJ63" s="188">
        <f>财务基础数据!AO19*目录!$D$6</f>
        <v>0</v>
      </c>
      <c r="AK63" s="118">
        <f>IF(ISERROR(投资与减值!L168),"—",投资与减值!L168)</f>
        <v>0</v>
      </c>
      <c r="AL63" s="118">
        <f>IF(ISERROR(投资与减值!M168),"—",投资与减值!M168)</f>
        <v>0</v>
      </c>
      <c r="AM63" s="118">
        <f>IF(ISERROR(投资与减值!N168),"—",投资与减值!N168)</f>
        <v>0</v>
      </c>
      <c r="AN63" s="118">
        <f>IF(ISERROR(投资与减值!O168),"—",投资与减值!O168)</f>
        <v>0</v>
      </c>
      <c r="AO63" s="118">
        <f>IF(ISERROR(投资与减值!P168),"—",投资与减值!P168)</f>
        <v>0</v>
      </c>
      <c r="AP63" s="118">
        <f>IF(ISERROR(投资与减值!Q168),"—",投资与减值!Q168)</f>
        <v>0</v>
      </c>
      <c r="AQ63" s="118">
        <f>IF(ISERROR(投资与减值!R168),"—",投资与减值!R168)</f>
        <v>0</v>
      </c>
      <c r="AR63" s="118">
        <f>IF(ISERROR(投资与减值!S168),"—",投资与减值!S168)</f>
        <v>0</v>
      </c>
      <c r="AS63" s="118">
        <f>IF(ISERROR(投资与减值!T168),"—",投资与减值!T168)</f>
        <v>0</v>
      </c>
      <c r="AT63" s="118">
        <f>IF(ISERROR(投资与减值!U168),"—",投资与减值!U168)</f>
        <v>0</v>
      </c>
    </row>
    <row r="64" spans="1:46" s="398" customFormat="1" ht="15" customHeight="1">
      <c r="A64" s="426"/>
      <c r="B64" s="126"/>
      <c r="C64" s="425" t="s">
        <v>458</v>
      </c>
      <c r="D64" s="434"/>
      <c r="E64" s="105" t="str">
        <f t="shared" ref="E64:AJ64" si="78">IF(ISERROR(E63/E84),"—",E63/E84)</f>
        <v>—</v>
      </c>
      <c r="F64" s="105" t="str">
        <f t="shared" si="78"/>
        <v>—</v>
      </c>
      <c r="G64" s="105" t="str">
        <f t="shared" si="78"/>
        <v>—</v>
      </c>
      <c r="H64" s="105" t="str">
        <f t="shared" si="78"/>
        <v>—</v>
      </c>
      <c r="I64" s="105" t="str">
        <f t="shared" si="78"/>
        <v>—</v>
      </c>
      <c r="J64" s="105" t="str">
        <f t="shared" si="78"/>
        <v>—</v>
      </c>
      <c r="K64" s="105" t="str">
        <f t="shared" si="78"/>
        <v>—</v>
      </c>
      <c r="L64" s="105" t="str">
        <f t="shared" si="78"/>
        <v>—</v>
      </c>
      <c r="M64" s="105" t="str">
        <f t="shared" si="78"/>
        <v>—</v>
      </c>
      <c r="N64" s="105" t="str">
        <f t="shared" si="78"/>
        <v>—</v>
      </c>
      <c r="O64" s="105" t="str">
        <f t="shared" si="78"/>
        <v>—</v>
      </c>
      <c r="P64" s="105" t="str">
        <f t="shared" si="78"/>
        <v>—</v>
      </c>
      <c r="Q64" s="105" t="str">
        <f t="shared" si="78"/>
        <v>—</v>
      </c>
      <c r="R64" s="105" t="str">
        <f t="shared" si="78"/>
        <v>—</v>
      </c>
      <c r="S64" s="105" t="str">
        <f t="shared" si="78"/>
        <v>—</v>
      </c>
      <c r="T64" s="105" t="str">
        <f t="shared" si="78"/>
        <v>—</v>
      </c>
      <c r="U64" s="105" t="str">
        <f t="shared" si="78"/>
        <v>—</v>
      </c>
      <c r="V64" s="105" t="str">
        <f t="shared" si="78"/>
        <v>—</v>
      </c>
      <c r="W64" s="105" t="str">
        <f t="shared" si="78"/>
        <v>—</v>
      </c>
      <c r="X64" s="105" t="str">
        <f t="shared" si="78"/>
        <v>—</v>
      </c>
      <c r="Y64" s="105" t="str">
        <f t="shared" si="78"/>
        <v>—</v>
      </c>
      <c r="Z64" s="105" t="str">
        <f t="shared" si="78"/>
        <v>—</v>
      </c>
      <c r="AA64" s="105" t="str">
        <f t="shared" si="78"/>
        <v>—</v>
      </c>
      <c r="AB64" s="105" t="str">
        <f t="shared" si="78"/>
        <v>—</v>
      </c>
      <c r="AC64" s="105" t="str">
        <f t="shared" si="78"/>
        <v>—</v>
      </c>
      <c r="AD64" s="105" t="str">
        <f t="shared" si="78"/>
        <v>—</v>
      </c>
      <c r="AE64" s="105" t="str">
        <f t="shared" si="78"/>
        <v>—</v>
      </c>
      <c r="AF64" s="105" t="str">
        <f t="shared" si="78"/>
        <v>—</v>
      </c>
      <c r="AG64" s="105" t="str">
        <f t="shared" si="78"/>
        <v>—</v>
      </c>
      <c r="AH64" s="105" t="str">
        <f t="shared" si="78"/>
        <v>—</v>
      </c>
      <c r="AI64" s="105" t="str">
        <f t="shared" si="78"/>
        <v>—</v>
      </c>
      <c r="AJ64" s="105" t="str">
        <f t="shared" si="78"/>
        <v>—</v>
      </c>
      <c r="AK64" s="105" t="str">
        <f t="shared" ref="AK64:AT64" si="79">IF(ISERROR(AK63/AK84),"—",AK63/AK84)</f>
        <v>—</v>
      </c>
      <c r="AL64" s="105" t="str">
        <f t="shared" si="79"/>
        <v>—</v>
      </c>
      <c r="AM64" s="105" t="str">
        <f t="shared" si="79"/>
        <v>—</v>
      </c>
      <c r="AN64" s="105" t="str">
        <f t="shared" si="79"/>
        <v>—</v>
      </c>
      <c r="AO64" s="105" t="str">
        <f t="shared" si="79"/>
        <v>—</v>
      </c>
      <c r="AP64" s="105" t="str">
        <f t="shared" si="79"/>
        <v>—</v>
      </c>
      <c r="AQ64" s="105" t="str">
        <f t="shared" si="79"/>
        <v>—</v>
      </c>
      <c r="AR64" s="105" t="str">
        <f t="shared" si="79"/>
        <v>—</v>
      </c>
      <c r="AS64" s="105" t="str">
        <f t="shared" si="79"/>
        <v>—</v>
      </c>
      <c r="AT64" s="105" t="str">
        <f t="shared" si="79"/>
        <v>—</v>
      </c>
    </row>
    <row r="65" spans="1:48" s="398" customFormat="1" ht="15" customHeight="1">
      <c r="A65" s="426"/>
      <c r="B65" s="126"/>
      <c r="C65" s="425"/>
      <c r="D65" s="434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</row>
    <row r="66" spans="1:48" s="30" customFormat="1" ht="15" customHeight="1">
      <c r="A66" s="150"/>
      <c r="B66" s="125" t="s">
        <v>89</v>
      </c>
      <c r="C66" s="431"/>
      <c r="D66" s="419"/>
      <c r="E66" s="118">
        <f>财务基础数据!J24*目录!$D$6</f>
        <v>0</v>
      </c>
      <c r="F66" s="118">
        <f>财务基础数据!K24*目录!$D$6</f>
        <v>0</v>
      </c>
      <c r="G66" s="118">
        <f>财务基础数据!L24*目录!$D$6</f>
        <v>0</v>
      </c>
      <c r="H66" s="118">
        <f>财务基础数据!M24*目录!$D$6</f>
        <v>0</v>
      </c>
      <c r="I66" s="118">
        <f>财务基础数据!N24*目录!$D$6</f>
        <v>0</v>
      </c>
      <c r="J66" s="118">
        <f>财务基础数据!O24*目录!$D$6</f>
        <v>0</v>
      </c>
      <c r="K66" s="118">
        <f>财务基础数据!P24*目录!$D$6</f>
        <v>0</v>
      </c>
      <c r="L66" s="118">
        <f>财务基础数据!Q24*目录!$D$6</f>
        <v>0</v>
      </c>
      <c r="M66" s="118">
        <f>财务基础数据!R24*目录!$D$6</f>
        <v>0</v>
      </c>
      <c r="N66" s="118">
        <f>财务基础数据!S24*目录!$D$6</f>
        <v>0</v>
      </c>
      <c r="O66" s="118">
        <f>财务基础数据!T24*目录!$D$6</f>
        <v>0</v>
      </c>
      <c r="P66" s="118">
        <f>财务基础数据!U24*目录!$D$6</f>
        <v>0</v>
      </c>
      <c r="Q66" s="118">
        <f>财务基础数据!V24*目录!$D$6</f>
        <v>0</v>
      </c>
      <c r="R66" s="118">
        <f>财务基础数据!W24*目录!$D$6</f>
        <v>0</v>
      </c>
      <c r="S66" s="118">
        <f>财务基础数据!X24*目录!$D$6</f>
        <v>0</v>
      </c>
      <c r="T66" s="118">
        <f>财务基础数据!Y24*目录!$D$6</f>
        <v>0</v>
      </c>
      <c r="U66" s="118">
        <f>财务基础数据!Z24*目录!$D$6</f>
        <v>0</v>
      </c>
      <c r="V66" s="118">
        <f>财务基础数据!AA24*目录!$D$6</f>
        <v>0</v>
      </c>
      <c r="W66" s="118">
        <f>财务基础数据!AB24*目录!$D$6</f>
        <v>0</v>
      </c>
      <c r="X66" s="118">
        <f>财务基础数据!AC24*目录!$D$6</f>
        <v>0</v>
      </c>
      <c r="Y66" s="118">
        <f>财务基础数据!AD24*目录!$D$6</f>
        <v>0</v>
      </c>
      <c r="Z66" s="118">
        <f>财务基础数据!AE24*目录!$D$6</f>
        <v>0</v>
      </c>
      <c r="AA66" s="118">
        <f>财务基础数据!AF24*目录!$D$6</f>
        <v>0</v>
      </c>
      <c r="AB66" s="118">
        <f>财务基础数据!AG24*目录!$D$6</f>
        <v>0</v>
      </c>
      <c r="AC66" s="118">
        <f>财务基础数据!AH24*目录!$D$6</f>
        <v>0</v>
      </c>
      <c r="AD66" s="118">
        <f>财务基础数据!AI24*目录!$D$6</f>
        <v>0</v>
      </c>
      <c r="AE66" s="118">
        <f>财务基础数据!AJ24*目录!$D$6</f>
        <v>0</v>
      </c>
      <c r="AF66" s="118">
        <f>财务基础数据!AK24*目录!$D$6</f>
        <v>0</v>
      </c>
      <c r="AG66" s="118">
        <f>财务基础数据!AL24*目录!$D$6</f>
        <v>0</v>
      </c>
      <c r="AH66" s="118">
        <f>财务基础数据!AM24*目录!$D$6</f>
        <v>0</v>
      </c>
      <c r="AI66" s="118">
        <f>财务基础数据!AN24*目录!$D$6</f>
        <v>0</v>
      </c>
      <c r="AJ66" s="118">
        <f>财务基础数据!AO24*目录!$D$6</f>
        <v>0</v>
      </c>
      <c r="AK66" s="118">
        <f>IF(ISERROR(销售预测!L39),"—",销售预测!L39)</f>
        <v>0</v>
      </c>
      <c r="AL66" s="188">
        <f>IF(ISERROR(销售预测!M39),"—",销售预测!M39)</f>
        <v>0</v>
      </c>
      <c r="AM66" s="188">
        <f>IF(ISERROR(销售预测!N39),"—",销售预测!N39)</f>
        <v>0</v>
      </c>
      <c r="AN66" s="188">
        <f>IF(ISERROR(销售预测!O39),"—",销售预测!O39)</f>
        <v>0</v>
      </c>
      <c r="AO66" s="188">
        <f>IF(ISERROR(销售预测!P39),"—",销售预测!P39)</f>
        <v>0</v>
      </c>
      <c r="AP66" s="188">
        <f>IF(ISERROR(销售预测!Q39),"—",销售预测!Q39)</f>
        <v>0</v>
      </c>
      <c r="AQ66" s="188">
        <f>IF(ISERROR(销售预测!R39),"—",销售预测!R39)</f>
        <v>0</v>
      </c>
      <c r="AR66" s="188">
        <f>IF(ISERROR(销售预测!S39),"—",销售预测!S39)</f>
        <v>0</v>
      </c>
      <c r="AS66" s="188">
        <f>IF(ISERROR(销售预测!T39),"—",销售预测!T39)</f>
        <v>0</v>
      </c>
      <c r="AT66" s="188">
        <f>IF(ISERROR(销售预测!U39),"—",销售预测!U39)</f>
        <v>0</v>
      </c>
    </row>
    <row r="67" spans="1:48" ht="15" customHeight="1">
      <c r="B67" s="126"/>
      <c r="C67" s="425" t="s">
        <v>458</v>
      </c>
      <c r="E67" s="105" t="str">
        <f t="shared" ref="E67:AJ67" si="80">IF(ISERROR(E66/E84),"—",E66/E84)</f>
        <v>—</v>
      </c>
      <c r="F67" s="105" t="str">
        <f t="shared" si="80"/>
        <v>—</v>
      </c>
      <c r="G67" s="105" t="str">
        <f t="shared" si="80"/>
        <v>—</v>
      </c>
      <c r="H67" s="105" t="str">
        <f t="shared" si="80"/>
        <v>—</v>
      </c>
      <c r="I67" s="105" t="str">
        <f t="shared" si="80"/>
        <v>—</v>
      </c>
      <c r="J67" s="105" t="str">
        <f t="shared" si="80"/>
        <v>—</v>
      </c>
      <c r="K67" s="105" t="str">
        <f t="shared" si="80"/>
        <v>—</v>
      </c>
      <c r="L67" s="105" t="str">
        <f t="shared" si="80"/>
        <v>—</v>
      </c>
      <c r="M67" s="105" t="str">
        <f t="shared" si="80"/>
        <v>—</v>
      </c>
      <c r="N67" s="105" t="str">
        <f t="shared" si="80"/>
        <v>—</v>
      </c>
      <c r="O67" s="105" t="str">
        <f t="shared" si="80"/>
        <v>—</v>
      </c>
      <c r="P67" s="105" t="str">
        <f t="shared" si="80"/>
        <v>—</v>
      </c>
      <c r="Q67" s="105" t="str">
        <f t="shared" si="80"/>
        <v>—</v>
      </c>
      <c r="R67" s="105" t="str">
        <f t="shared" si="80"/>
        <v>—</v>
      </c>
      <c r="S67" s="105" t="str">
        <f t="shared" si="80"/>
        <v>—</v>
      </c>
      <c r="T67" s="105" t="str">
        <f t="shared" si="80"/>
        <v>—</v>
      </c>
      <c r="U67" s="105" t="str">
        <f t="shared" si="80"/>
        <v>—</v>
      </c>
      <c r="V67" s="105" t="str">
        <f t="shared" si="80"/>
        <v>—</v>
      </c>
      <c r="W67" s="105" t="str">
        <f t="shared" si="80"/>
        <v>—</v>
      </c>
      <c r="X67" s="105" t="str">
        <f t="shared" si="80"/>
        <v>—</v>
      </c>
      <c r="Y67" s="105" t="str">
        <f t="shared" si="80"/>
        <v>—</v>
      </c>
      <c r="Z67" s="105" t="str">
        <f t="shared" si="80"/>
        <v>—</v>
      </c>
      <c r="AA67" s="105" t="str">
        <f t="shared" si="80"/>
        <v>—</v>
      </c>
      <c r="AB67" s="105" t="str">
        <f t="shared" si="80"/>
        <v>—</v>
      </c>
      <c r="AC67" s="105" t="str">
        <f t="shared" si="80"/>
        <v>—</v>
      </c>
      <c r="AD67" s="105" t="str">
        <f t="shared" si="80"/>
        <v>—</v>
      </c>
      <c r="AE67" s="105" t="str">
        <f t="shared" si="80"/>
        <v>—</v>
      </c>
      <c r="AF67" s="105" t="str">
        <f t="shared" si="80"/>
        <v>—</v>
      </c>
      <c r="AG67" s="105" t="str">
        <f t="shared" si="80"/>
        <v>—</v>
      </c>
      <c r="AH67" s="105" t="str">
        <f t="shared" si="80"/>
        <v>—</v>
      </c>
      <c r="AI67" s="105" t="str">
        <f t="shared" si="80"/>
        <v>—</v>
      </c>
      <c r="AJ67" s="105" t="str">
        <f t="shared" si="80"/>
        <v>—</v>
      </c>
      <c r="AK67" s="105" t="str">
        <f t="shared" ref="AK67:AT67" si="81">IF(ISERROR(AK66/AK84),"—",AK66/AK84)</f>
        <v>—</v>
      </c>
      <c r="AL67" s="105" t="str">
        <f t="shared" si="81"/>
        <v>—</v>
      </c>
      <c r="AM67" s="105" t="str">
        <f t="shared" si="81"/>
        <v>—</v>
      </c>
      <c r="AN67" s="105" t="str">
        <f t="shared" si="81"/>
        <v>—</v>
      </c>
      <c r="AO67" s="105" t="str">
        <f t="shared" si="81"/>
        <v>—</v>
      </c>
      <c r="AP67" s="105" t="str">
        <f t="shared" si="81"/>
        <v>—</v>
      </c>
      <c r="AQ67" s="105" t="str">
        <f t="shared" si="81"/>
        <v>—</v>
      </c>
      <c r="AR67" s="105" t="str">
        <f t="shared" si="81"/>
        <v>—</v>
      </c>
      <c r="AS67" s="105" t="str">
        <f t="shared" si="81"/>
        <v>—</v>
      </c>
      <c r="AT67" s="105" t="str">
        <f t="shared" si="81"/>
        <v>—</v>
      </c>
    </row>
    <row r="68" spans="1:48" ht="15" customHeight="1">
      <c r="B68" s="125"/>
      <c r="C68" s="451"/>
      <c r="D68" s="419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</row>
    <row r="69" spans="1:48" ht="15" customHeight="1">
      <c r="B69" s="125" t="s">
        <v>342</v>
      </c>
      <c r="C69" s="451"/>
      <c r="D69" s="419"/>
      <c r="E69" s="118">
        <f>财务基础数据!J27*目录!$D$6</f>
        <v>0</v>
      </c>
      <c r="F69" s="118">
        <f>财务基础数据!K27*目录!$D$6</f>
        <v>0</v>
      </c>
      <c r="G69" s="118">
        <f>财务基础数据!L27*目录!$D$6</f>
        <v>0</v>
      </c>
      <c r="H69" s="118">
        <f>财务基础数据!M27*目录!$D$6</f>
        <v>0</v>
      </c>
      <c r="I69" s="118">
        <f>财务基础数据!N27*目录!$D$6</f>
        <v>0</v>
      </c>
      <c r="J69" s="118">
        <f>财务基础数据!O27*目录!$D$6</f>
        <v>0</v>
      </c>
      <c r="K69" s="118">
        <f>财务基础数据!P27*目录!$D$6</f>
        <v>0</v>
      </c>
      <c r="L69" s="118">
        <f>财务基础数据!Q27*目录!$D$6</f>
        <v>0</v>
      </c>
      <c r="M69" s="118">
        <f>财务基础数据!R27*目录!$D$6</f>
        <v>0</v>
      </c>
      <c r="N69" s="118">
        <f>财务基础数据!S27*目录!$D$6</f>
        <v>0</v>
      </c>
      <c r="O69" s="118">
        <f>财务基础数据!T27*目录!$D$6</f>
        <v>0</v>
      </c>
      <c r="P69" s="118">
        <f>财务基础数据!U27*目录!$D$6</f>
        <v>0</v>
      </c>
      <c r="Q69" s="118">
        <f>财务基础数据!V27*目录!$D$6</f>
        <v>0</v>
      </c>
      <c r="R69" s="118">
        <f>财务基础数据!W27*目录!$D$6</f>
        <v>0</v>
      </c>
      <c r="S69" s="118">
        <f>财务基础数据!X27*目录!$D$6</f>
        <v>0</v>
      </c>
      <c r="T69" s="118">
        <f>财务基础数据!Y27*目录!$D$6</f>
        <v>0</v>
      </c>
      <c r="U69" s="118">
        <f>财务基础数据!Z27*目录!$D$6</f>
        <v>0</v>
      </c>
      <c r="V69" s="118">
        <f>财务基础数据!AA27*目录!$D$6</f>
        <v>0</v>
      </c>
      <c r="W69" s="118">
        <f>财务基础数据!AB27*目录!$D$6</f>
        <v>0</v>
      </c>
      <c r="X69" s="118">
        <f>财务基础数据!AC27*目录!$D$6</f>
        <v>0</v>
      </c>
      <c r="Y69" s="118">
        <f>财务基础数据!AD27*目录!$D$6</f>
        <v>0</v>
      </c>
      <c r="Z69" s="118">
        <f>财务基础数据!AE27*目录!$D$6</f>
        <v>0</v>
      </c>
      <c r="AA69" s="118">
        <f>财务基础数据!AF27*目录!$D$6</f>
        <v>0</v>
      </c>
      <c r="AB69" s="118">
        <f>财务基础数据!AG27*目录!$D$6</f>
        <v>0</v>
      </c>
      <c r="AC69" s="118">
        <f>财务基础数据!AH27*目录!$D$6</f>
        <v>0</v>
      </c>
      <c r="AD69" s="118">
        <f>财务基础数据!AI27*目录!$D$6</f>
        <v>0</v>
      </c>
      <c r="AE69" s="118">
        <f>财务基础数据!AJ27*目录!$D$6</f>
        <v>0</v>
      </c>
      <c r="AF69" s="118">
        <f>财务基础数据!AK27*目录!$D$6</f>
        <v>0</v>
      </c>
      <c r="AG69" s="118">
        <f>财务基础数据!AL27*目录!$D$6</f>
        <v>0</v>
      </c>
      <c r="AH69" s="118">
        <f>财务基础数据!AM27*目录!$D$6</f>
        <v>0</v>
      </c>
      <c r="AI69" s="118">
        <f>财务基础数据!AN27*目录!$D$6</f>
        <v>0</v>
      </c>
      <c r="AJ69" s="118">
        <f>财务基础数据!AO27*目录!$D$6</f>
        <v>0</v>
      </c>
      <c r="AK69" s="463">
        <f>IF(财务基础数据!$AM$4=0,AG69,IF(财务基础数据!$AM$4=1,AH69,IF(财务基础数据!$AM$4=2,AI69,AJ69)))</f>
        <v>0</v>
      </c>
      <c r="AL69" s="463"/>
      <c r="AM69" s="463"/>
      <c r="AN69" s="463"/>
      <c r="AO69" s="463"/>
      <c r="AP69" s="463"/>
      <c r="AQ69" s="463"/>
      <c r="AR69" s="463"/>
      <c r="AS69" s="463"/>
      <c r="AT69" s="463"/>
      <c r="AU69" s="398"/>
    </row>
    <row r="70" spans="1:48" ht="15" customHeight="1">
      <c r="B70" s="125"/>
      <c r="C70" s="451" t="s">
        <v>458</v>
      </c>
      <c r="D70" s="419"/>
      <c r="E70" s="105" t="str">
        <f>IF(ISERROR(E69/E84),"—",E69/E84)</f>
        <v>—</v>
      </c>
      <c r="F70" s="105" t="str">
        <f t="shared" ref="F70:AK70" si="82">IF(ISERROR(F69/F84),"—",F69/F84)</f>
        <v>—</v>
      </c>
      <c r="G70" s="105" t="str">
        <f t="shared" si="82"/>
        <v>—</v>
      </c>
      <c r="H70" s="105" t="str">
        <f t="shared" si="82"/>
        <v>—</v>
      </c>
      <c r="I70" s="105" t="str">
        <f t="shared" si="82"/>
        <v>—</v>
      </c>
      <c r="J70" s="105" t="str">
        <f t="shared" si="82"/>
        <v>—</v>
      </c>
      <c r="K70" s="105" t="str">
        <f t="shared" si="82"/>
        <v>—</v>
      </c>
      <c r="L70" s="105" t="str">
        <f t="shared" si="82"/>
        <v>—</v>
      </c>
      <c r="M70" s="105" t="str">
        <f t="shared" si="82"/>
        <v>—</v>
      </c>
      <c r="N70" s="105" t="str">
        <f t="shared" si="82"/>
        <v>—</v>
      </c>
      <c r="O70" s="105" t="str">
        <f t="shared" si="82"/>
        <v>—</v>
      </c>
      <c r="P70" s="105" t="str">
        <f t="shared" si="82"/>
        <v>—</v>
      </c>
      <c r="Q70" s="105" t="str">
        <f t="shared" si="82"/>
        <v>—</v>
      </c>
      <c r="R70" s="105" t="str">
        <f t="shared" si="82"/>
        <v>—</v>
      </c>
      <c r="S70" s="105" t="str">
        <f t="shared" si="82"/>
        <v>—</v>
      </c>
      <c r="T70" s="105" t="str">
        <f t="shared" si="82"/>
        <v>—</v>
      </c>
      <c r="U70" s="105" t="str">
        <f t="shared" si="82"/>
        <v>—</v>
      </c>
      <c r="V70" s="105" t="str">
        <f t="shared" si="82"/>
        <v>—</v>
      </c>
      <c r="W70" s="105" t="str">
        <f t="shared" si="82"/>
        <v>—</v>
      </c>
      <c r="X70" s="105" t="str">
        <f t="shared" si="82"/>
        <v>—</v>
      </c>
      <c r="Y70" s="105" t="str">
        <f t="shared" si="82"/>
        <v>—</v>
      </c>
      <c r="Z70" s="105" t="str">
        <f t="shared" si="82"/>
        <v>—</v>
      </c>
      <c r="AA70" s="105" t="str">
        <f t="shared" si="82"/>
        <v>—</v>
      </c>
      <c r="AB70" s="105" t="str">
        <f t="shared" si="82"/>
        <v>—</v>
      </c>
      <c r="AC70" s="105" t="str">
        <f t="shared" si="82"/>
        <v>—</v>
      </c>
      <c r="AD70" s="105" t="str">
        <f t="shared" si="82"/>
        <v>—</v>
      </c>
      <c r="AE70" s="105" t="str">
        <f t="shared" si="82"/>
        <v>—</v>
      </c>
      <c r="AF70" s="105" t="str">
        <f t="shared" si="82"/>
        <v>—</v>
      </c>
      <c r="AG70" s="105" t="str">
        <f t="shared" si="82"/>
        <v>—</v>
      </c>
      <c r="AH70" s="105" t="str">
        <f t="shared" si="82"/>
        <v>—</v>
      </c>
      <c r="AI70" s="105" t="str">
        <f t="shared" si="82"/>
        <v>—</v>
      </c>
      <c r="AJ70" s="105" t="str">
        <f t="shared" si="82"/>
        <v>—</v>
      </c>
      <c r="AK70" s="105" t="str">
        <f t="shared" si="82"/>
        <v>—</v>
      </c>
      <c r="AL70" s="105" t="str">
        <f t="shared" ref="AL70" si="83">IF(ISERROR(AL69/AL84),"—",AL69/AL84)</f>
        <v>—</v>
      </c>
      <c r="AM70" s="105" t="str">
        <f t="shared" ref="AM70" si="84">IF(ISERROR(AM69/AM84),"—",AM69/AM84)</f>
        <v>—</v>
      </c>
      <c r="AN70" s="105" t="str">
        <f t="shared" ref="AN70" si="85">IF(ISERROR(AN69/AN84),"—",AN69/AN84)</f>
        <v>—</v>
      </c>
      <c r="AO70" s="105" t="str">
        <f t="shared" ref="AO70" si="86">IF(ISERROR(AO69/AO84),"—",AO69/AO84)</f>
        <v>—</v>
      </c>
      <c r="AP70" s="105" t="str">
        <f t="shared" ref="AP70" si="87">IF(ISERROR(AP69/AP84),"—",AP69/AP84)</f>
        <v>—</v>
      </c>
      <c r="AQ70" s="105" t="str">
        <f t="shared" ref="AQ70" si="88">IF(ISERROR(AQ69/AQ84),"—",AQ69/AQ84)</f>
        <v>—</v>
      </c>
      <c r="AR70" s="105" t="str">
        <f t="shared" ref="AR70" si="89">IF(ISERROR(AR69/AR84),"—",AR69/AR84)</f>
        <v>—</v>
      </c>
      <c r="AS70" s="105" t="str">
        <f t="shared" ref="AS70" si="90">IF(ISERROR(AS69/AS84),"—",AS69/AS84)</f>
        <v>—</v>
      </c>
      <c r="AT70" s="105" t="str">
        <f t="shared" ref="AT70" si="91">IF(ISERROR(AT69/AT84),"—",AT69/AT84)</f>
        <v>—</v>
      </c>
      <c r="AU70" s="105"/>
    </row>
    <row r="71" spans="1:48" ht="15" customHeight="1">
      <c r="B71" s="125"/>
      <c r="C71" s="451"/>
      <c r="D71" s="419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</row>
    <row r="72" spans="1:48" ht="15" customHeight="1">
      <c r="A72" s="386"/>
      <c r="B72" s="450" t="s">
        <v>461</v>
      </c>
      <c r="C72" s="465"/>
      <c r="D72" s="466"/>
      <c r="E72" s="440">
        <f>E73-(E8+E10-E15-E19-E27-E29-E31-E33-E36+E49+E51+E54+E57+E60+E63+E66+E69)</f>
        <v>0</v>
      </c>
      <c r="F72" s="440">
        <f t="shared" ref="F72:AJ72" si="92">F73-(F8+F10-F15-F19-F27-F29-F31-F33-F36+F49+F51+F54+F57+F60+F63+F66+F69)</f>
        <v>0</v>
      </c>
      <c r="G72" s="440">
        <f t="shared" si="92"/>
        <v>0</v>
      </c>
      <c r="H72" s="440">
        <f t="shared" si="92"/>
        <v>0</v>
      </c>
      <c r="I72" s="440">
        <f t="shared" si="92"/>
        <v>0</v>
      </c>
      <c r="J72" s="440">
        <f t="shared" si="92"/>
        <v>0</v>
      </c>
      <c r="K72" s="440">
        <f t="shared" si="92"/>
        <v>0</v>
      </c>
      <c r="L72" s="440">
        <f t="shared" si="92"/>
        <v>0</v>
      </c>
      <c r="M72" s="440">
        <f t="shared" si="92"/>
        <v>0</v>
      </c>
      <c r="N72" s="440">
        <f t="shared" si="92"/>
        <v>0</v>
      </c>
      <c r="O72" s="440">
        <f t="shared" si="92"/>
        <v>0</v>
      </c>
      <c r="P72" s="440">
        <f t="shared" si="92"/>
        <v>0</v>
      </c>
      <c r="Q72" s="440">
        <f t="shared" si="92"/>
        <v>0</v>
      </c>
      <c r="R72" s="440">
        <f t="shared" si="92"/>
        <v>0</v>
      </c>
      <c r="S72" s="440">
        <f t="shared" si="92"/>
        <v>0</v>
      </c>
      <c r="T72" s="440">
        <f t="shared" si="92"/>
        <v>0</v>
      </c>
      <c r="U72" s="440">
        <f t="shared" si="92"/>
        <v>0</v>
      </c>
      <c r="V72" s="440">
        <f t="shared" si="92"/>
        <v>0</v>
      </c>
      <c r="W72" s="440">
        <f t="shared" si="92"/>
        <v>0</v>
      </c>
      <c r="X72" s="440">
        <f t="shared" si="92"/>
        <v>0</v>
      </c>
      <c r="Y72" s="440">
        <f t="shared" si="92"/>
        <v>0</v>
      </c>
      <c r="Z72" s="440">
        <f t="shared" si="92"/>
        <v>0</v>
      </c>
      <c r="AA72" s="440">
        <f t="shared" si="92"/>
        <v>0</v>
      </c>
      <c r="AB72" s="440">
        <f t="shared" si="92"/>
        <v>0</v>
      </c>
      <c r="AC72" s="440">
        <f t="shared" si="92"/>
        <v>0</v>
      </c>
      <c r="AD72" s="440">
        <f t="shared" si="92"/>
        <v>0</v>
      </c>
      <c r="AE72" s="440">
        <f t="shared" si="92"/>
        <v>0</v>
      </c>
      <c r="AF72" s="440">
        <f t="shared" si="92"/>
        <v>0</v>
      </c>
      <c r="AG72" s="440">
        <f t="shared" si="92"/>
        <v>0</v>
      </c>
      <c r="AH72" s="440">
        <f t="shared" si="92"/>
        <v>0</v>
      </c>
      <c r="AI72" s="440">
        <f t="shared" si="92"/>
        <v>0</v>
      </c>
      <c r="AJ72" s="440">
        <f t="shared" si="92"/>
        <v>0</v>
      </c>
      <c r="AK72" s="502"/>
      <c r="AL72" s="502"/>
      <c r="AM72" s="502"/>
      <c r="AN72" s="502"/>
      <c r="AO72" s="502"/>
      <c r="AP72" s="502"/>
      <c r="AQ72" s="502"/>
      <c r="AR72" s="502"/>
      <c r="AS72" s="502"/>
      <c r="AT72" s="502"/>
      <c r="AU72" s="509"/>
      <c r="AV72" s="510"/>
    </row>
    <row r="73" spans="1:48" ht="15" customHeight="1">
      <c r="B73" s="112" t="s">
        <v>344</v>
      </c>
      <c r="C73" s="112"/>
      <c r="D73" s="467"/>
      <c r="E73" s="306">
        <f>财务基础数据!J29*目录!$D$6</f>
        <v>0</v>
      </c>
      <c r="F73" s="306">
        <f>财务基础数据!K29*目录!$D$6</f>
        <v>0</v>
      </c>
      <c r="G73" s="306">
        <f>财务基础数据!L29*目录!$D$6</f>
        <v>0</v>
      </c>
      <c r="H73" s="306">
        <f>财务基础数据!M29*目录!$D$6</f>
        <v>0</v>
      </c>
      <c r="I73" s="306">
        <f>财务基础数据!N29*目录!$D$6</f>
        <v>0</v>
      </c>
      <c r="J73" s="306">
        <f>财务基础数据!O29*目录!$D$6</f>
        <v>0</v>
      </c>
      <c r="K73" s="306">
        <f>财务基础数据!P29*目录!$D$6</f>
        <v>0</v>
      </c>
      <c r="L73" s="306">
        <f>财务基础数据!Q29*目录!$D$6</f>
        <v>0</v>
      </c>
      <c r="M73" s="306">
        <f>财务基础数据!R29*目录!$D$6</f>
        <v>0</v>
      </c>
      <c r="N73" s="306">
        <f>财务基础数据!S29*目录!$D$6</f>
        <v>0</v>
      </c>
      <c r="O73" s="306">
        <f>财务基础数据!T29*目录!$D$6</f>
        <v>0</v>
      </c>
      <c r="P73" s="306">
        <f>财务基础数据!U29*目录!$D$6</f>
        <v>0</v>
      </c>
      <c r="Q73" s="306">
        <f>财务基础数据!V29*目录!$D$6</f>
        <v>0</v>
      </c>
      <c r="R73" s="306">
        <f>财务基础数据!W29*目录!$D$6</f>
        <v>0</v>
      </c>
      <c r="S73" s="306">
        <f>财务基础数据!X29*目录!$D$6</f>
        <v>0</v>
      </c>
      <c r="T73" s="306">
        <f>财务基础数据!Y29*目录!$D$6</f>
        <v>0</v>
      </c>
      <c r="U73" s="306">
        <f>财务基础数据!Z29*目录!$D$6</f>
        <v>0</v>
      </c>
      <c r="V73" s="306">
        <f>财务基础数据!AA29*目录!$D$6</f>
        <v>0</v>
      </c>
      <c r="W73" s="306">
        <f>财务基础数据!AB29*目录!$D$6</f>
        <v>0</v>
      </c>
      <c r="X73" s="306">
        <f>财务基础数据!AC29*目录!$D$6</f>
        <v>0</v>
      </c>
      <c r="Y73" s="306">
        <f>财务基础数据!AD29*目录!$D$6</f>
        <v>0</v>
      </c>
      <c r="Z73" s="306">
        <f>财务基础数据!AE29*目录!$D$6</f>
        <v>0</v>
      </c>
      <c r="AA73" s="306">
        <f>财务基础数据!AF29*目录!$D$6</f>
        <v>0</v>
      </c>
      <c r="AB73" s="306">
        <f>财务基础数据!AG29*目录!$D$6</f>
        <v>0</v>
      </c>
      <c r="AC73" s="306">
        <f>财务基础数据!AH29*目录!$D$6</f>
        <v>0</v>
      </c>
      <c r="AD73" s="306">
        <f>财务基础数据!AI29*目录!$D$6</f>
        <v>0</v>
      </c>
      <c r="AE73" s="306">
        <f>财务基础数据!AJ29*目录!$D$6</f>
        <v>0</v>
      </c>
      <c r="AF73" s="306">
        <f>财务基础数据!AK29*目录!$D$6</f>
        <v>0</v>
      </c>
      <c r="AG73" s="306">
        <f>财务基础数据!AL29*目录!$D$6</f>
        <v>0</v>
      </c>
      <c r="AH73" s="306">
        <f>财务基础数据!AM29*目录!$D$6</f>
        <v>0</v>
      </c>
      <c r="AI73" s="306">
        <f>财务基础数据!AN29*目录!$D$6</f>
        <v>0</v>
      </c>
      <c r="AJ73" s="306">
        <f>财务基础数据!AO29*目录!$D$6</f>
        <v>0</v>
      </c>
      <c r="AK73" s="306">
        <f>IF(ISERROR(AK6-AK15-AK19-AK27-AK29-AK31-AK33-AK36+AK49+AK51+AK54+AK57+AK60+AK63+AK66+AK69+AK72),"—",AK6-AK15-AK19-AK27-AK29-AK31-AK33-AK36+AK49+AK51+AK54+AK57+AK60+AK63+AK66+AK69+AK72)</f>
        <v>0</v>
      </c>
      <c r="AL73" s="306">
        <f t="shared" ref="AL73:AT73" si="93">IF(ISERROR(AL6-AL15-AL19-AL27-AL29-AL31-AL33-AL36+AL49+AL51+AL54+AL57+AL60+AL63+AL66+AL69+AL72),"—",AL6-AL15-AL19-AL27-AL29-AL31-AL33-AL36+AL49+AL51+AL54+AL57+AL60+AL63+AL66+AL69+AL72)</f>
        <v>0</v>
      </c>
      <c r="AM73" s="306">
        <f t="shared" si="93"/>
        <v>0</v>
      </c>
      <c r="AN73" s="306">
        <f t="shared" si="93"/>
        <v>0</v>
      </c>
      <c r="AO73" s="306">
        <f t="shared" si="93"/>
        <v>0</v>
      </c>
      <c r="AP73" s="306">
        <f t="shared" si="93"/>
        <v>0</v>
      </c>
      <c r="AQ73" s="306">
        <f t="shared" si="93"/>
        <v>0</v>
      </c>
      <c r="AR73" s="306">
        <f t="shared" si="93"/>
        <v>0</v>
      </c>
      <c r="AS73" s="306">
        <f t="shared" si="93"/>
        <v>0</v>
      </c>
      <c r="AT73" s="306">
        <f t="shared" si="93"/>
        <v>0</v>
      </c>
      <c r="AU73" s="306"/>
    </row>
    <row r="74" spans="1:48" ht="15" customHeight="1">
      <c r="B74" s="130"/>
      <c r="C74" s="451" t="s">
        <v>449</v>
      </c>
      <c r="D74" s="419"/>
      <c r="E74" s="443" t="str">
        <f>IF(ISERROR(E73/E8),"—",E73/E8)</f>
        <v>—</v>
      </c>
      <c r="F74" s="443" t="str">
        <f t="shared" ref="F74:AT74" si="94">IF(ISERROR(F73/F8),"—",F73/F8)</f>
        <v>—</v>
      </c>
      <c r="G74" s="443" t="str">
        <f t="shared" si="94"/>
        <v>—</v>
      </c>
      <c r="H74" s="443" t="str">
        <f t="shared" si="94"/>
        <v>—</v>
      </c>
      <c r="I74" s="443" t="str">
        <f t="shared" si="94"/>
        <v>—</v>
      </c>
      <c r="J74" s="443" t="str">
        <f t="shared" si="94"/>
        <v>—</v>
      </c>
      <c r="K74" s="443" t="str">
        <f t="shared" si="94"/>
        <v>—</v>
      </c>
      <c r="L74" s="443" t="str">
        <f t="shared" si="94"/>
        <v>—</v>
      </c>
      <c r="M74" s="443" t="str">
        <f t="shared" si="94"/>
        <v>—</v>
      </c>
      <c r="N74" s="443" t="str">
        <f t="shared" si="94"/>
        <v>—</v>
      </c>
      <c r="O74" s="443" t="str">
        <f t="shared" si="94"/>
        <v>—</v>
      </c>
      <c r="P74" s="443" t="str">
        <f t="shared" si="94"/>
        <v>—</v>
      </c>
      <c r="Q74" s="443" t="str">
        <f t="shared" si="94"/>
        <v>—</v>
      </c>
      <c r="R74" s="443" t="str">
        <f t="shared" si="94"/>
        <v>—</v>
      </c>
      <c r="S74" s="443" t="str">
        <f t="shared" si="94"/>
        <v>—</v>
      </c>
      <c r="T74" s="443" t="str">
        <f t="shared" si="94"/>
        <v>—</v>
      </c>
      <c r="U74" s="443" t="str">
        <f t="shared" si="94"/>
        <v>—</v>
      </c>
      <c r="V74" s="443" t="str">
        <f t="shared" si="94"/>
        <v>—</v>
      </c>
      <c r="W74" s="443" t="str">
        <f t="shared" si="94"/>
        <v>—</v>
      </c>
      <c r="X74" s="443" t="str">
        <f t="shared" si="94"/>
        <v>—</v>
      </c>
      <c r="Y74" s="443" t="str">
        <f t="shared" si="94"/>
        <v>—</v>
      </c>
      <c r="Z74" s="443" t="str">
        <f t="shared" si="94"/>
        <v>—</v>
      </c>
      <c r="AA74" s="443" t="str">
        <f t="shared" si="94"/>
        <v>—</v>
      </c>
      <c r="AB74" s="443" t="str">
        <f t="shared" si="94"/>
        <v>—</v>
      </c>
      <c r="AC74" s="443" t="str">
        <f t="shared" si="94"/>
        <v>—</v>
      </c>
      <c r="AD74" s="443" t="str">
        <f t="shared" si="94"/>
        <v>—</v>
      </c>
      <c r="AE74" s="443" t="str">
        <f t="shared" si="94"/>
        <v>—</v>
      </c>
      <c r="AF74" s="443" t="str">
        <f t="shared" si="94"/>
        <v>—</v>
      </c>
      <c r="AG74" s="443" t="str">
        <f t="shared" si="94"/>
        <v>—</v>
      </c>
      <c r="AH74" s="443" t="str">
        <f t="shared" si="94"/>
        <v>—</v>
      </c>
      <c r="AI74" s="443" t="str">
        <f t="shared" si="94"/>
        <v>—</v>
      </c>
      <c r="AJ74" s="443" t="str">
        <f t="shared" si="94"/>
        <v>—</v>
      </c>
      <c r="AK74" s="443" t="str">
        <f t="shared" si="94"/>
        <v>—</v>
      </c>
      <c r="AL74" s="443" t="str">
        <f t="shared" si="94"/>
        <v>—</v>
      </c>
      <c r="AM74" s="443" t="str">
        <f t="shared" si="94"/>
        <v>—</v>
      </c>
      <c r="AN74" s="443" t="str">
        <f t="shared" si="94"/>
        <v>—</v>
      </c>
      <c r="AO74" s="443" t="str">
        <f t="shared" si="94"/>
        <v>—</v>
      </c>
      <c r="AP74" s="443" t="str">
        <f t="shared" si="94"/>
        <v>—</v>
      </c>
      <c r="AQ74" s="443" t="str">
        <f t="shared" si="94"/>
        <v>—</v>
      </c>
      <c r="AR74" s="443" t="str">
        <f t="shared" si="94"/>
        <v>—</v>
      </c>
      <c r="AS74" s="443" t="str">
        <f t="shared" si="94"/>
        <v>—</v>
      </c>
      <c r="AT74" s="443" t="str">
        <f t="shared" si="94"/>
        <v>—</v>
      </c>
    </row>
    <row r="75" spans="1:48" s="403" customFormat="1" ht="15" customHeight="1">
      <c r="A75" s="454"/>
      <c r="B75" s="468"/>
      <c r="C75" s="436" t="s">
        <v>442</v>
      </c>
      <c r="D75" s="419"/>
      <c r="E75" s="424"/>
      <c r="F75" s="424"/>
      <c r="G75" s="424"/>
      <c r="H75" s="424"/>
      <c r="I75" s="424" t="str">
        <f t="shared" ref="I75:AK75" si="95">IF(ISERROR((I73-E73)/ABS(E73)),"—",(I73-E73)/ABS(E73))</f>
        <v>—</v>
      </c>
      <c r="J75" s="424" t="str">
        <f t="shared" si="95"/>
        <v>—</v>
      </c>
      <c r="K75" s="424" t="str">
        <f t="shared" si="95"/>
        <v>—</v>
      </c>
      <c r="L75" s="424" t="str">
        <f t="shared" si="95"/>
        <v>—</v>
      </c>
      <c r="M75" s="424" t="str">
        <f t="shared" si="95"/>
        <v>—</v>
      </c>
      <c r="N75" s="424" t="str">
        <f t="shared" si="95"/>
        <v>—</v>
      </c>
      <c r="O75" s="424" t="str">
        <f t="shared" si="95"/>
        <v>—</v>
      </c>
      <c r="P75" s="424" t="str">
        <f t="shared" si="95"/>
        <v>—</v>
      </c>
      <c r="Q75" s="424" t="str">
        <f t="shared" si="95"/>
        <v>—</v>
      </c>
      <c r="R75" s="424" t="str">
        <f t="shared" si="95"/>
        <v>—</v>
      </c>
      <c r="S75" s="424" t="str">
        <f t="shared" si="95"/>
        <v>—</v>
      </c>
      <c r="T75" s="424" t="str">
        <f t="shared" si="95"/>
        <v>—</v>
      </c>
      <c r="U75" s="424" t="str">
        <f t="shared" si="95"/>
        <v>—</v>
      </c>
      <c r="V75" s="424" t="str">
        <f t="shared" si="95"/>
        <v>—</v>
      </c>
      <c r="W75" s="424" t="str">
        <f t="shared" si="95"/>
        <v>—</v>
      </c>
      <c r="X75" s="424" t="str">
        <f t="shared" si="95"/>
        <v>—</v>
      </c>
      <c r="Y75" s="424" t="str">
        <f t="shared" si="95"/>
        <v>—</v>
      </c>
      <c r="Z75" s="424" t="str">
        <f t="shared" si="95"/>
        <v>—</v>
      </c>
      <c r="AA75" s="424" t="str">
        <f t="shared" si="95"/>
        <v>—</v>
      </c>
      <c r="AB75" s="424" t="str">
        <f t="shared" si="95"/>
        <v>—</v>
      </c>
      <c r="AC75" s="424" t="str">
        <f t="shared" si="95"/>
        <v>—</v>
      </c>
      <c r="AD75" s="424" t="str">
        <f t="shared" si="95"/>
        <v>—</v>
      </c>
      <c r="AE75" s="424" t="str">
        <f t="shared" si="95"/>
        <v>—</v>
      </c>
      <c r="AF75" s="424" t="str">
        <f t="shared" si="95"/>
        <v>—</v>
      </c>
      <c r="AG75" s="424" t="str">
        <f t="shared" si="95"/>
        <v>—</v>
      </c>
      <c r="AH75" s="424" t="str">
        <f t="shared" si="95"/>
        <v>—</v>
      </c>
      <c r="AI75" s="424" t="str">
        <f t="shared" si="95"/>
        <v>—</v>
      </c>
      <c r="AJ75" s="424" t="str">
        <f t="shared" si="95"/>
        <v>—</v>
      </c>
      <c r="AK75" s="424" t="str">
        <f t="shared" si="95"/>
        <v>—</v>
      </c>
      <c r="AL75" s="424" t="str">
        <f>IF(ISERROR((AL73-AK73)/ABS(AK73)),"—",(AL73-AK73)/ABS(AK73))</f>
        <v>—</v>
      </c>
      <c r="AM75" s="424" t="str">
        <f t="shared" ref="AM75:AT75" si="96">IF(ISERROR((AM73-AL73)/ABS(AL73)),"—",(AM73-AL73)/ABS(AL73))</f>
        <v>—</v>
      </c>
      <c r="AN75" s="424" t="str">
        <f t="shared" si="96"/>
        <v>—</v>
      </c>
      <c r="AO75" s="424" t="str">
        <f t="shared" si="96"/>
        <v>—</v>
      </c>
      <c r="AP75" s="424" t="str">
        <f t="shared" si="96"/>
        <v>—</v>
      </c>
      <c r="AQ75" s="424" t="str">
        <f t="shared" si="96"/>
        <v>—</v>
      </c>
      <c r="AR75" s="424" t="str">
        <f t="shared" si="96"/>
        <v>—</v>
      </c>
      <c r="AS75" s="424" t="str">
        <f t="shared" si="96"/>
        <v>—</v>
      </c>
      <c r="AT75" s="424" t="str">
        <f t="shared" si="96"/>
        <v>—</v>
      </c>
    </row>
    <row r="76" spans="1:48" ht="15" customHeight="1">
      <c r="B76" s="469"/>
      <c r="C76" s="130"/>
      <c r="D76" s="419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18"/>
      <c r="AL76" s="118"/>
      <c r="AM76" s="118"/>
      <c r="AN76" s="188"/>
      <c r="AO76" s="188"/>
      <c r="AP76" s="188"/>
      <c r="AQ76" s="188"/>
      <c r="AR76" s="188"/>
      <c r="AS76" s="188"/>
      <c r="AT76" s="188"/>
    </row>
    <row r="77" spans="1:48" s="30" customFormat="1" ht="15" customHeight="1">
      <c r="A77" s="150"/>
      <c r="B77" s="125" t="s">
        <v>91</v>
      </c>
      <c r="C77" s="451"/>
      <c r="D77" s="419"/>
      <c r="E77" s="118">
        <f>财务基础数据!J30*目录!$D$6</f>
        <v>0</v>
      </c>
      <c r="F77" s="118">
        <f>财务基础数据!K30*目录!$D$6</f>
        <v>0</v>
      </c>
      <c r="G77" s="118">
        <f>财务基础数据!L30*目录!$D$6</f>
        <v>0</v>
      </c>
      <c r="H77" s="118">
        <f>财务基础数据!M30*目录!$D$6</f>
        <v>0</v>
      </c>
      <c r="I77" s="118">
        <f>财务基础数据!N30*目录!$D$6</f>
        <v>0</v>
      </c>
      <c r="J77" s="118">
        <f>财务基础数据!O30*目录!$D$6</f>
        <v>0</v>
      </c>
      <c r="K77" s="118">
        <f>财务基础数据!P30*目录!$D$6</f>
        <v>0</v>
      </c>
      <c r="L77" s="118">
        <f>财务基础数据!Q30*目录!$D$6</f>
        <v>0</v>
      </c>
      <c r="M77" s="118">
        <f>财务基础数据!R30*目录!$D$6</f>
        <v>0</v>
      </c>
      <c r="N77" s="118">
        <f>财务基础数据!S30*目录!$D$6</f>
        <v>0</v>
      </c>
      <c r="O77" s="118">
        <f>财务基础数据!T30*目录!$D$6</f>
        <v>0</v>
      </c>
      <c r="P77" s="118">
        <f>财务基础数据!U30*目录!$D$6</f>
        <v>0</v>
      </c>
      <c r="Q77" s="118">
        <f>财务基础数据!V30*目录!$D$6</f>
        <v>0</v>
      </c>
      <c r="R77" s="118">
        <f>财务基础数据!W30*目录!$D$6</f>
        <v>0</v>
      </c>
      <c r="S77" s="118">
        <f>财务基础数据!X30*目录!$D$6</f>
        <v>0</v>
      </c>
      <c r="T77" s="118">
        <f>财务基础数据!Y30*目录!$D$6</f>
        <v>0</v>
      </c>
      <c r="U77" s="118">
        <f>财务基础数据!Z30*目录!$D$6</f>
        <v>0</v>
      </c>
      <c r="V77" s="118">
        <f>财务基础数据!AA30*目录!$D$6</f>
        <v>0</v>
      </c>
      <c r="W77" s="118">
        <f>财务基础数据!AB30*目录!$D$6</f>
        <v>0</v>
      </c>
      <c r="X77" s="118">
        <f>财务基础数据!AC30*目录!$D$6</f>
        <v>0</v>
      </c>
      <c r="Y77" s="118">
        <f>财务基础数据!AD30*目录!$D$6</f>
        <v>0</v>
      </c>
      <c r="Z77" s="118">
        <f>财务基础数据!AE30*目录!$D$6</f>
        <v>0</v>
      </c>
      <c r="AA77" s="118">
        <f>财务基础数据!AF30*目录!$D$6</f>
        <v>0</v>
      </c>
      <c r="AB77" s="118">
        <f>财务基础数据!AG30*目录!$D$6</f>
        <v>0</v>
      </c>
      <c r="AC77" s="118">
        <f>财务基础数据!AH30*目录!$D$6</f>
        <v>0</v>
      </c>
      <c r="AD77" s="118">
        <f>财务基础数据!AI30*目录!$D$6</f>
        <v>0</v>
      </c>
      <c r="AE77" s="118">
        <f>财务基础数据!AJ30*目录!$D$6</f>
        <v>0</v>
      </c>
      <c r="AF77" s="118">
        <f>财务基础数据!AK30*目录!$D$6</f>
        <v>0</v>
      </c>
      <c r="AG77" s="118">
        <f>财务基础数据!AL30*目录!$D$6</f>
        <v>0</v>
      </c>
      <c r="AH77" s="118">
        <f>财务基础数据!AM30*目录!$D$6</f>
        <v>0</v>
      </c>
      <c r="AI77" s="118">
        <f>财务基础数据!AN30*目录!$D$6</f>
        <v>0</v>
      </c>
      <c r="AJ77" s="118">
        <f>财务基础数据!AO30*目录!$D$6</f>
        <v>0</v>
      </c>
      <c r="AK77" s="118">
        <f>IF(COUNT(销售预测!AL42:AO42)=4,SUM(销售预测!AL42:AO42),销售预测!L42)</f>
        <v>0</v>
      </c>
      <c r="AL77" s="118">
        <f>IF(COUNT(销售预测!AP42:AS42)=4,SUM(销售预测!AP42:AS42),销售预测!M42)</f>
        <v>0</v>
      </c>
      <c r="AM77" s="118">
        <f>IF(COUNT(销售预测!AT42:AW42)=4,SUM(销售预测!AT42:AW42),销售预测!N42)</f>
        <v>0</v>
      </c>
      <c r="AN77" s="188">
        <f>IF(ISERROR(销售预测!O42),"—",销售预测!O42)</f>
        <v>0</v>
      </c>
      <c r="AO77" s="188">
        <f>IF(ISERROR(销售预测!P42),"—",销售预测!P42)</f>
        <v>0</v>
      </c>
      <c r="AP77" s="188">
        <f>IF(ISERROR(销售预测!Q42),"—",销售预测!Q42)</f>
        <v>0</v>
      </c>
      <c r="AQ77" s="188">
        <f>IF(ISERROR(销售预测!R42),"—",销售预测!R42)</f>
        <v>0</v>
      </c>
      <c r="AR77" s="188">
        <f>IF(ISERROR(销售预测!S42),"—",销售预测!S42)</f>
        <v>0</v>
      </c>
      <c r="AS77" s="188">
        <f>IF(ISERROR(销售预测!T42),"—",销售预测!T42)</f>
        <v>0</v>
      </c>
      <c r="AT77" s="188">
        <f>IF(ISERROR(销售预测!U42),"—",销售预测!U42)</f>
        <v>0</v>
      </c>
    </row>
    <row r="78" spans="1:48" ht="15" customHeight="1">
      <c r="B78" s="431"/>
      <c r="C78" s="451" t="s">
        <v>446</v>
      </c>
      <c r="D78" s="419"/>
      <c r="E78" s="443" t="str">
        <f t="shared" ref="E78:AT78" si="97">IF(ISERROR(E77/E6),"—",E77/E6)</f>
        <v>—</v>
      </c>
      <c r="F78" s="443" t="str">
        <f t="shared" si="97"/>
        <v>—</v>
      </c>
      <c r="G78" s="443" t="str">
        <f t="shared" si="97"/>
        <v>—</v>
      </c>
      <c r="H78" s="443" t="str">
        <f t="shared" si="97"/>
        <v>—</v>
      </c>
      <c r="I78" s="443" t="str">
        <f t="shared" si="97"/>
        <v>—</v>
      </c>
      <c r="J78" s="443" t="str">
        <f t="shared" si="97"/>
        <v>—</v>
      </c>
      <c r="K78" s="443" t="str">
        <f t="shared" si="97"/>
        <v>—</v>
      </c>
      <c r="L78" s="443" t="str">
        <f t="shared" si="97"/>
        <v>—</v>
      </c>
      <c r="M78" s="443" t="str">
        <f t="shared" si="97"/>
        <v>—</v>
      </c>
      <c r="N78" s="443" t="str">
        <f t="shared" si="97"/>
        <v>—</v>
      </c>
      <c r="O78" s="443" t="str">
        <f t="shared" si="97"/>
        <v>—</v>
      </c>
      <c r="P78" s="443" t="str">
        <f t="shared" si="97"/>
        <v>—</v>
      </c>
      <c r="Q78" s="443" t="str">
        <f t="shared" si="97"/>
        <v>—</v>
      </c>
      <c r="R78" s="443" t="str">
        <f t="shared" si="97"/>
        <v>—</v>
      </c>
      <c r="S78" s="443" t="str">
        <f t="shared" si="97"/>
        <v>—</v>
      </c>
      <c r="T78" s="443" t="str">
        <f t="shared" si="97"/>
        <v>—</v>
      </c>
      <c r="U78" s="443" t="str">
        <f t="shared" si="97"/>
        <v>—</v>
      </c>
      <c r="V78" s="443" t="str">
        <f t="shared" si="97"/>
        <v>—</v>
      </c>
      <c r="W78" s="443" t="str">
        <f t="shared" si="97"/>
        <v>—</v>
      </c>
      <c r="X78" s="443" t="str">
        <f t="shared" si="97"/>
        <v>—</v>
      </c>
      <c r="Y78" s="443" t="str">
        <f t="shared" si="97"/>
        <v>—</v>
      </c>
      <c r="Z78" s="443" t="str">
        <f t="shared" si="97"/>
        <v>—</v>
      </c>
      <c r="AA78" s="443" t="str">
        <f t="shared" si="97"/>
        <v>—</v>
      </c>
      <c r="AB78" s="443" t="str">
        <f t="shared" si="97"/>
        <v>—</v>
      </c>
      <c r="AC78" s="443" t="str">
        <f t="shared" si="97"/>
        <v>—</v>
      </c>
      <c r="AD78" s="443" t="str">
        <f t="shared" si="97"/>
        <v>—</v>
      </c>
      <c r="AE78" s="443" t="str">
        <f t="shared" si="97"/>
        <v>—</v>
      </c>
      <c r="AF78" s="443" t="str">
        <f t="shared" si="97"/>
        <v>—</v>
      </c>
      <c r="AG78" s="443" t="str">
        <f t="shared" si="97"/>
        <v>—</v>
      </c>
      <c r="AH78" s="443" t="str">
        <f t="shared" si="97"/>
        <v>—</v>
      </c>
      <c r="AI78" s="443" t="str">
        <f t="shared" si="97"/>
        <v>—</v>
      </c>
      <c r="AJ78" s="443" t="str">
        <f t="shared" si="97"/>
        <v>—</v>
      </c>
      <c r="AK78" s="449" t="str">
        <f t="shared" si="97"/>
        <v>—</v>
      </c>
      <c r="AL78" s="449" t="str">
        <f t="shared" si="97"/>
        <v>—</v>
      </c>
      <c r="AM78" s="449" t="str">
        <f t="shared" si="97"/>
        <v>—</v>
      </c>
      <c r="AN78" s="443" t="str">
        <f t="shared" si="97"/>
        <v>—</v>
      </c>
      <c r="AO78" s="443" t="str">
        <f t="shared" si="97"/>
        <v>—</v>
      </c>
      <c r="AP78" s="443" t="str">
        <f t="shared" si="97"/>
        <v>—</v>
      </c>
      <c r="AQ78" s="443" t="str">
        <f t="shared" si="97"/>
        <v>—</v>
      </c>
      <c r="AR78" s="443" t="str">
        <f t="shared" si="97"/>
        <v>—</v>
      </c>
      <c r="AS78" s="443" t="str">
        <f t="shared" si="97"/>
        <v>—</v>
      </c>
      <c r="AT78" s="443" t="str">
        <f t="shared" si="97"/>
        <v>—</v>
      </c>
    </row>
    <row r="79" spans="1:48" s="30" customFormat="1" ht="15" customHeight="1">
      <c r="A79" s="150"/>
      <c r="B79" s="125" t="s">
        <v>92</v>
      </c>
      <c r="C79" s="451"/>
      <c r="D79" s="419"/>
      <c r="E79" s="118">
        <f>财务基础数据!J31*目录!$D$6</f>
        <v>0</v>
      </c>
      <c r="F79" s="118">
        <f>财务基础数据!K31*目录!$D$6</f>
        <v>0</v>
      </c>
      <c r="G79" s="118">
        <f>财务基础数据!L31*目录!$D$6</f>
        <v>0</v>
      </c>
      <c r="H79" s="118">
        <f>财务基础数据!M31*目录!$D$6</f>
        <v>0</v>
      </c>
      <c r="I79" s="118">
        <f>财务基础数据!N31*目录!$D$6</f>
        <v>0</v>
      </c>
      <c r="J79" s="118">
        <f>财务基础数据!O31*目录!$D$6</f>
        <v>0</v>
      </c>
      <c r="K79" s="118">
        <f>财务基础数据!P31*目录!$D$6</f>
        <v>0</v>
      </c>
      <c r="L79" s="118">
        <f>财务基础数据!Q31*目录!$D$6</f>
        <v>0</v>
      </c>
      <c r="M79" s="118">
        <f>财务基础数据!R31*目录!$D$6</f>
        <v>0</v>
      </c>
      <c r="N79" s="118">
        <f>财务基础数据!S31*目录!$D$6</f>
        <v>0</v>
      </c>
      <c r="O79" s="118">
        <f>财务基础数据!T31*目录!$D$6</f>
        <v>0</v>
      </c>
      <c r="P79" s="118">
        <f>财务基础数据!U31*目录!$D$6</f>
        <v>0</v>
      </c>
      <c r="Q79" s="118">
        <f>财务基础数据!V31*目录!$D$6</f>
        <v>0</v>
      </c>
      <c r="R79" s="118">
        <f>财务基础数据!W31*目录!$D$6</f>
        <v>0</v>
      </c>
      <c r="S79" s="118">
        <f>财务基础数据!X31*目录!$D$6</f>
        <v>0</v>
      </c>
      <c r="T79" s="118">
        <f>财务基础数据!Y31*目录!$D$6</f>
        <v>0</v>
      </c>
      <c r="U79" s="118">
        <f>财务基础数据!Z31*目录!$D$6</f>
        <v>0</v>
      </c>
      <c r="V79" s="118">
        <f>财务基础数据!AA31*目录!$D$6</f>
        <v>0</v>
      </c>
      <c r="W79" s="118">
        <f>财务基础数据!AB31*目录!$D$6</f>
        <v>0</v>
      </c>
      <c r="X79" s="118">
        <f>财务基础数据!AC31*目录!$D$6</f>
        <v>0</v>
      </c>
      <c r="Y79" s="118">
        <f>财务基础数据!AD31*目录!$D$6</f>
        <v>0</v>
      </c>
      <c r="Z79" s="118">
        <f>财务基础数据!AE31*目录!$D$6</f>
        <v>0</v>
      </c>
      <c r="AA79" s="118">
        <f>财务基础数据!AF31*目录!$D$6</f>
        <v>0</v>
      </c>
      <c r="AB79" s="118">
        <f>财务基础数据!AG31*目录!$D$6</f>
        <v>0</v>
      </c>
      <c r="AC79" s="118">
        <f>财务基础数据!AH31*目录!$D$6</f>
        <v>0</v>
      </c>
      <c r="AD79" s="118">
        <f>财务基础数据!AI31*目录!$D$6</f>
        <v>0</v>
      </c>
      <c r="AE79" s="118">
        <f>财务基础数据!AJ31*目录!$D$6</f>
        <v>0</v>
      </c>
      <c r="AF79" s="118">
        <f>财务基础数据!AK31*目录!$D$6</f>
        <v>0</v>
      </c>
      <c r="AG79" s="118">
        <f>财务基础数据!AL31*目录!$D$6</f>
        <v>0</v>
      </c>
      <c r="AH79" s="118">
        <f>财务基础数据!AM31*目录!$D$6</f>
        <v>0</v>
      </c>
      <c r="AI79" s="118">
        <f>财务基础数据!AN31*目录!$D$6</f>
        <v>0</v>
      </c>
      <c r="AJ79" s="118">
        <f>财务基础数据!AO31*目录!$D$6</f>
        <v>0</v>
      </c>
      <c r="AK79" s="118">
        <f>IF(COUNT(销售预测!AL43:AO43)=4,SUM(销售预测!AL43:AO43),销售预测!L43)</f>
        <v>0</v>
      </c>
      <c r="AL79" s="118">
        <f>IF(COUNT(销售预测!AP43:AS43)=4,SUM(销售预测!AP43:AS43),销售预测!M43)</f>
        <v>0</v>
      </c>
      <c r="AM79" s="118">
        <f>IF(COUNT(销售预测!AT43:AW43)=4,SUM(销售预测!AT43:AW43),销售预测!N43)</f>
        <v>0</v>
      </c>
      <c r="AN79" s="188">
        <f>IF(ISERROR(销售预测!O43),"—",销售预测!O43)</f>
        <v>0</v>
      </c>
      <c r="AO79" s="188">
        <f>IF(ISERROR(销售预测!P43),"—",销售预测!P43)</f>
        <v>0</v>
      </c>
      <c r="AP79" s="188">
        <f>IF(ISERROR(销售预测!Q43),"—",销售预测!Q43)</f>
        <v>0</v>
      </c>
      <c r="AQ79" s="188">
        <f>IF(ISERROR(销售预测!R43),"—",销售预测!R43)</f>
        <v>0</v>
      </c>
      <c r="AR79" s="188">
        <f>IF(ISERROR(销售预测!S43),"—",销售预测!S43)</f>
        <v>0</v>
      </c>
      <c r="AS79" s="188">
        <f>IF(ISERROR(销售预测!T43),"—",销售预测!T43)</f>
        <v>0</v>
      </c>
      <c r="AT79" s="188">
        <f>IF(ISERROR(销售预测!U43),"—",销售预测!U43)</f>
        <v>0</v>
      </c>
    </row>
    <row r="80" spans="1:48" ht="15" customHeight="1">
      <c r="B80" s="431"/>
      <c r="C80" s="451" t="s">
        <v>446</v>
      </c>
      <c r="D80" s="419"/>
      <c r="E80" s="443" t="str">
        <f t="shared" ref="E80:AT80" si="98">IF(ISERROR(E79/E6),"—",E79/E6)</f>
        <v>—</v>
      </c>
      <c r="F80" s="443" t="str">
        <f t="shared" si="98"/>
        <v>—</v>
      </c>
      <c r="G80" s="443" t="str">
        <f t="shared" si="98"/>
        <v>—</v>
      </c>
      <c r="H80" s="443" t="str">
        <f t="shared" si="98"/>
        <v>—</v>
      </c>
      <c r="I80" s="443" t="str">
        <f t="shared" si="98"/>
        <v>—</v>
      </c>
      <c r="J80" s="443" t="str">
        <f t="shared" si="98"/>
        <v>—</v>
      </c>
      <c r="K80" s="443" t="str">
        <f t="shared" si="98"/>
        <v>—</v>
      </c>
      <c r="L80" s="443" t="str">
        <f t="shared" si="98"/>
        <v>—</v>
      </c>
      <c r="M80" s="443" t="str">
        <f t="shared" si="98"/>
        <v>—</v>
      </c>
      <c r="N80" s="443" t="str">
        <f t="shared" si="98"/>
        <v>—</v>
      </c>
      <c r="O80" s="443" t="str">
        <f t="shared" si="98"/>
        <v>—</v>
      </c>
      <c r="P80" s="443" t="str">
        <f t="shared" si="98"/>
        <v>—</v>
      </c>
      <c r="Q80" s="443" t="str">
        <f t="shared" si="98"/>
        <v>—</v>
      </c>
      <c r="R80" s="443" t="str">
        <f t="shared" si="98"/>
        <v>—</v>
      </c>
      <c r="S80" s="443" t="str">
        <f t="shared" si="98"/>
        <v>—</v>
      </c>
      <c r="T80" s="443" t="str">
        <f t="shared" si="98"/>
        <v>—</v>
      </c>
      <c r="U80" s="443" t="str">
        <f t="shared" si="98"/>
        <v>—</v>
      </c>
      <c r="V80" s="443" t="str">
        <f t="shared" si="98"/>
        <v>—</v>
      </c>
      <c r="W80" s="443" t="str">
        <f t="shared" si="98"/>
        <v>—</v>
      </c>
      <c r="X80" s="443" t="str">
        <f t="shared" si="98"/>
        <v>—</v>
      </c>
      <c r="Y80" s="443" t="str">
        <f t="shared" si="98"/>
        <v>—</v>
      </c>
      <c r="Z80" s="443" t="str">
        <f t="shared" si="98"/>
        <v>—</v>
      </c>
      <c r="AA80" s="443" t="str">
        <f t="shared" si="98"/>
        <v>—</v>
      </c>
      <c r="AB80" s="443" t="str">
        <f t="shared" si="98"/>
        <v>—</v>
      </c>
      <c r="AC80" s="443" t="str">
        <f t="shared" si="98"/>
        <v>—</v>
      </c>
      <c r="AD80" s="443" t="str">
        <f t="shared" si="98"/>
        <v>—</v>
      </c>
      <c r="AE80" s="443" t="str">
        <f t="shared" si="98"/>
        <v>—</v>
      </c>
      <c r="AF80" s="443" t="str">
        <f t="shared" si="98"/>
        <v>—</v>
      </c>
      <c r="AG80" s="443" t="str">
        <f t="shared" si="98"/>
        <v>—</v>
      </c>
      <c r="AH80" s="443" t="str">
        <f t="shared" si="98"/>
        <v>—</v>
      </c>
      <c r="AI80" s="443" t="str">
        <f t="shared" si="98"/>
        <v>—</v>
      </c>
      <c r="AJ80" s="443" t="str">
        <f t="shared" si="98"/>
        <v>—</v>
      </c>
      <c r="AK80" s="449" t="str">
        <f t="shared" si="98"/>
        <v>—</v>
      </c>
      <c r="AL80" s="449" t="str">
        <f t="shared" si="98"/>
        <v>—</v>
      </c>
      <c r="AM80" s="449" t="str">
        <f t="shared" si="98"/>
        <v>—</v>
      </c>
      <c r="AN80" s="443" t="str">
        <f t="shared" si="98"/>
        <v>—</v>
      </c>
      <c r="AO80" s="443" t="str">
        <f t="shared" si="98"/>
        <v>—</v>
      </c>
      <c r="AP80" s="443" t="str">
        <f t="shared" si="98"/>
        <v>—</v>
      </c>
      <c r="AQ80" s="443" t="str">
        <f t="shared" si="98"/>
        <v>—</v>
      </c>
      <c r="AR80" s="443" t="str">
        <f t="shared" si="98"/>
        <v>—</v>
      </c>
      <c r="AS80" s="443" t="str">
        <f t="shared" si="98"/>
        <v>—</v>
      </c>
      <c r="AT80" s="443" t="str">
        <f t="shared" si="98"/>
        <v>—</v>
      </c>
    </row>
    <row r="81" spans="1:47" s="30" customFormat="1" ht="15" customHeight="1">
      <c r="A81" s="430"/>
      <c r="B81" s="125" t="s">
        <v>93</v>
      </c>
      <c r="C81" s="129"/>
      <c r="D81" s="470"/>
      <c r="E81" s="118">
        <f>(财务基础数据!J30-财务基础数据!J31)*目录!$D$6</f>
        <v>0</v>
      </c>
      <c r="F81" s="118">
        <f>(财务基础数据!K30-财务基础数据!K31)*目录!$D$6</f>
        <v>0</v>
      </c>
      <c r="G81" s="118">
        <f>(财务基础数据!L30-财务基础数据!L31)*目录!$D$6</f>
        <v>0</v>
      </c>
      <c r="H81" s="118">
        <f>(财务基础数据!M30-财务基础数据!M31)*目录!$D$6</f>
        <v>0</v>
      </c>
      <c r="I81" s="118">
        <f>(财务基础数据!N30-财务基础数据!N31)*目录!$D$6</f>
        <v>0</v>
      </c>
      <c r="J81" s="118">
        <f>(财务基础数据!O30-财务基础数据!O31)*目录!$D$6</f>
        <v>0</v>
      </c>
      <c r="K81" s="118">
        <f>(财务基础数据!P30-财务基础数据!P31)*目录!$D$6</f>
        <v>0</v>
      </c>
      <c r="L81" s="118">
        <f>(财务基础数据!Q30-财务基础数据!Q31)*目录!$D$6</f>
        <v>0</v>
      </c>
      <c r="M81" s="118">
        <f>(财务基础数据!R30-财务基础数据!R31)*目录!$D$6</f>
        <v>0</v>
      </c>
      <c r="N81" s="118">
        <f>(财务基础数据!S30-财务基础数据!S31)*目录!$D$6</f>
        <v>0</v>
      </c>
      <c r="O81" s="118">
        <f>(财务基础数据!T30-财务基础数据!T31)*目录!$D$6</f>
        <v>0</v>
      </c>
      <c r="P81" s="118">
        <f>(财务基础数据!U30-财务基础数据!U31)*目录!$D$6</f>
        <v>0</v>
      </c>
      <c r="Q81" s="118">
        <f>(财务基础数据!V30-财务基础数据!V31)*目录!$D$6</f>
        <v>0</v>
      </c>
      <c r="R81" s="118">
        <f>(财务基础数据!W30-财务基础数据!W31)*目录!$D$6</f>
        <v>0</v>
      </c>
      <c r="S81" s="118">
        <f>(财务基础数据!X30-财务基础数据!X31)*目录!$D$6</f>
        <v>0</v>
      </c>
      <c r="T81" s="118">
        <f>(财务基础数据!Y30-财务基础数据!Y31)*目录!$D$6</f>
        <v>0</v>
      </c>
      <c r="U81" s="118">
        <f>(财务基础数据!Z30-财务基础数据!Z31)*目录!$D$6</f>
        <v>0</v>
      </c>
      <c r="V81" s="118">
        <f>(财务基础数据!AA30-财务基础数据!AA31)*目录!$D$6</f>
        <v>0</v>
      </c>
      <c r="W81" s="118">
        <f>(财务基础数据!AB30-财务基础数据!AB31)*目录!$D$6</f>
        <v>0</v>
      </c>
      <c r="X81" s="118">
        <f>(财务基础数据!AC30-财务基础数据!AC31)*目录!$D$6</f>
        <v>0</v>
      </c>
      <c r="Y81" s="118">
        <f>(财务基础数据!AD30-财务基础数据!AD31)*目录!$D$6</f>
        <v>0</v>
      </c>
      <c r="Z81" s="118">
        <f>(财务基础数据!AE30-财务基础数据!AE31)*目录!$D$6</f>
        <v>0</v>
      </c>
      <c r="AA81" s="118">
        <f>(财务基础数据!AF30-财务基础数据!AF31)*目录!$D$6</f>
        <v>0</v>
      </c>
      <c r="AB81" s="118">
        <f>(财务基础数据!AG30-财务基础数据!AG31)*目录!$D$6</f>
        <v>0</v>
      </c>
      <c r="AC81" s="118">
        <f>(财务基础数据!AH30-财务基础数据!AH31)*目录!$D$6</f>
        <v>0</v>
      </c>
      <c r="AD81" s="118">
        <f>(财务基础数据!AI30-财务基础数据!AI31)*目录!$D$6</f>
        <v>0</v>
      </c>
      <c r="AE81" s="118">
        <f>(财务基础数据!AJ30-财务基础数据!AJ31)*目录!$D$6</f>
        <v>0</v>
      </c>
      <c r="AF81" s="118">
        <f>(财务基础数据!AK30-财务基础数据!AK31)*目录!$D$6</f>
        <v>0</v>
      </c>
      <c r="AG81" s="118">
        <f>(财务基础数据!AL30-财务基础数据!AL31)*目录!$D$6</f>
        <v>0</v>
      </c>
      <c r="AH81" s="118">
        <f>(财务基础数据!AM30-财务基础数据!AM31)*目录!$D$6</f>
        <v>0</v>
      </c>
      <c r="AI81" s="118">
        <f>(财务基础数据!AN30-财务基础数据!AN31)*目录!$D$6</f>
        <v>0</v>
      </c>
      <c r="AJ81" s="118">
        <f>(财务基础数据!AO30-财务基础数据!AO31)*目录!$D$6</f>
        <v>0</v>
      </c>
      <c r="AK81" s="118">
        <f>AK77-AK79</f>
        <v>0</v>
      </c>
      <c r="AL81" s="118">
        <f t="shared" ref="AL81:AT81" si="99">AL77-AL79</f>
        <v>0</v>
      </c>
      <c r="AM81" s="118">
        <f t="shared" si="99"/>
        <v>0</v>
      </c>
      <c r="AN81" s="118">
        <f t="shared" si="99"/>
        <v>0</v>
      </c>
      <c r="AO81" s="118">
        <f t="shared" si="99"/>
        <v>0</v>
      </c>
      <c r="AP81" s="118">
        <f t="shared" si="99"/>
        <v>0</v>
      </c>
      <c r="AQ81" s="118">
        <f t="shared" si="99"/>
        <v>0</v>
      </c>
      <c r="AR81" s="118">
        <f t="shared" si="99"/>
        <v>0</v>
      </c>
      <c r="AS81" s="118">
        <f t="shared" si="99"/>
        <v>0</v>
      </c>
      <c r="AT81" s="118">
        <f t="shared" si="99"/>
        <v>0</v>
      </c>
    </row>
    <row r="82" spans="1:47" ht="15" customHeight="1">
      <c r="B82" s="112"/>
      <c r="C82" s="451" t="s">
        <v>458</v>
      </c>
      <c r="D82" s="467"/>
      <c r="E82" s="443" t="str">
        <f t="shared" ref="E82:AF82" si="100">IF(ISERROR(E81/E84),"—",E81/E84)</f>
        <v>—</v>
      </c>
      <c r="F82" s="443" t="str">
        <f t="shared" si="100"/>
        <v>—</v>
      </c>
      <c r="G82" s="443" t="str">
        <f t="shared" si="100"/>
        <v>—</v>
      </c>
      <c r="H82" s="443" t="str">
        <f t="shared" si="100"/>
        <v>—</v>
      </c>
      <c r="I82" s="443" t="str">
        <f t="shared" si="100"/>
        <v>—</v>
      </c>
      <c r="J82" s="443" t="str">
        <f t="shared" si="100"/>
        <v>—</v>
      </c>
      <c r="K82" s="443" t="str">
        <f t="shared" si="100"/>
        <v>—</v>
      </c>
      <c r="L82" s="443" t="str">
        <f t="shared" si="100"/>
        <v>—</v>
      </c>
      <c r="M82" s="443" t="str">
        <f t="shared" si="100"/>
        <v>—</v>
      </c>
      <c r="N82" s="443" t="str">
        <f t="shared" si="100"/>
        <v>—</v>
      </c>
      <c r="O82" s="443" t="str">
        <f t="shared" si="100"/>
        <v>—</v>
      </c>
      <c r="P82" s="443" t="str">
        <f t="shared" si="100"/>
        <v>—</v>
      </c>
      <c r="Q82" s="443" t="str">
        <f t="shared" si="100"/>
        <v>—</v>
      </c>
      <c r="R82" s="443" t="str">
        <f t="shared" si="100"/>
        <v>—</v>
      </c>
      <c r="S82" s="443" t="str">
        <f t="shared" si="100"/>
        <v>—</v>
      </c>
      <c r="T82" s="443" t="str">
        <f t="shared" si="100"/>
        <v>—</v>
      </c>
      <c r="U82" s="443" t="str">
        <f t="shared" si="100"/>
        <v>—</v>
      </c>
      <c r="V82" s="443" t="str">
        <f t="shared" si="100"/>
        <v>—</v>
      </c>
      <c r="W82" s="443" t="str">
        <f t="shared" si="100"/>
        <v>—</v>
      </c>
      <c r="X82" s="443" t="str">
        <f t="shared" si="100"/>
        <v>—</v>
      </c>
      <c r="Y82" s="443" t="str">
        <f t="shared" si="100"/>
        <v>—</v>
      </c>
      <c r="Z82" s="443" t="str">
        <f t="shared" si="100"/>
        <v>—</v>
      </c>
      <c r="AA82" s="443" t="str">
        <f t="shared" si="100"/>
        <v>—</v>
      </c>
      <c r="AB82" s="443" t="str">
        <f t="shared" si="100"/>
        <v>—</v>
      </c>
      <c r="AC82" s="443" t="str">
        <f t="shared" si="100"/>
        <v>—</v>
      </c>
      <c r="AD82" s="443" t="str">
        <f t="shared" si="100"/>
        <v>—</v>
      </c>
      <c r="AE82" s="443" t="str">
        <f t="shared" si="100"/>
        <v>—</v>
      </c>
      <c r="AF82" s="443" t="str">
        <f t="shared" si="100"/>
        <v>—</v>
      </c>
      <c r="AG82" s="443" t="str">
        <f t="shared" ref="AG82:AN82" si="101">IF(ISERROR(AG81/AG84),"—",AG81/AG84)</f>
        <v>—</v>
      </c>
      <c r="AH82" s="443" t="str">
        <f t="shared" si="101"/>
        <v>—</v>
      </c>
      <c r="AI82" s="443" t="str">
        <f t="shared" si="101"/>
        <v>—</v>
      </c>
      <c r="AJ82" s="443" t="str">
        <f t="shared" si="101"/>
        <v>—</v>
      </c>
      <c r="AK82" s="449" t="str">
        <f t="shared" si="101"/>
        <v>—</v>
      </c>
      <c r="AL82" s="449" t="str">
        <f t="shared" si="101"/>
        <v>—</v>
      </c>
      <c r="AM82" s="449" t="str">
        <f t="shared" si="101"/>
        <v>—</v>
      </c>
      <c r="AN82" s="443" t="str">
        <f t="shared" si="101"/>
        <v>—</v>
      </c>
      <c r="AO82" s="443" t="str">
        <f t="shared" ref="AO82:AT82" si="102">IF(ISERROR(AO81/AO84),"—",AO81/AO84)</f>
        <v>—</v>
      </c>
      <c r="AP82" s="443" t="str">
        <f t="shared" si="102"/>
        <v>—</v>
      </c>
      <c r="AQ82" s="443" t="str">
        <f t="shared" si="102"/>
        <v>—</v>
      </c>
      <c r="AR82" s="443" t="str">
        <f t="shared" si="102"/>
        <v>—</v>
      </c>
      <c r="AS82" s="443" t="str">
        <f t="shared" si="102"/>
        <v>—</v>
      </c>
      <c r="AT82" s="443" t="str">
        <f t="shared" si="102"/>
        <v>—</v>
      </c>
    </row>
    <row r="83" spans="1:47" ht="15" customHeight="1">
      <c r="A83" s="426"/>
      <c r="B83" s="125"/>
      <c r="C83" s="125"/>
      <c r="D83" s="432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</row>
    <row r="84" spans="1:47" s="398" customFormat="1" ht="15" customHeight="1">
      <c r="A84" s="162"/>
      <c r="B84" s="112" t="s">
        <v>348</v>
      </c>
      <c r="C84" s="471"/>
      <c r="D84" s="472"/>
      <c r="E84" s="442">
        <f t="shared" ref="E84:AN84" si="103">IF(ISERROR(E73+E81),"—",E73+E81)</f>
        <v>0</v>
      </c>
      <c r="F84" s="442">
        <f t="shared" si="103"/>
        <v>0</v>
      </c>
      <c r="G84" s="442">
        <f t="shared" si="103"/>
        <v>0</v>
      </c>
      <c r="H84" s="442">
        <f t="shared" si="103"/>
        <v>0</v>
      </c>
      <c r="I84" s="442">
        <f t="shared" si="103"/>
        <v>0</v>
      </c>
      <c r="J84" s="442">
        <f t="shared" si="103"/>
        <v>0</v>
      </c>
      <c r="K84" s="442">
        <f t="shared" si="103"/>
        <v>0</v>
      </c>
      <c r="L84" s="442">
        <f t="shared" si="103"/>
        <v>0</v>
      </c>
      <c r="M84" s="442">
        <f t="shared" si="103"/>
        <v>0</v>
      </c>
      <c r="N84" s="442">
        <f t="shared" si="103"/>
        <v>0</v>
      </c>
      <c r="O84" s="442">
        <f t="shared" si="103"/>
        <v>0</v>
      </c>
      <c r="P84" s="442">
        <f t="shared" si="103"/>
        <v>0</v>
      </c>
      <c r="Q84" s="442">
        <f t="shared" si="103"/>
        <v>0</v>
      </c>
      <c r="R84" s="442">
        <f t="shared" si="103"/>
        <v>0</v>
      </c>
      <c r="S84" s="442">
        <f t="shared" si="103"/>
        <v>0</v>
      </c>
      <c r="T84" s="442">
        <f t="shared" si="103"/>
        <v>0</v>
      </c>
      <c r="U84" s="442">
        <f t="shared" si="103"/>
        <v>0</v>
      </c>
      <c r="V84" s="442">
        <f t="shared" si="103"/>
        <v>0</v>
      </c>
      <c r="W84" s="442">
        <f t="shared" si="103"/>
        <v>0</v>
      </c>
      <c r="X84" s="442">
        <f t="shared" si="103"/>
        <v>0</v>
      </c>
      <c r="Y84" s="442">
        <f t="shared" si="103"/>
        <v>0</v>
      </c>
      <c r="Z84" s="442">
        <f t="shared" si="103"/>
        <v>0</v>
      </c>
      <c r="AA84" s="442">
        <f t="shared" si="103"/>
        <v>0</v>
      </c>
      <c r="AB84" s="442">
        <f t="shared" si="103"/>
        <v>0</v>
      </c>
      <c r="AC84" s="442">
        <f t="shared" si="103"/>
        <v>0</v>
      </c>
      <c r="AD84" s="442">
        <f t="shared" si="103"/>
        <v>0</v>
      </c>
      <c r="AE84" s="442">
        <f t="shared" si="103"/>
        <v>0</v>
      </c>
      <c r="AF84" s="442">
        <f t="shared" si="103"/>
        <v>0</v>
      </c>
      <c r="AG84" s="442">
        <f t="shared" si="103"/>
        <v>0</v>
      </c>
      <c r="AH84" s="442">
        <f t="shared" si="103"/>
        <v>0</v>
      </c>
      <c r="AI84" s="442">
        <f t="shared" si="103"/>
        <v>0</v>
      </c>
      <c r="AJ84" s="442">
        <f t="shared" si="103"/>
        <v>0</v>
      </c>
      <c r="AK84" s="442">
        <f t="shared" si="103"/>
        <v>0</v>
      </c>
      <c r="AL84" s="442">
        <f t="shared" si="103"/>
        <v>0</v>
      </c>
      <c r="AM84" s="442">
        <f t="shared" si="103"/>
        <v>0</v>
      </c>
      <c r="AN84" s="442">
        <f t="shared" si="103"/>
        <v>0</v>
      </c>
      <c r="AO84" s="442">
        <f t="shared" ref="AO84:AT84" si="104">IF(ISERROR(AO73+AO81),"—",AO73+AO81)</f>
        <v>0</v>
      </c>
      <c r="AP84" s="442">
        <f t="shared" si="104"/>
        <v>0</v>
      </c>
      <c r="AQ84" s="442">
        <f t="shared" si="104"/>
        <v>0</v>
      </c>
      <c r="AR84" s="442">
        <f t="shared" si="104"/>
        <v>0</v>
      </c>
      <c r="AS84" s="442">
        <f t="shared" si="104"/>
        <v>0</v>
      </c>
      <c r="AT84" s="442">
        <f t="shared" si="104"/>
        <v>0</v>
      </c>
    </row>
    <row r="85" spans="1:47" s="400" customFormat="1" ht="15" customHeight="1">
      <c r="A85" s="97"/>
      <c r="B85" s="130"/>
      <c r="C85" s="451" t="s">
        <v>449</v>
      </c>
      <c r="D85" s="473"/>
      <c r="E85" s="443" t="str">
        <f t="shared" ref="E85:AT85" si="105">IF(ISERROR(E84/E8),"—",E84/E8)</f>
        <v>—</v>
      </c>
      <c r="F85" s="443" t="str">
        <f t="shared" si="105"/>
        <v>—</v>
      </c>
      <c r="G85" s="443" t="str">
        <f t="shared" si="105"/>
        <v>—</v>
      </c>
      <c r="H85" s="443" t="str">
        <f t="shared" si="105"/>
        <v>—</v>
      </c>
      <c r="I85" s="443" t="str">
        <f t="shared" si="105"/>
        <v>—</v>
      </c>
      <c r="J85" s="443" t="str">
        <f t="shared" si="105"/>
        <v>—</v>
      </c>
      <c r="K85" s="443" t="str">
        <f t="shared" si="105"/>
        <v>—</v>
      </c>
      <c r="L85" s="443" t="str">
        <f t="shared" si="105"/>
        <v>—</v>
      </c>
      <c r="M85" s="443" t="str">
        <f t="shared" si="105"/>
        <v>—</v>
      </c>
      <c r="N85" s="443" t="str">
        <f t="shared" si="105"/>
        <v>—</v>
      </c>
      <c r="O85" s="443" t="str">
        <f t="shared" si="105"/>
        <v>—</v>
      </c>
      <c r="P85" s="443" t="str">
        <f t="shared" si="105"/>
        <v>—</v>
      </c>
      <c r="Q85" s="443" t="str">
        <f t="shared" si="105"/>
        <v>—</v>
      </c>
      <c r="R85" s="443" t="str">
        <f t="shared" si="105"/>
        <v>—</v>
      </c>
      <c r="S85" s="443" t="str">
        <f t="shared" si="105"/>
        <v>—</v>
      </c>
      <c r="T85" s="443" t="str">
        <f t="shared" si="105"/>
        <v>—</v>
      </c>
      <c r="U85" s="443" t="str">
        <f t="shared" si="105"/>
        <v>—</v>
      </c>
      <c r="V85" s="443" t="str">
        <f t="shared" si="105"/>
        <v>—</v>
      </c>
      <c r="W85" s="443" t="str">
        <f t="shared" si="105"/>
        <v>—</v>
      </c>
      <c r="X85" s="443" t="str">
        <f t="shared" si="105"/>
        <v>—</v>
      </c>
      <c r="Y85" s="443" t="str">
        <f t="shared" si="105"/>
        <v>—</v>
      </c>
      <c r="Z85" s="443" t="str">
        <f t="shared" si="105"/>
        <v>—</v>
      </c>
      <c r="AA85" s="443" t="str">
        <f t="shared" si="105"/>
        <v>—</v>
      </c>
      <c r="AB85" s="443" t="str">
        <f t="shared" si="105"/>
        <v>—</v>
      </c>
      <c r="AC85" s="443" t="str">
        <f t="shared" si="105"/>
        <v>—</v>
      </c>
      <c r="AD85" s="443" t="str">
        <f t="shared" si="105"/>
        <v>—</v>
      </c>
      <c r="AE85" s="443" t="str">
        <f t="shared" si="105"/>
        <v>—</v>
      </c>
      <c r="AF85" s="443" t="str">
        <f t="shared" si="105"/>
        <v>—</v>
      </c>
      <c r="AG85" s="443" t="str">
        <f t="shared" si="105"/>
        <v>—</v>
      </c>
      <c r="AH85" s="443" t="str">
        <f t="shared" si="105"/>
        <v>—</v>
      </c>
      <c r="AI85" s="443" t="str">
        <f t="shared" si="105"/>
        <v>—</v>
      </c>
      <c r="AJ85" s="443" t="str">
        <f t="shared" si="105"/>
        <v>—</v>
      </c>
      <c r="AK85" s="443" t="str">
        <f t="shared" si="105"/>
        <v>—</v>
      </c>
      <c r="AL85" s="443" t="str">
        <f t="shared" si="105"/>
        <v>—</v>
      </c>
      <c r="AM85" s="443" t="str">
        <f t="shared" si="105"/>
        <v>—</v>
      </c>
      <c r="AN85" s="443" t="str">
        <f t="shared" si="105"/>
        <v>—</v>
      </c>
      <c r="AO85" s="443" t="str">
        <f t="shared" si="105"/>
        <v>—</v>
      </c>
      <c r="AP85" s="443" t="str">
        <f t="shared" si="105"/>
        <v>—</v>
      </c>
      <c r="AQ85" s="443" t="str">
        <f t="shared" si="105"/>
        <v>—</v>
      </c>
      <c r="AR85" s="443" t="str">
        <f t="shared" si="105"/>
        <v>—</v>
      </c>
      <c r="AS85" s="443" t="str">
        <f t="shared" si="105"/>
        <v>—</v>
      </c>
      <c r="AT85" s="443" t="str">
        <f t="shared" si="105"/>
        <v>—</v>
      </c>
    </row>
    <row r="86" spans="1:47" s="400" customFormat="1" ht="15" customHeight="1">
      <c r="A86" s="97"/>
      <c r="B86" s="130" t="s">
        <v>462</v>
      </c>
      <c r="C86" s="451"/>
      <c r="D86" s="473"/>
      <c r="E86" s="188">
        <f>(财务基础数据!J34)*目录!$D$6</f>
        <v>0</v>
      </c>
      <c r="F86" s="188">
        <f>(财务基础数据!K34)*目录!$D$6</f>
        <v>0</v>
      </c>
      <c r="G86" s="188">
        <f>(财务基础数据!L34)*目录!$D$6</f>
        <v>0</v>
      </c>
      <c r="H86" s="188">
        <f>(财务基础数据!M34)*目录!$D$6</f>
        <v>0</v>
      </c>
      <c r="I86" s="188">
        <f>(财务基础数据!N34)*目录!$D$6</f>
        <v>0</v>
      </c>
      <c r="J86" s="188">
        <f>(财务基础数据!O34)*目录!$D$6</f>
        <v>0</v>
      </c>
      <c r="K86" s="188">
        <f>(财务基础数据!P34)*目录!$D$6</f>
        <v>0</v>
      </c>
      <c r="L86" s="188">
        <f>(财务基础数据!Q34)*目录!$D$6</f>
        <v>0</v>
      </c>
      <c r="M86" s="188">
        <f>(财务基础数据!R34)*目录!$D$6</f>
        <v>0</v>
      </c>
      <c r="N86" s="188">
        <f>(财务基础数据!S34)*目录!$D$6</f>
        <v>0</v>
      </c>
      <c r="O86" s="188">
        <f>(财务基础数据!T34)*目录!$D$6</f>
        <v>0</v>
      </c>
      <c r="P86" s="188">
        <f>(财务基础数据!U34)*目录!$D$6</f>
        <v>0</v>
      </c>
      <c r="Q86" s="188">
        <f>(财务基础数据!V34)*目录!$D$6</f>
        <v>0</v>
      </c>
      <c r="R86" s="188">
        <f>(财务基础数据!W34)*目录!$D$6</f>
        <v>0</v>
      </c>
      <c r="S86" s="188">
        <f>(财务基础数据!X34)*目录!$D$6</f>
        <v>0</v>
      </c>
      <c r="T86" s="188">
        <f>(财务基础数据!Y34)*目录!$D$6</f>
        <v>0</v>
      </c>
      <c r="U86" s="188">
        <f>(财务基础数据!Z34)*目录!$D$6</f>
        <v>0</v>
      </c>
      <c r="V86" s="188">
        <f>(财务基础数据!AA34)*目录!$D$6</f>
        <v>0</v>
      </c>
      <c r="W86" s="188">
        <f>(财务基础数据!AB34)*目录!$D$6</f>
        <v>0</v>
      </c>
      <c r="X86" s="188">
        <f>(财务基础数据!AC34)*目录!$D$6</f>
        <v>0</v>
      </c>
      <c r="Y86" s="188">
        <f>(财务基础数据!AD34)*目录!$D$6</f>
        <v>0</v>
      </c>
      <c r="Z86" s="188">
        <f>(财务基础数据!AE34)*目录!$D$6</f>
        <v>0</v>
      </c>
      <c r="AA86" s="188">
        <f>(财务基础数据!AF34)*目录!$D$6</f>
        <v>0</v>
      </c>
      <c r="AB86" s="188">
        <f>(财务基础数据!AG34)*目录!$D$6</f>
        <v>0</v>
      </c>
      <c r="AC86" s="188">
        <f>(财务基础数据!AH34)*目录!$D$6</f>
        <v>0</v>
      </c>
      <c r="AD86" s="188">
        <f>(财务基础数据!AI34)*目录!$D$6</f>
        <v>0</v>
      </c>
      <c r="AE86" s="188">
        <f>(财务基础数据!AJ34)*目录!$D$6</f>
        <v>0</v>
      </c>
      <c r="AF86" s="188">
        <f>(财务基础数据!AK34)*目录!$D$6</f>
        <v>0</v>
      </c>
      <c r="AG86" s="188">
        <f>(财务基础数据!AL34)*目录!$D$6</f>
        <v>0</v>
      </c>
      <c r="AH86" s="188">
        <f>(财务基础数据!AM34)*目录!$D$6</f>
        <v>0</v>
      </c>
      <c r="AI86" s="188">
        <f>(财务基础数据!AN34)*目录!$D$6</f>
        <v>0</v>
      </c>
      <c r="AJ86" s="188">
        <f>(财务基础数据!AO34)*目录!$D$6</f>
        <v>0</v>
      </c>
      <c r="AK86" s="188">
        <f>IF(ISERROR(销售预测!L47),"—",销售预测!L47)</f>
        <v>0</v>
      </c>
      <c r="AL86" s="188">
        <f>IF(ISERROR(销售预测!M47),"—",销售预测!M47)</f>
        <v>0</v>
      </c>
      <c r="AM86" s="188">
        <f>IF(ISERROR(销售预测!N47),"—",销售预测!N47)</f>
        <v>0</v>
      </c>
      <c r="AN86" s="188">
        <f>IF(ISERROR(销售预测!O47),"—",销售预测!O47)</f>
        <v>0</v>
      </c>
      <c r="AO86" s="188">
        <f>IF(ISERROR(销售预测!P47),"—",销售预测!P47)</f>
        <v>0</v>
      </c>
      <c r="AP86" s="188">
        <f>IF(ISERROR(销售预测!Q47),"—",销售预测!Q47)</f>
        <v>0</v>
      </c>
      <c r="AQ86" s="188">
        <f>IF(ISERROR(销售预测!R47),"—",销售预测!R47)</f>
        <v>0</v>
      </c>
      <c r="AR86" s="188">
        <f>IF(ISERROR(销售预测!S47),"—",销售预测!S47)</f>
        <v>0</v>
      </c>
      <c r="AS86" s="188">
        <f>IF(ISERROR(销售预测!T47),"—",销售预测!T47)</f>
        <v>0</v>
      </c>
      <c r="AT86" s="188">
        <f>IF(ISERROR(销售预测!U47),"—",销售预测!U47)</f>
        <v>0</v>
      </c>
    </row>
    <row r="87" spans="1:47" s="400" customFormat="1" ht="15" customHeight="1">
      <c r="A87" s="97"/>
      <c r="B87" s="451"/>
      <c r="C87" s="451" t="s">
        <v>458</v>
      </c>
      <c r="D87" s="473"/>
      <c r="E87" s="448" t="str">
        <f t="shared" ref="E87:AG87" si="106">IF(ISERROR(E86/E84),"—",E86/E84)</f>
        <v>—</v>
      </c>
      <c r="F87" s="448" t="str">
        <f t="shared" si="106"/>
        <v>—</v>
      </c>
      <c r="G87" s="448" t="str">
        <f t="shared" si="106"/>
        <v>—</v>
      </c>
      <c r="H87" s="448" t="str">
        <f t="shared" si="106"/>
        <v>—</v>
      </c>
      <c r="I87" s="448" t="str">
        <f t="shared" si="106"/>
        <v>—</v>
      </c>
      <c r="J87" s="448" t="str">
        <f t="shared" si="106"/>
        <v>—</v>
      </c>
      <c r="K87" s="448" t="str">
        <f t="shared" si="106"/>
        <v>—</v>
      </c>
      <c r="L87" s="448" t="str">
        <f t="shared" si="106"/>
        <v>—</v>
      </c>
      <c r="M87" s="448" t="str">
        <f t="shared" si="106"/>
        <v>—</v>
      </c>
      <c r="N87" s="448" t="str">
        <f t="shared" si="106"/>
        <v>—</v>
      </c>
      <c r="O87" s="448" t="str">
        <f t="shared" si="106"/>
        <v>—</v>
      </c>
      <c r="P87" s="448" t="str">
        <f t="shared" si="106"/>
        <v>—</v>
      </c>
      <c r="Q87" s="448" t="str">
        <f t="shared" si="106"/>
        <v>—</v>
      </c>
      <c r="R87" s="448" t="str">
        <f t="shared" si="106"/>
        <v>—</v>
      </c>
      <c r="S87" s="448" t="str">
        <f t="shared" si="106"/>
        <v>—</v>
      </c>
      <c r="T87" s="448" t="str">
        <f t="shared" si="106"/>
        <v>—</v>
      </c>
      <c r="U87" s="448" t="str">
        <f t="shared" si="106"/>
        <v>—</v>
      </c>
      <c r="V87" s="448" t="str">
        <f t="shared" si="106"/>
        <v>—</v>
      </c>
      <c r="W87" s="448" t="str">
        <f t="shared" si="106"/>
        <v>—</v>
      </c>
      <c r="X87" s="448" t="str">
        <f t="shared" si="106"/>
        <v>—</v>
      </c>
      <c r="Y87" s="448" t="str">
        <f t="shared" si="106"/>
        <v>—</v>
      </c>
      <c r="Z87" s="448" t="str">
        <f t="shared" si="106"/>
        <v>—</v>
      </c>
      <c r="AA87" s="448" t="str">
        <f t="shared" si="106"/>
        <v>—</v>
      </c>
      <c r="AB87" s="448" t="str">
        <f t="shared" si="106"/>
        <v>—</v>
      </c>
      <c r="AC87" s="448" t="str">
        <f t="shared" si="106"/>
        <v>—</v>
      </c>
      <c r="AD87" s="448" t="str">
        <f t="shared" si="106"/>
        <v>—</v>
      </c>
      <c r="AE87" s="448" t="str">
        <f t="shared" si="106"/>
        <v>—</v>
      </c>
      <c r="AF87" s="448" t="str">
        <f t="shared" si="106"/>
        <v>—</v>
      </c>
      <c r="AG87" s="448" t="str">
        <f t="shared" si="106"/>
        <v>—</v>
      </c>
      <c r="AH87" s="448" t="str">
        <f t="shared" ref="AH87:AN87" si="107">IF(ISERROR(AH86/AH84),"—",AH86/AH84)</f>
        <v>—</v>
      </c>
      <c r="AI87" s="448" t="str">
        <f t="shared" si="107"/>
        <v>—</v>
      </c>
      <c r="AJ87" s="448" t="str">
        <f t="shared" si="107"/>
        <v>—</v>
      </c>
      <c r="AK87" s="448" t="str">
        <f t="shared" si="107"/>
        <v>—</v>
      </c>
      <c r="AL87" s="448" t="str">
        <f t="shared" si="107"/>
        <v>—</v>
      </c>
      <c r="AM87" s="448" t="str">
        <f t="shared" si="107"/>
        <v>—</v>
      </c>
      <c r="AN87" s="448" t="str">
        <f t="shared" si="107"/>
        <v>—</v>
      </c>
      <c r="AO87" s="448" t="str">
        <f t="shared" ref="AO87:AT87" si="108">IF(ISERROR(AO86/AO84),"—",AO86/AO84)</f>
        <v>—</v>
      </c>
      <c r="AP87" s="448" t="str">
        <f t="shared" si="108"/>
        <v>—</v>
      </c>
      <c r="AQ87" s="448" t="str">
        <f t="shared" si="108"/>
        <v>—</v>
      </c>
      <c r="AR87" s="448" t="str">
        <f t="shared" si="108"/>
        <v>—</v>
      </c>
      <c r="AS87" s="448" t="str">
        <f t="shared" si="108"/>
        <v>—</v>
      </c>
      <c r="AT87" s="448" t="str">
        <f t="shared" si="108"/>
        <v>—</v>
      </c>
    </row>
    <row r="88" spans="1:47" s="161" customFormat="1" ht="15" customHeight="1">
      <c r="A88" s="437"/>
      <c r="B88" s="129" t="s">
        <v>355</v>
      </c>
      <c r="C88" s="129"/>
      <c r="D88" s="470"/>
      <c r="E88" s="306">
        <f t="shared" ref="E88:AJ88" si="109">E84-E86</f>
        <v>0</v>
      </c>
      <c r="F88" s="306">
        <f t="shared" si="109"/>
        <v>0</v>
      </c>
      <c r="G88" s="306">
        <f t="shared" si="109"/>
        <v>0</v>
      </c>
      <c r="H88" s="306">
        <f t="shared" si="109"/>
        <v>0</v>
      </c>
      <c r="I88" s="306">
        <f t="shared" si="109"/>
        <v>0</v>
      </c>
      <c r="J88" s="306">
        <f t="shared" si="109"/>
        <v>0</v>
      </c>
      <c r="K88" s="306">
        <f t="shared" si="109"/>
        <v>0</v>
      </c>
      <c r="L88" s="306">
        <f t="shared" si="109"/>
        <v>0</v>
      </c>
      <c r="M88" s="306">
        <f t="shared" si="109"/>
        <v>0</v>
      </c>
      <c r="N88" s="306">
        <f t="shared" si="109"/>
        <v>0</v>
      </c>
      <c r="O88" s="306">
        <f t="shared" si="109"/>
        <v>0</v>
      </c>
      <c r="P88" s="306">
        <f t="shared" si="109"/>
        <v>0</v>
      </c>
      <c r="Q88" s="306">
        <f t="shared" si="109"/>
        <v>0</v>
      </c>
      <c r="R88" s="306">
        <f t="shared" si="109"/>
        <v>0</v>
      </c>
      <c r="S88" s="306">
        <f t="shared" si="109"/>
        <v>0</v>
      </c>
      <c r="T88" s="306">
        <f t="shared" si="109"/>
        <v>0</v>
      </c>
      <c r="U88" s="306">
        <f t="shared" si="109"/>
        <v>0</v>
      </c>
      <c r="V88" s="306">
        <f t="shared" si="109"/>
        <v>0</v>
      </c>
      <c r="W88" s="306">
        <f t="shared" si="109"/>
        <v>0</v>
      </c>
      <c r="X88" s="306">
        <f t="shared" si="109"/>
        <v>0</v>
      </c>
      <c r="Y88" s="306">
        <f t="shared" si="109"/>
        <v>0</v>
      </c>
      <c r="Z88" s="306">
        <f t="shared" si="109"/>
        <v>0</v>
      </c>
      <c r="AA88" s="306">
        <f t="shared" si="109"/>
        <v>0</v>
      </c>
      <c r="AB88" s="306">
        <f t="shared" si="109"/>
        <v>0</v>
      </c>
      <c r="AC88" s="306">
        <f t="shared" si="109"/>
        <v>0</v>
      </c>
      <c r="AD88" s="306">
        <f t="shared" si="109"/>
        <v>0</v>
      </c>
      <c r="AE88" s="306">
        <f t="shared" si="109"/>
        <v>0</v>
      </c>
      <c r="AF88" s="306">
        <f t="shared" si="109"/>
        <v>0</v>
      </c>
      <c r="AG88" s="306">
        <f t="shared" si="109"/>
        <v>0</v>
      </c>
      <c r="AH88" s="306">
        <f t="shared" si="109"/>
        <v>0</v>
      </c>
      <c r="AI88" s="306">
        <f t="shared" si="109"/>
        <v>0</v>
      </c>
      <c r="AJ88" s="306">
        <f t="shared" si="109"/>
        <v>0</v>
      </c>
      <c r="AK88" s="306">
        <f>IF(ISERROR(AK84-AK86),"—",AK84-AK86)</f>
        <v>0</v>
      </c>
      <c r="AL88" s="306">
        <f t="shared" ref="AL88:AT88" si="110">IF(ISERROR(AL84-AL86),"—",AL84-AL86)</f>
        <v>0</v>
      </c>
      <c r="AM88" s="306">
        <f t="shared" si="110"/>
        <v>0</v>
      </c>
      <c r="AN88" s="306">
        <f t="shared" si="110"/>
        <v>0</v>
      </c>
      <c r="AO88" s="306">
        <f t="shared" si="110"/>
        <v>0</v>
      </c>
      <c r="AP88" s="306">
        <f t="shared" si="110"/>
        <v>0</v>
      </c>
      <c r="AQ88" s="306">
        <f t="shared" si="110"/>
        <v>0</v>
      </c>
      <c r="AR88" s="306">
        <f t="shared" si="110"/>
        <v>0</v>
      </c>
      <c r="AS88" s="306">
        <f t="shared" si="110"/>
        <v>0</v>
      </c>
      <c r="AT88" s="306">
        <f t="shared" si="110"/>
        <v>0</v>
      </c>
    </row>
    <row r="89" spans="1:47" ht="15" customHeight="1">
      <c r="B89" s="451"/>
      <c r="C89" s="451" t="s">
        <v>449</v>
      </c>
      <c r="D89" s="473"/>
      <c r="E89" s="443" t="str">
        <f>IF(ISERROR(E88/E8),"—",E88/E8)</f>
        <v>—</v>
      </c>
      <c r="F89" s="443" t="str">
        <f t="shared" ref="F89:AT89" si="111">IF(ISERROR(F88/F8),"—",F88/F8)</f>
        <v>—</v>
      </c>
      <c r="G89" s="443" t="str">
        <f t="shared" si="111"/>
        <v>—</v>
      </c>
      <c r="H89" s="443" t="str">
        <f t="shared" si="111"/>
        <v>—</v>
      </c>
      <c r="I89" s="443" t="str">
        <f t="shared" si="111"/>
        <v>—</v>
      </c>
      <c r="J89" s="443" t="str">
        <f t="shared" si="111"/>
        <v>—</v>
      </c>
      <c r="K89" s="443" t="str">
        <f t="shared" si="111"/>
        <v>—</v>
      </c>
      <c r="L89" s="443" t="str">
        <f t="shared" si="111"/>
        <v>—</v>
      </c>
      <c r="M89" s="443" t="str">
        <f t="shared" si="111"/>
        <v>—</v>
      </c>
      <c r="N89" s="443" t="str">
        <f t="shared" si="111"/>
        <v>—</v>
      </c>
      <c r="O89" s="443" t="str">
        <f t="shared" si="111"/>
        <v>—</v>
      </c>
      <c r="P89" s="443" t="str">
        <f t="shared" si="111"/>
        <v>—</v>
      </c>
      <c r="Q89" s="443" t="str">
        <f t="shared" si="111"/>
        <v>—</v>
      </c>
      <c r="R89" s="443" t="str">
        <f t="shared" si="111"/>
        <v>—</v>
      </c>
      <c r="S89" s="443" t="str">
        <f t="shared" si="111"/>
        <v>—</v>
      </c>
      <c r="T89" s="443" t="str">
        <f t="shared" si="111"/>
        <v>—</v>
      </c>
      <c r="U89" s="443" t="str">
        <f t="shared" si="111"/>
        <v>—</v>
      </c>
      <c r="V89" s="443" t="str">
        <f t="shared" si="111"/>
        <v>—</v>
      </c>
      <c r="W89" s="443" t="str">
        <f t="shared" si="111"/>
        <v>—</v>
      </c>
      <c r="X89" s="443" t="str">
        <f t="shared" si="111"/>
        <v>—</v>
      </c>
      <c r="Y89" s="443" t="str">
        <f t="shared" si="111"/>
        <v>—</v>
      </c>
      <c r="Z89" s="443" t="str">
        <f t="shared" si="111"/>
        <v>—</v>
      </c>
      <c r="AA89" s="443" t="str">
        <f t="shared" si="111"/>
        <v>—</v>
      </c>
      <c r="AB89" s="443" t="str">
        <f t="shared" si="111"/>
        <v>—</v>
      </c>
      <c r="AC89" s="443" t="str">
        <f t="shared" si="111"/>
        <v>—</v>
      </c>
      <c r="AD89" s="443" t="str">
        <f t="shared" si="111"/>
        <v>—</v>
      </c>
      <c r="AE89" s="443" t="str">
        <f t="shared" si="111"/>
        <v>—</v>
      </c>
      <c r="AF89" s="443" t="str">
        <f t="shared" si="111"/>
        <v>—</v>
      </c>
      <c r="AG89" s="443" t="str">
        <f t="shared" si="111"/>
        <v>—</v>
      </c>
      <c r="AH89" s="443" t="str">
        <f t="shared" si="111"/>
        <v>—</v>
      </c>
      <c r="AI89" s="443" t="str">
        <f t="shared" si="111"/>
        <v>—</v>
      </c>
      <c r="AJ89" s="443" t="str">
        <f t="shared" si="111"/>
        <v>—</v>
      </c>
      <c r="AK89" s="443" t="str">
        <f t="shared" si="111"/>
        <v>—</v>
      </c>
      <c r="AL89" s="443" t="str">
        <f t="shared" si="111"/>
        <v>—</v>
      </c>
      <c r="AM89" s="443" t="str">
        <f t="shared" si="111"/>
        <v>—</v>
      </c>
      <c r="AN89" s="443" t="str">
        <f t="shared" si="111"/>
        <v>—</v>
      </c>
      <c r="AO89" s="443" t="str">
        <f t="shared" si="111"/>
        <v>—</v>
      </c>
      <c r="AP89" s="443" t="str">
        <f t="shared" si="111"/>
        <v>—</v>
      </c>
      <c r="AQ89" s="443" t="str">
        <f t="shared" si="111"/>
        <v>—</v>
      </c>
      <c r="AR89" s="443" t="str">
        <f t="shared" si="111"/>
        <v>—</v>
      </c>
      <c r="AS89" s="443" t="str">
        <f t="shared" si="111"/>
        <v>—</v>
      </c>
      <c r="AT89" s="443" t="str">
        <f t="shared" si="111"/>
        <v>—</v>
      </c>
    </row>
    <row r="90" spans="1:47" s="406" customFormat="1" ht="15" customHeight="1">
      <c r="A90" s="454"/>
      <c r="B90" s="474"/>
      <c r="C90" s="436" t="s">
        <v>442</v>
      </c>
      <c r="D90" s="473"/>
      <c r="E90" s="424"/>
      <c r="F90" s="424"/>
      <c r="G90" s="424"/>
      <c r="H90" s="424"/>
      <c r="I90" s="424" t="str">
        <f t="shared" ref="I90:AK90" si="112">IF(ISERROR((I88-E88)/ABS(E88)),"—",(I88-E88)/ABS(E88))</f>
        <v>—</v>
      </c>
      <c r="J90" s="424" t="str">
        <f t="shared" si="112"/>
        <v>—</v>
      </c>
      <c r="K90" s="424" t="str">
        <f t="shared" si="112"/>
        <v>—</v>
      </c>
      <c r="L90" s="424" t="str">
        <f t="shared" si="112"/>
        <v>—</v>
      </c>
      <c r="M90" s="424" t="str">
        <f t="shared" si="112"/>
        <v>—</v>
      </c>
      <c r="N90" s="424" t="str">
        <f t="shared" si="112"/>
        <v>—</v>
      </c>
      <c r="O90" s="424" t="str">
        <f t="shared" si="112"/>
        <v>—</v>
      </c>
      <c r="P90" s="424" t="str">
        <f t="shared" si="112"/>
        <v>—</v>
      </c>
      <c r="Q90" s="424" t="str">
        <f t="shared" si="112"/>
        <v>—</v>
      </c>
      <c r="R90" s="424" t="str">
        <f t="shared" si="112"/>
        <v>—</v>
      </c>
      <c r="S90" s="424" t="str">
        <f t="shared" si="112"/>
        <v>—</v>
      </c>
      <c r="T90" s="424" t="str">
        <f t="shared" si="112"/>
        <v>—</v>
      </c>
      <c r="U90" s="424" t="str">
        <f t="shared" si="112"/>
        <v>—</v>
      </c>
      <c r="V90" s="424" t="str">
        <f t="shared" si="112"/>
        <v>—</v>
      </c>
      <c r="W90" s="424" t="str">
        <f t="shared" si="112"/>
        <v>—</v>
      </c>
      <c r="X90" s="424" t="str">
        <f t="shared" si="112"/>
        <v>—</v>
      </c>
      <c r="Y90" s="424" t="str">
        <f t="shared" si="112"/>
        <v>—</v>
      </c>
      <c r="Z90" s="424" t="str">
        <f t="shared" si="112"/>
        <v>—</v>
      </c>
      <c r="AA90" s="424" t="str">
        <f t="shared" si="112"/>
        <v>—</v>
      </c>
      <c r="AB90" s="424" t="str">
        <f t="shared" si="112"/>
        <v>—</v>
      </c>
      <c r="AC90" s="424" t="str">
        <f t="shared" si="112"/>
        <v>—</v>
      </c>
      <c r="AD90" s="424" t="str">
        <f t="shared" si="112"/>
        <v>—</v>
      </c>
      <c r="AE90" s="424" t="str">
        <f t="shared" si="112"/>
        <v>—</v>
      </c>
      <c r="AF90" s="424" t="str">
        <f t="shared" si="112"/>
        <v>—</v>
      </c>
      <c r="AG90" s="424" t="str">
        <f t="shared" si="112"/>
        <v>—</v>
      </c>
      <c r="AH90" s="424" t="str">
        <f t="shared" si="112"/>
        <v>—</v>
      </c>
      <c r="AI90" s="424" t="str">
        <f t="shared" si="112"/>
        <v>—</v>
      </c>
      <c r="AJ90" s="424" t="str">
        <f t="shared" si="112"/>
        <v>—</v>
      </c>
      <c r="AK90" s="424" t="str">
        <f t="shared" si="112"/>
        <v>—</v>
      </c>
      <c r="AL90" s="424" t="str">
        <f>IF(ISERROR((AL88-AK88)/ABS(AK88)),"—",(AL88-AK88)/ABS(AK88))</f>
        <v>—</v>
      </c>
      <c r="AM90" s="424" t="str">
        <f t="shared" ref="AM90:AT90" si="113">IF(ISERROR((AM88-AL88)/ABS(AL88)),"—",(AM88-AL88)/ABS(AL88))</f>
        <v>—</v>
      </c>
      <c r="AN90" s="424" t="str">
        <f t="shared" si="113"/>
        <v>—</v>
      </c>
      <c r="AO90" s="424" t="str">
        <f t="shared" si="113"/>
        <v>—</v>
      </c>
      <c r="AP90" s="424" t="str">
        <f t="shared" si="113"/>
        <v>—</v>
      </c>
      <c r="AQ90" s="424" t="str">
        <f t="shared" si="113"/>
        <v>—</v>
      </c>
      <c r="AR90" s="424" t="str">
        <f t="shared" si="113"/>
        <v>—</v>
      </c>
      <c r="AS90" s="424" t="str">
        <f t="shared" si="113"/>
        <v>—</v>
      </c>
      <c r="AT90" s="424" t="str">
        <f t="shared" si="113"/>
        <v>—</v>
      </c>
    </row>
    <row r="91" spans="1:47" s="161" customFormat="1" ht="15" customHeight="1">
      <c r="A91" s="97"/>
      <c r="B91" s="130" t="s">
        <v>463</v>
      </c>
      <c r="C91" s="451"/>
      <c r="D91" s="473"/>
      <c r="E91" s="188">
        <f>(财务基础数据!J38)*目录!$D$6</f>
        <v>0</v>
      </c>
      <c r="F91" s="188">
        <f>(财务基础数据!K38)*目录!$D$6</f>
        <v>0</v>
      </c>
      <c r="G91" s="188">
        <f>(财务基础数据!L38)*目录!$D$6</f>
        <v>0</v>
      </c>
      <c r="H91" s="188">
        <f>(财务基础数据!M38)*目录!$D$6</f>
        <v>0</v>
      </c>
      <c r="I91" s="188">
        <f>(财务基础数据!N38)*目录!$D$6</f>
        <v>0</v>
      </c>
      <c r="J91" s="188">
        <f>(财务基础数据!O38)*目录!$D$6</f>
        <v>0</v>
      </c>
      <c r="K91" s="188">
        <f>(财务基础数据!P38)*目录!$D$6</f>
        <v>0</v>
      </c>
      <c r="L91" s="188">
        <f>(财务基础数据!Q38)*目录!$D$6</f>
        <v>0</v>
      </c>
      <c r="M91" s="188">
        <f>(财务基础数据!R38)*目录!$D$6</f>
        <v>0</v>
      </c>
      <c r="N91" s="188">
        <f>(财务基础数据!S38)*目录!$D$6</f>
        <v>0</v>
      </c>
      <c r="O91" s="188">
        <f>(财务基础数据!T38)*目录!$D$6</f>
        <v>0</v>
      </c>
      <c r="P91" s="188">
        <f>(财务基础数据!U38)*目录!$D$6</f>
        <v>0</v>
      </c>
      <c r="Q91" s="188">
        <f>(财务基础数据!V38)*目录!$D$6</f>
        <v>0</v>
      </c>
      <c r="R91" s="188">
        <f>(财务基础数据!W38)*目录!$D$6</f>
        <v>0</v>
      </c>
      <c r="S91" s="188">
        <f>(财务基础数据!X38)*目录!$D$6</f>
        <v>0</v>
      </c>
      <c r="T91" s="188">
        <f>(财务基础数据!Y38)*目录!$D$6</f>
        <v>0</v>
      </c>
      <c r="U91" s="188">
        <f>(财务基础数据!Z38)*目录!$D$6</f>
        <v>0</v>
      </c>
      <c r="V91" s="188">
        <f>(财务基础数据!AA38)*目录!$D$6</f>
        <v>0</v>
      </c>
      <c r="W91" s="188">
        <f>(财务基础数据!AB38)*目录!$D$6</f>
        <v>0</v>
      </c>
      <c r="X91" s="188">
        <f>(财务基础数据!AC38)*目录!$D$6</f>
        <v>0</v>
      </c>
      <c r="Y91" s="188">
        <f>(财务基础数据!AD38)*目录!$D$6</f>
        <v>0</v>
      </c>
      <c r="Z91" s="188">
        <f>(财务基础数据!AE38)*目录!$D$6</f>
        <v>0</v>
      </c>
      <c r="AA91" s="188">
        <f>(财务基础数据!AF38)*目录!$D$6</f>
        <v>0</v>
      </c>
      <c r="AB91" s="188">
        <f>(财务基础数据!AG38)*目录!$D$6</f>
        <v>0</v>
      </c>
      <c r="AC91" s="188">
        <f>(财务基础数据!AH38)*目录!$D$6</f>
        <v>0</v>
      </c>
      <c r="AD91" s="188">
        <f>(财务基础数据!AI38)*目录!$D$6</f>
        <v>0</v>
      </c>
      <c r="AE91" s="188">
        <f>(财务基础数据!AJ38)*目录!$D$6</f>
        <v>0</v>
      </c>
      <c r="AF91" s="188">
        <f>(财务基础数据!AK38)*目录!$D$6</f>
        <v>0</v>
      </c>
      <c r="AG91" s="188">
        <f>(财务基础数据!AL38)*目录!$D$6</f>
        <v>0</v>
      </c>
      <c r="AH91" s="188">
        <f>(财务基础数据!AM38)*目录!$D$6</f>
        <v>0</v>
      </c>
      <c r="AI91" s="188">
        <f>(财务基础数据!AN38)*目录!$D$6</f>
        <v>0</v>
      </c>
      <c r="AJ91" s="188">
        <f>(财务基础数据!AO38)*目录!$D$6</f>
        <v>0</v>
      </c>
      <c r="AK91" s="118">
        <f>IF(ISERROR(销售预测!L50),"—",销售预测!L50)</f>
        <v>0</v>
      </c>
      <c r="AL91" s="188">
        <f>IF(ISERROR(销售预测!M50),"—",销售预测!M50)</f>
        <v>0</v>
      </c>
      <c r="AM91" s="188">
        <f>IF(ISERROR(销售预测!N50),"—",销售预测!N50)</f>
        <v>0</v>
      </c>
      <c r="AN91" s="188">
        <f>IF(ISERROR(销售预测!O50),"—",销售预测!O50)</f>
        <v>0</v>
      </c>
      <c r="AO91" s="188">
        <f>IF(ISERROR(销售预测!P50),"—",销售预测!P50)</f>
        <v>0</v>
      </c>
      <c r="AP91" s="188">
        <f>IF(ISERROR(销售预测!Q50),"—",销售预测!Q50)</f>
        <v>0</v>
      </c>
      <c r="AQ91" s="188">
        <f>IF(ISERROR(销售预测!R50),"—",销售预测!R50)</f>
        <v>0</v>
      </c>
      <c r="AR91" s="188">
        <f>IF(ISERROR(销售预测!S50),"—",销售预测!S50)</f>
        <v>0</v>
      </c>
      <c r="AS91" s="188">
        <f>IF(ISERROR(销售预测!T50),"—",销售预测!T50)</f>
        <v>0</v>
      </c>
      <c r="AT91" s="188">
        <f>IF(ISERROR(销售预测!U50),"—",销售预测!U50)</f>
        <v>0</v>
      </c>
    </row>
    <row r="92" spans="1:47" s="400" customFormat="1" ht="15" customHeight="1">
      <c r="A92" s="426"/>
      <c r="B92" s="125"/>
      <c r="C92" s="431" t="s">
        <v>464</v>
      </c>
      <c r="D92" s="432"/>
      <c r="E92" s="448" t="str">
        <f t="shared" ref="E92:AJ92" si="114">IF(ISERROR(E91/E88),"—",E91/E88)</f>
        <v>—</v>
      </c>
      <c r="F92" s="448" t="str">
        <f t="shared" si="114"/>
        <v>—</v>
      </c>
      <c r="G92" s="448" t="str">
        <f t="shared" si="114"/>
        <v>—</v>
      </c>
      <c r="H92" s="448" t="str">
        <f t="shared" si="114"/>
        <v>—</v>
      </c>
      <c r="I92" s="448" t="str">
        <f t="shared" si="114"/>
        <v>—</v>
      </c>
      <c r="J92" s="448" t="str">
        <f t="shared" si="114"/>
        <v>—</v>
      </c>
      <c r="K92" s="448" t="str">
        <f t="shared" si="114"/>
        <v>—</v>
      </c>
      <c r="L92" s="448" t="str">
        <f t="shared" si="114"/>
        <v>—</v>
      </c>
      <c r="M92" s="448" t="str">
        <f t="shared" si="114"/>
        <v>—</v>
      </c>
      <c r="N92" s="448" t="str">
        <f t="shared" si="114"/>
        <v>—</v>
      </c>
      <c r="O92" s="448" t="str">
        <f t="shared" si="114"/>
        <v>—</v>
      </c>
      <c r="P92" s="448" t="str">
        <f t="shared" si="114"/>
        <v>—</v>
      </c>
      <c r="Q92" s="448" t="str">
        <f t="shared" si="114"/>
        <v>—</v>
      </c>
      <c r="R92" s="448" t="str">
        <f t="shared" si="114"/>
        <v>—</v>
      </c>
      <c r="S92" s="448" t="str">
        <f t="shared" si="114"/>
        <v>—</v>
      </c>
      <c r="T92" s="448" t="str">
        <f t="shared" si="114"/>
        <v>—</v>
      </c>
      <c r="U92" s="448" t="str">
        <f t="shared" si="114"/>
        <v>—</v>
      </c>
      <c r="V92" s="448" t="str">
        <f t="shared" si="114"/>
        <v>—</v>
      </c>
      <c r="W92" s="448" t="str">
        <f t="shared" si="114"/>
        <v>—</v>
      </c>
      <c r="X92" s="448" t="str">
        <f t="shared" si="114"/>
        <v>—</v>
      </c>
      <c r="Y92" s="448" t="str">
        <f t="shared" si="114"/>
        <v>—</v>
      </c>
      <c r="Z92" s="448" t="str">
        <f t="shared" si="114"/>
        <v>—</v>
      </c>
      <c r="AA92" s="448" t="str">
        <f t="shared" si="114"/>
        <v>—</v>
      </c>
      <c r="AB92" s="448" t="str">
        <f t="shared" si="114"/>
        <v>—</v>
      </c>
      <c r="AC92" s="448" t="str">
        <f t="shared" si="114"/>
        <v>—</v>
      </c>
      <c r="AD92" s="448" t="str">
        <f t="shared" si="114"/>
        <v>—</v>
      </c>
      <c r="AE92" s="448" t="str">
        <f t="shared" si="114"/>
        <v>—</v>
      </c>
      <c r="AF92" s="448" t="str">
        <f t="shared" si="114"/>
        <v>—</v>
      </c>
      <c r="AG92" s="448" t="str">
        <f t="shared" si="114"/>
        <v>—</v>
      </c>
      <c r="AH92" s="448" t="str">
        <f t="shared" si="114"/>
        <v>—</v>
      </c>
      <c r="AI92" s="448" t="str">
        <f t="shared" si="114"/>
        <v>—</v>
      </c>
      <c r="AJ92" s="448" t="str">
        <f t="shared" si="114"/>
        <v>—</v>
      </c>
      <c r="AK92" s="448" t="str">
        <f t="shared" ref="AK92:AT92" si="115">IF(ISERROR(AK91/AK88),"—",AK91/AK88)</f>
        <v>—</v>
      </c>
      <c r="AL92" s="448" t="str">
        <f t="shared" si="115"/>
        <v>—</v>
      </c>
      <c r="AM92" s="448" t="str">
        <f t="shared" si="115"/>
        <v>—</v>
      </c>
      <c r="AN92" s="448" t="str">
        <f t="shared" si="115"/>
        <v>—</v>
      </c>
      <c r="AO92" s="448" t="str">
        <f t="shared" si="115"/>
        <v>—</v>
      </c>
      <c r="AP92" s="448" t="str">
        <f t="shared" si="115"/>
        <v>—</v>
      </c>
      <c r="AQ92" s="448" t="str">
        <f t="shared" si="115"/>
        <v>—</v>
      </c>
      <c r="AR92" s="448" t="str">
        <f t="shared" si="115"/>
        <v>—</v>
      </c>
      <c r="AS92" s="448" t="str">
        <f t="shared" si="115"/>
        <v>—</v>
      </c>
      <c r="AT92" s="448" t="str">
        <f t="shared" si="115"/>
        <v>—</v>
      </c>
    </row>
    <row r="93" spans="1:47" s="400" customFormat="1" ht="15" customHeight="1">
      <c r="A93" s="426"/>
      <c r="B93" s="475" t="s">
        <v>213</v>
      </c>
      <c r="C93" s="476"/>
      <c r="D93" s="477"/>
      <c r="E93" s="478">
        <f>E88-E91-E94</f>
        <v>0</v>
      </c>
      <c r="F93" s="478">
        <f t="shared" ref="F93:AJ93" si="116">F88-F91-F94</f>
        <v>0</v>
      </c>
      <c r="G93" s="478">
        <f t="shared" si="116"/>
        <v>0</v>
      </c>
      <c r="H93" s="478">
        <f t="shared" si="116"/>
        <v>0</v>
      </c>
      <c r="I93" s="478">
        <f t="shared" si="116"/>
        <v>0</v>
      </c>
      <c r="J93" s="478">
        <f t="shared" si="116"/>
        <v>0</v>
      </c>
      <c r="K93" s="478">
        <f t="shared" si="116"/>
        <v>0</v>
      </c>
      <c r="L93" s="478">
        <f t="shared" si="116"/>
        <v>0</v>
      </c>
      <c r="M93" s="478">
        <f t="shared" si="116"/>
        <v>0</v>
      </c>
      <c r="N93" s="478">
        <f t="shared" si="116"/>
        <v>0</v>
      </c>
      <c r="O93" s="478">
        <f t="shared" si="116"/>
        <v>0</v>
      </c>
      <c r="P93" s="478">
        <f t="shared" si="116"/>
        <v>0</v>
      </c>
      <c r="Q93" s="478">
        <f t="shared" si="116"/>
        <v>0</v>
      </c>
      <c r="R93" s="478">
        <f t="shared" si="116"/>
        <v>0</v>
      </c>
      <c r="S93" s="478">
        <f t="shared" si="116"/>
        <v>0</v>
      </c>
      <c r="T93" s="478">
        <f t="shared" si="116"/>
        <v>0</v>
      </c>
      <c r="U93" s="478">
        <f t="shared" si="116"/>
        <v>0</v>
      </c>
      <c r="V93" s="478">
        <f t="shared" si="116"/>
        <v>0</v>
      </c>
      <c r="W93" s="478">
        <f t="shared" si="116"/>
        <v>0</v>
      </c>
      <c r="X93" s="478">
        <f t="shared" si="116"/>
        <v>0</v>
      </c>
      <c r="Y93" s="478">
        <f t="shared" si="116"/>
        <v>0</v>
      </c>
      <c r="Z93" s="478">
        <f t="shared" si="116"/>
        <v>0</v>
      </c>
      <c r="AA93" s="478">
        <f t="shared" si="116"/>
        <v>0</v>
      </c>
      <c r="AB93" s="478">
        <f t="shared" si="116"/>
        <v>0</v>
      </c>
      <c r="AC93" s="478">
        <f t="shared" si="116"/>
        <v>0</v>
      </c>
      <c r="AD93" s="478">
        <f t="shared" si="116"/>
        <v>0</v>
      </c>
      <c r="AE93" s="478">
        <f t="shared" si="116"/>
        <v>0</v>
      </c>
      <c r="AF93" s="478">
        <f t="shared" si="116"/>
        <v>0</v>
      </c>
      <c r="AG93" s="478">
        <f t="shared" si="116"/>
        <v>0</v>
      </c>
      <c r="AH93" s="478">
        <f t="shared" si="116"/>
        <v>0</v>
      </c>
      <c r="AI93" s="478">
        <f t="shared" si="116"/>
        <v>0</v>
      </c>
      <c r="AJ93" s="478">
        <f t="shared" si="116"/>
        <v>0</v>
      </c>
      <c r="AK93" s="503">
        <f>IF(财务基础数据!$AM$4=0,AG93,IF(财务基础数据!$AM$4=1,AH93,IF(财务基础数据!$AM$4=2,AI93,AJ93)))</f>
        <v>0</v>
      </c>
      <c r="AL93" s="503"/>
      <c r="AM93" s="503"/>
      <c r="AN93" s="503"/>
      <c r="AO93" s="503"/>
      <c r="AP93" s="503"/>
      <c r="AQ93" s="503"/>
      <c r="AR93" s="503"/>
      <c r="AS93" s="503"/>
      <c r="AT93" s="503"/>
    </row>
    <row r="94" spans="1:47" s="405" customFormat="1" ht="15" customHeight="1">
      <c r="A94" s="97"/>
      <c r="B94" s="112" t="s">
        <v>356</v>
      </c>
      <c r="C94" s="112"/>
      <c r="D94" s="467"/>
      <c r="E94" s="479">
        <f>财务基础数据!J39*目录!$D$6</f>
        <v>0</v>
      </c>
      <c r="F94" s="479">
        <f>财务基础数据!K39*目录!$D$6</f>
        <v>0</v>
      </c>
      <c r="G94" s="479">
        <f>财务基础数据!L39*目录!$D$6</f>
        <v>0</v>
      </c>
      <c r="H94" s="479">
        <f>财务基础数据!M39*目录!$D$6</f>
        <v>0</v>
      </c>
      <c r="I94" s="479">
        <f>财务基础数据!N39*目录!$D$6</f>
        <v>0</v>
      </c>
      <c r="J94" s="479">
        <f>财务基础数据!O39*目录!$D$6</f>
        <v>0</v>
      </c>
      <c r="K94" s="479">
        <f>财务基础数据!P39*目录!$D$6</f>
        <v>0</v>
      </c>
      <c r="L94" s="479">
        <f>财务基础数据!Q39*目录!$D$6</f>
        <v>0</v>
      </c>
      <c r="M94" s="479">
        <f>财务基础数据!R39*目录!$D$6</f>
        <v>0</v>
      </c>
      <c r="N94" s="479">
        <f>财务基础数据!S39*目录!$D$6</f>
        <v>0</v>
      </c>
      <c r="O94" s="479">
        <f>财务基础数据!T39*目录!$D$6</f>
        <v>0</v>
      </c>
      <c r="P94" s="479">
        <f>财务基础数据!U39*目录!$D$6</f>
        <v>0</v>
      </c>
      <c r="Q94" s="479">
        <f>财务基础数据!V39*目录!$D$6</f>
        <v>0</v>
      </c>
      <c r="R94" s="479">
        <f>财务基础数据!W39*目录!$D$6</f>
        <v>0</v>
      </c>
      <c r="S94" s="479">
        <f>财务基础数据!X39*目录!$D$6</f>
        <v>0</v>
      </c>
      <c r="T94" s="479">
        <f>财务基础数据!Y39*目录!$D$6</f>
        <v>0</v>
      </c>
      <c r="U94" s="479">
        <f>财务基础数据!Z39*目录!$D$6</f>
        <v>0</v>
      </c>
      <c r="V94" s="479">
        <f>财务基础数据!AA39*目录!$D$6</f>
        <v>0</v>
      </c>
      <c r="W94" s="479">
        <f>财务基础数据!AB39*目录!$D$6</f>
        <v>0</v>
      </c>
      <c r="X94" s="479">
        <f>财务基础数据!AC39*目录!$D$6</f>
        <v>0</v>
      </c>
      <c r="Y94" s="479">
        <f>财务基础数据!AD39*目录!$D$6</f>
        <v>0</v>
      </c>
      <c r="Z94" s="479">
        <f>财务基础数据!AE39*目录!$D$6</f>
        <v>0</v>
      </c>
      <c r="AA94" s="479">
        <f>财务基础数据!AF39*目录!$D$6</f>
        <v>0</v>
      </c>
      <c r="AB94" s="479">
        <f>财务基础数据!AG39*目录!$D$6</f>
        <v>0</v>
      </c>
      <c r="AC94" s="479">
        <f>财务基础数据!AH39*目录!$D$6</f>
        <v>0</v>
      </c>
      <c r="AD94" s="479">
        <f>财务基础数据!AI39*目录!$D$6</f>
        <v>0</v>
      </c>
      <c r="AE94" s="479">
        <f>财务基础数据!AJ39*目录!$D$6</f>
        <v>0</v>
      </c>
      <c r="AF94" s="479">
        <f>财务基础数据!AK39*目录!$D$6</f>
        <v>0</v>
      </c>
      <c r="AG94" s="479">
        <f>财务基础数据!AL39*目录!$D$6</f>
        <v>0</v>
      </c>
      <c r="AH94" s="479">
        <f>财务基础数据!AM39*目录!$D$6</f>
        <v>0</v>
      </c>
      <c r="AI94" s="479">
        <f>财务基础数据!AN39*目录!$D$6</f>
        <v>0</v>
      </c>
      <c r="AJ94" s="479">
        <f>财务基础数据!AO39*目录!$D$6</f>
        <v>0</v>
      </c>
      <c r="AK94" s="504">
        <f t="shared" ref="AK94:AT94" si="117">IF(ISERROR(AK88-AK91-AK93),0,AK88-AK91-AK93)</f>
        <v>0</v>
      </c>
      <c r="AL94" s="504">
        <f t="shared" si="117"/>
        <v>0</v>
      </c>
      <c r="AM94" s="504">
        <f t="shared" si="117"/>
        <v>0</v>
      </c>
      <c r="AN94" s="504">
        <f t="shared" si="117"/>
        <v>0</v>
      </c>
      <c r="AO94" s="504">
        <f t="shared" si="117"/>
        <v>0</v>
      </c>
      <c r="AP94" s="504">
        <f t="shared" si="117"/>
        <v>0</v>
      </c>
      <c r="AQ94" s="504">
        <f t="shared" si="117"/>
        <v>0</v>
      </c>
      <c r="AR94" s="504">
        <f t="shared" si="117"/>
        <v>0</v>
      </c>
      <c r="AS94" s="504">
        <f t="shared" si="117"/>
        <v>0</v>
      </c>
      <c r="AT94" s="504">
        <f t="shared" si="117"/>
        <v>0</v>
      </c>
    </row>
    <row r="95" spans="1:47" s="405" customFormat="1" ht="15" customHeight="1">
      <c r="A95" s="480"/>
      <c r="B95" s="481"/>
      <c r="C95" s="451" t="s">
        <v>449</v>
      </c>
      <c r="D95" s="482"/>
      <c r="E95" s="443" t="str">
        <f>IF(ISERROR(E94/E8),"—",E94/E8)</f>
        <v>—</v>
      </c>
      <c r="F95" s="443" t="str">
        <f t="shared" ref="F95:AT95" si="118">IF(ISERROR(F94/F8),"—",F94/F8)</f>
        <v>—</v>
      </c>
      <c r="G95" s="443" t="str">
        <f t="shared" si="118"/>
        <v>—</v>
      </c>
      <c r="H95" s="443" t="str">
        <f t="shared" si="118"/>
        <v>—</v>
      </c>
      <c r="I95" s="443" t="str">
        <f t="shared" si="118"/>
        <v>—</v>
      </c>
      <c r="J95" s="443" t="str">
        <f t="shared" si="118"/>
        <v>—</v>
      </c>
      <c r="K95" s="443" t="str">
        <f t="shared" si="118"/>
        <v>—</v>
      </c>
      <c r="L95" s="443" t="str">
        <f t="shared" si="118"/>
        <v>—</v>
      </c>
      <c r="M95" s="443" t="str">
        <f t="shared" si="118"/>
        <v>—</v>
      </c>
      <c r="N95" s="443" t="str">
        <f t="shared" si="118"/>
        <v>—</v>
      </c>
      <c r="O95" s="443" t="str">
        <f t="shared" si="118"/>
        <v>—</v>
      </c>
      <c r="P95" s="443" t="str">
        <f t="shared" si="118"/>
        <v>—</v>
      </c>
      <c r="Q95" s="443" t="str">
        <f t="shared" si="118"/>
        <v>—</v>
      </c>
      <c r="R95" s="443" t="str">
        <f t="shared" si="118"/>
        <v>—</v>
      </c>
      <c r="S95" s="443" t="str">
        <f t="shared" si="118"/>
        <v>—</v>
      </c>
      <c r="T95" s="443" t="str">
        <f t="shared" si="118"/>
        <v>—</v>
      </c>
      <c r="U95" s="443" t="str">
        <f t="shared" si="118"/>
        <v>—</v>
      </c>
      <c r="V95" s="443" t="str">
        <f t="shared" si="118"/>
        <v>—</v>
      </c>
      <c r="W95" s="443" t="str">
        <f t="shared" si="118"/>
        <v>—</v>
      </c>
      <c r="X95" s="443" t="str">
        <f t="shared" si="118"/>
        <v>—</v>
      </c>
      <c r="Y95" s="443" t="str">
        <f t="shared" si="118"/>
        <v>—</v>
      </c>
      <c r="Z95" s="443" t="str">
        <f t="shared" si="118"/>
        <v>—</v>
      </c>
      <c r="AA95" s="443" t="str">
        <f t="shared" si="118"/>
        <v>—</v>
      </c>
      <c r="AB95" s="443" t="str">
        <f t="shared" si="118"/>
        <v>—</v>
      </c>
      <c r="AC95" s="443" t="str">
        <f t="shared" si="118"/>
        <v>—</v>
      </c>
      <c r="AD95" s="443" t="str">
        <f t="shared" si="118"/>
        <v>—</v>
      </c>
      <c r="AE95" s="443" t="str">
        <f t="shared" si="118"/>
        <v>—</v>
      </c>
      <c r="AF95" s="443" t="str">
        <f t="shared" si="118"/>
        <v>—</v>
      </c>
      <c r="AG95" s="443" t="str">
        <f t="shared" si="118"/>
        <v>—</v>
      </c>
      <c r="AH95" s="443" t="str">
        <f t="shared" si="118"/>
        <v>—</v>
      </c>
      <c r="AI95" s="443" t="str">
        <f t="shared" si="118"/>
        <v>—</v>
      </c>
      <c r="AJ95" s="443" t="str">
        <f t="shared" si="118"/>
        <v>—</v>
      </c>
      <c r="AK95" s="443" t="str">
        <f t="shared" si="118"/>
        <v>—</v>
      </c>
      <c r="AL95" s="443" t="str">
        <f t="shared" si="118"/>
        <v>—</v>
      </c>
      <c r="AM95" s="443" t="str">
        <f t="shared" si="118"/>
        <v>—</v>
      </c>
      <c r="AN95" s="443" t="str">
        <f t="shared" si="118"/>
        <v>—</v>
      </c>
      <c r="AO95" s="443" t="str">
        <f t="shared" si="118"/>
        <v>—</v>
      </c>
      <c r="AP95" s="443" t="str">
        <f t="shared" si="118"/>
        <v>—</v>
      </c>
      <c r="AQ95" s="443" t="str">
        <f t="shared" si="118"/>
        <v>—</v>
      </c>
      <c r="AR95" s="443" t="str">
        <f t="shared" si="118"/>
        <v>—</v>
      </c>
      <c r="AS95" s="443" t="str">
        <f t="shared" si="118"/>
        <v>—</v>
      </c>
      <c r="AT95" s="443" t="str">
        <f t="shared" si="118"/>
        <v>—</v>
      </c>
      <c r="AU95" s="443"/>
    </row>
    <row r="96" spans="1:47" s="406" customFormat="1" ht="15" customHeight="1">
      <c r="A96" s="454"/>
      <c r="B96" s="483"/>
      <c r="C96" s="483" t="s">
        <v>442</v>
      </c>
      <c r="D96" s="484"/>
      <c r="E96" s="485"/>
      <c r="F96" s="485"/>
      <c r="G96" s="485"/>
      <c r="H96" s="485"/>
      <c r="I96" s="485" t="str">
        <f>IF(ISERROR((I94-E94)/ABS(E94)),"—",(I94-E94)/ABS(E94))</f>
        <v>—</v>
      </c>
      <c r="J96" s="485" t="str">
        <f t="shared" ref="J96:AK96" si="119">IF(ISERROR((J94-F94)/ABS(F94)),"—",(J94-F94)/ABS(F94))</f>
        <v>—</v>
      </c>
      <c r="K96" s="485" t="str">
        <f t="shared" si="119"/>
        <v>—</v>
      </c>
      <c r="L96" s="485" t="str">
        <f t="shared" si="119"/>
        <v>—</v>
      </c>
      <c r="M96" s="485" t="str">
        <f t="shared" si="119"/>
        <v>—</v>
      </c>
      <c r="N96" s="485" t="str">
        <f t="shared" si="119"/>
        <v>—</v>
      </c>
      <c r="O96" s="485" t="str">
        <f t="shared" si="119"/>
        <v>—</v>
      </c>
      <c r="P96" s="485" t="str">
        <f t="shared" si="119"/>
        <v>—</v>
      </c>
      <c r="Q96" s="485" t="str">
        <f t="shared" si="119"/>
        <v>—</v>
      </c>
      <c r="R96" s="485" t="str">
        <f t="shared" si="119"/>
        <v>—</v>
      </c>
      <c r="S96" s="485" t="str">
        <f t="shared" si="119"/>
        <v>—</v>
      </c>
      <c r="T96" s="485" t="str">
        <f t="shared" si="119"/>
        <v>—</v>
      </c>
      <c r="U96" s="485" t="str">
        <f t="shared" si="119"/>
        <v>—</v>
      </c>
      <c r="V96" s="485" t="str">
        <f t="shared" si="119"/>
        <v>—</v>
      </c>
      <c r="W96" s="485" t="str">
        <f t="shared" si="119"/>
        <v>—</v>
      </c>
      <c r="X96" s="485" t="str">
        <f t="shared" si="119"/>
        <v>—</v>
      </c>
      <c r="Y96" s="485" t="str">
        <f t="shared" si="119"/>
        <v>—</v>
      </c>
      <c r="Z96" s="485" t="str">
        <f t="shared" si="119"/>
        <v>—</v>
      </c>
      <c r="AA96" s="485" t="str">
        <f t="shared" si="119"/>
        <v>—</v>
      </c>
      <c r="AB96" s="485" t="str">
        <f t="shared" si="119"/>
        <v>—</v>
      </c>
      <c r="AC96" s="485" t="str">
        <f t="shared" si="119"/>
        <v>—</v>
      </c>
      <c r="AD96" s="485" t="str">
        <f t="shared" si="119"/>
        <v>—</v>
      </c>
      <c r="AE96" s="485" t="str">
        <f t="shared" si="119"/>
        <v>—</v>
      </c>
      <c r="AF96" s="485" t="str">
        <f t="shared" si="119"/>
        <v>—</v>
      </c>
      <c r="AG96" s="485" t="str">
        <f t="shared" si="119"/>
        <v>—</v>
      </c>
      <c r="AH96" s="485" t="str">
        <f t="shared" si="119"/>
        <v>—</v>
      </c>
      <c r="AI96" s="485" t="str">
        <f t="shared" si="119"/>
        <v>—</v>
      </c>
      <c r="AJ96" s="485" t="str">
        <f t="shared" si="119"/>
        <v>—</v>
      </c>
      <c r="AK96" s="505" t="str">
        <f t="shared" si="119"/>
        <v>—</v>
      </c>
      <c r="AL96" s="505" t="str">
        <f>IF(ISERROR((AL94-AK94)/ABS(AK94)),"—",(AL94-AK94)/ABS(AK94))</f>
        <v>—</v>
      </c>
      <c r="AM96" s="505" t="str">
        <f t="shared" ref="AM96:AT96" si="120">IF(ISERROR((AM94-AL94)/ABS(AL94)),"—",(AM94-AL94)/ABS(AL94))</f>
        <v>—</v>
      </c>
      <c r="AN96" s="505" t="str">
        <f t="shared" si="120"/>
        <v>—</v>
      </c>
      <c r="AO96" s="505" t="str">
        <f t="shared" si="120"/>
        <v>—</v>
      </c>
      <c r="AP96" s="505" t="str">
        <f t="shared" si="120"/>
        <v>—</v>
      </c>
      <c r="AQ96" s="505" t="str">
        <f t="shared" si="120"/>
        <v>—</v>
      </c>
      <c r="AR96" s="505" t="str">
        <f t="shared" si="120"/>
        <v>—</v>
      </c>
      <c r="AS96" s="505" t="str">
        <f t="shared" si="120"/>
        <v>—</v>
      </c>
      <c r="AT96" s="505" t="str">
        <f t="shared" si="120"/>
        <v>—</v>
      </c>
    </row>
    <row r="97" spans="1:48" ht="15" customHeight="1">
      <c r="B97" s="130"/>
      <c r="C97" s="130"/>
      <c r="D97" s="419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500"/>
      <c r="Q97" s="500"/>
      <c r="R97" s="500"/>
      <c r="S97" s="500"/>
      <c r="T97" s="500"/>
      <c r="U97" s="500"/>
      <c r="V97" s="500"/>
      <c r="W97" s="500"/>
      <c r="X97" s="500"/>
      <c r="Y97" s="500"/>
      <c r="Z97" s="500"/>
      <c r="AA97" s="500"/>
      <c r="AB97" s="500"/>
      <c r="AC97" s="500"/>
      <c r="AD97" s="500"/>
      <c r="AE97" s="500"/>
      <c r="AF97" s="500"/>
      <c r="AG97" s="500"/>
      <c r="AH97" s="500"/>
      <c r="AI97" s="500"/>
      <c r="AJ97" s="500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</row>
    <row r="98" spans="1:48" ht="15" customHeight="1">
      <c r="B98" s="130" t="s">
        <v>465</v>
      </c>
      <c r="C98" s="130"/>
      <c r="D98" s="419"/>
      <c r="E98" s="188">
        <f t="shared" ref="E98:AJ98" si="121">E94-E99</f>
        <v>0</v>
      </c>
      <c r="F98" s="188">
        <f t="shared" si="121"/>
        <v>0</v>
      </c>
      <c r="G98" s="188">
        <f t="shared" si="121"/>
        <v>0</v>
      </c>
      <c r="H98" s="188">
        <f t="shared" si="121"/>
        <v>0</v>
      </c>
      <c r="I98" s="188">
        <f t="shared" si="121"/>
        <v>0</v>
      </c>
      <c r="J98" s="188">
        <f t="shared" si="121"/>
        <v>0</v>
      </c>
      <c r="K98" s="188">
        <f t="shared" si="121"/>
        <v>0</v>
      </c>
      <c r="L98" s="188">
        <f t="shared" si="121"/>
        <v>0</v>
      </c>
      <c r="M98" s="188">
        <f t="shared" si="121"/>
        <v>0</v>
      </c>
      <c r="N98" s="188">
        <f t="shared" si="121"/>
        <v>0</v>
      </c>
      <c r="O98" s="188">
        <f t="shared" si="121"/>
        <v>0</v>
      </c>
      <c r="P98" s="188">
        <f t="shared" si="121"/>
        <v>0</v>
      </c>
      <c r="Q98" s="188">
        <f t="shared" si="121"/>
        <v>0</v>
      </c>
      <c r="R98" s="188">
        <f t="shared" si="121"/>
        <v>0</v>
      </c>
      <c r="S98" s="188">
        <f t="shared" si="121"/>
        <v>0</v>
      </c>
      <c r="T98" s="188">
        <f t="shared" si="121"/>
        <v>0</v>
      </c>
      <c r="U98" s="188">
        <f t="shared" si="121"/>
        <v>0</v>
      </c>
      <c r="V98" s="188">
        <f t="shared" si="121"/>
        <v>0</v>
      </c>
      <c r="W98" s="188">
        <f t="shared" si="121"/>
        <v>0</v>
      </c>
      <c r="X98" s="188">
        <f t="shared" si="121"/>
        <v>0</v>
      </c>
      <c r="Y98" s="188">
        <f t="shared" si="121"/>
        <v>0</v>
      </c>
      <c r="Z98" s="188">
        <f t="shared" si="121"/>
        <v>0</v>
      </c>
      <c r="AA98" s="188">
        <f t="shared" si="121"/>
        <v>0</v>
      </c>
      <c r="AB98" s="188">
        <f t="shared" si="121"/>
        <v>0</v>
      </c>
      <c r="AC98" s="118">
        <f t="shared" si="121"/>
        <v>0</v>
      </c>
      <c r="AD98" s="188">
        <f t="shared" si="121"/>
        <v>0</v>
      </c>
      <c r="AE98" s="188">
        <f t="shared" si="121"/>
        <v>0</v>
      </c>
      <c r="AF98" s="188">
        <f t="shared" si="121"/>
        <v>0</v>
      </c>
      <c r="AG98" s="188">
        <f t="shared" si="121"/>
        <v>0</v>
      </c>
      <c r="AH98" s="188">
        <f t="shared" si="121"/>
        <v>0</v>
      </c>
      <c r="AI98" s="188">
        <f t="shared" si="121"/>
        <v>0</v>
      </c>
      <c r="AJ98" s="188">
        <f t="shared" si="121"/>
        <v>0</v>
      </c>
      <c r="AK98" s="463">
        <f>IF(财务基础数据!$AM$4=0,AG98,IF(财务基础数据!$AM$4=1,AH98,IF(财务基础数据!$AM$4=2,AI98,AJ98)))</f>
        <v>0</v>
      </c>
      <c r="AL98" s="463"/>
      <c r="AM98" s="463"/>
      <c r="AN98" s="463"/>
      <c r="AO98" s="463"/>
      <c r="AP98" s="463"/>
      <c r="AQ98" s="463"/>
      <c r="AR98" s="463"/>
      <c r="AS98" s="463"/>
      <c r="AT98" s="463"/>
      <c r="AU98" s="398"/>
    </row>
    <row r="99" spans="1:48" s="161" customFormat="1" ht="15" customHeight="1">
      <c r="A99" s="162"/>
      <c r="B99" s="112" t="s">
        <v>466</v>
      </c>
      <c r="C99" s="112"/>
      <c r="D99" s="467"/>
      <c r="E99" s="486">
        <f>财务基础数据!J40*目录!$D$6</f>
        <v>0</v>
      </c>
      <c r="F99" s="486">
        <f>财务基础数据!K40*目录!$D$6</f>
        <v>0</v>
      </c>
      <c r="G99" s="486">
        <f>财务基础数据!L40*目录!$D$6</f>
        <v>0</v>
      </c>
      <c r="H99" s="486">
        <f>财务基础数据!M40*目录!$D$6</f>
        <v>0</v>
      </c>
      <c r="I99" s="486">
        <f>财务基础数据!N40*目录!$D$6</f>
        <v>0</v>
      </c>
      <c r="J99" s="486">
        <f>财务基础数据!O40*目录!$D$6</f>
        <v>0</v>
      </c>
      <c r="K99" s="486">
        <f>财务基础数据!P40*目录!$D$6</f>
        <v>0</v>
      </c>
      <c r="L99" s="486">
        <f>财务基础数据!Q40*目录!$D$6</f>
        <v>0</v>
      </c>
      <c r="M99" s="486">
        <f>财务基础数据!R40*目录!$D$6</f>
        <v>0</v>
      </c>
      <c r="N99" s="486">
        <f>财务基础数据!S40*目录!$D$6</f>
        <v>0</v>
      </c>
      <c r="O99" s="486">
        <f>财务基础数据!T40*目录!$D$6</f>
        <v>0</v>
      </c>
      <c r="P99" s="486">
        <f>财务基础数据!U40*目录!$D$6</f>
        <v>0</v>
      </c>
      <c r="Q99" s="486">
        <f>财务基础数据!V40*目录!$D$6</f>
        <v>0</v>
      </c>
      <c r="R99" s="486">
        <f>财务基础数据!W40*目录!$D$6</f>
        <v>0</v>
      </c>
      <c r="S99" s="486">
        <f>财务基础数据!X40*目录!$D$6</f>
        <v>0</v>
      </c>
      <c r="T99" s="486">
        <f>财务基础数据!Y40*目录!$D$6</f>
        <v>0</v>
      </c>
      <c r="U99" s="486">
        <f>财务基础数据!Z40*目录!$D$6</f>
        <v>0</v>
      </c>
      <c r="V99" s="486">
        <f>财务基础数据!AA40*目录!$D$6</f>
        <v>0</v>
      </c>
      <c r="W99" s="486">
        <f>财务基础数据!AB40*目录!$D$6</f>
        <v>0</v>
      </c>
      <c r="X99" s="486">
        <f>财务基础数据!AC40*目录!$D$6</f>
        <v>0</v>
      </c>
      <c r="Y99" s="486">
        <f>财务基础数据!AD40*目录!$D$6</f>
        <v>0</v>
      </c>
      <c r="Z99" s="486">
        <f>财务基础数据!AE40*目录!$D$6</f>
        <v>0</v>
      </c>
      <c r="AA99" s="486">
        <f>财务基础数据!AF40*目录!$D$6</f>
        <v>0</v>
      </c>
      <c r="AB99" s="486">
        <f>财务基础数据!AG40*目录!$D$6</f>
        <v>0</v>
      </c>
      <c r="AC99" s="486">
        <f>财务基础数据!AH40*目录!$D$6</f>
        <v>0</v>
      </c>
      <c r="AD99" s="486">
        <f>财务基础数据!AI40*目录!$D$6</f>
        <v>0</v>
      </c>
      <c r="AE99" s="486">
        <f>财务基础数据!AJ40*目录!$D$6</f>
        <v>0</v>
      </c>
      <c r="AF99" s="486">
        <f>财务基础数据!AK40*目录!$D$6</f>
        <v>0</v>
      </c>
      <c r="AG99" s="486">
        <f>财务基础数据!AL40*目录!$D$6</f>
        <v>0</v>
      </c>
      <c r="AH99" s="486">
        <f>财务基础数据!AM40*目录!$D$6</f>
        <v>0</v>
      </c>
      <c r="AI99" s="486">
        <f>财务基础数据!AN40*目录!$D$6</f>
        <v>0</v>
      </c>
      <c r="AJ99" s="486">
        <f>财务基础数据!AO40*目录!$D$6</f>
        <v>0</v>
      </c>
      <c r="AK99" s="486">
        <f>AK94-AK98</f>
        <v>0</v>
      </c>
      <c r="AL99" s="486">
        <f t="shared" ref="AL99:AT99" si="122">AL94-AL98</f>
        <v>0</v>
      </c>
      <c r="AM99" s="486">
        <f t="shared" si="122"/>
        <v>0</v>
      </c>
      <c r="AN99" s="486">
        <f t="shared" si="122"/>
        <v>0</v>
      </c>
      <c r="AO99" s="486">
        <f t="shared" si="122"/>
        <v>0</v>
      </c>
      <c r="AP99" s="486">
        <f t="shared" si="122"/>
        <v>0</v>
      </c>
      <c r="AQ99" s="486">
        <f t="shared" si="122"/>
        <v>0</v>
      </c>
      <c r="AR99" s="486">
        <f t="shared" si="122"/>
        <v>0</v>
      </c>
      <c r="AS99" s="486">
        <f t="shared" si="122"/>
        <v>0</v>
      </c>
      <c r="AT99" s="486">
        <f t="shared" si="122"/>
        <v>0</v>
      </c>
    </row>
    <row r="100" spans="1:48" s="400" customFormat="1" ht="15" customHeight="1">
      <c r="A100" s="97"/>
      <c r="B100" s="112" t="s">
        <v>467</v>
      </c>
      <c r="C100" s="471"/>
      <c r="D100" s="472"/>
      <c r="E100" s="442" t="str">
        <f t="shared" ref="E100:AT100" si="123">IF(ISERROR(E45*(1-E87)),"—",E45*(1-E87))</f>
        <v>—</v>
      </c>
      <c r="F100" s="442" t="str">
        <f t="shared" si="123"/>
        <v>—</v>
      </c>
      <c r="G100" s="442" t="str">
        <f t="shared" si="123"/>
        <v>—</v>
      </c>
      <c r="H100" s="442" t="str">
        <f t="shared" si="123"/>
        <v>—</v>
      </c>
      <c r="I100" s="442" t="str">
        <f t="shared" si="123"/>
        <v>—</v>
      </c>
      <c r="J100" s="442" t="str">
        <f t="shared" si="123"/>
        <v>—</v>
      </c>
      <c r="K100" s="442" t="str">
        <f t="shared" si="123"/>
        <v>—</v>
      </c>
      <c r="L100" s="442" t="str">
        <f t="shared" si="123"/>
        <v>—</v>
      </c>
      <c r="M100" s="442" t="str">
        <f t="shared" si="123"/>
        <v>—</v>
      </c>
      <c r="N100" s="442" t="str">
        <f t="shared" si="123"/>
        <v>—</v>
      </c>
      <c r="O100" s="442" t="str">
        <f t="shared" si="123"/>
        <v>—</v>
      </c>
      <c r="P100" s="442" t="str">
        <f t="shared" si="123"/>
        <v>—</v>
      </c>
      <c r="Q100" s="442" t="str">
        <f t="shared" si="123"/>
        <v>—</v>
      </c>
      <c r="R100" s="442" t="str">
        <f t="shared" si="123"/>
        <v>—</v>
      </c>
      <c r="S100" s="442" t="str">
        <f t="shared" si="123"/>
        <v>—</v>
      </c>
      <c r="T100" s="442" t="str">
        <f t="shared" si="123"/>
        <v>—</v>
      </c>
      <c r="U100" s="442" t="str">
        <f t="shared" si="123"/>
        <v>—</v>
      </c>
      <c r="V100" s="442" t="str">
        <f t="shared" si="123"/>
        <v>—</v>
      </c>
      <c r="W100" s="442" t="str">
        <f t="shared" si="123"/>
        <v>—</v>
      </c>
      <c r="X100" s="442" t="str">
        <f t="shared" si="123"/>
        <v>—</v>
      </c>
      <c r="Y100" s="442" t="str">
        <f t="shared" si="123"/>
        <v>—</v>
      </c>
      <c r="Z100" s="442" t="str">
        <f t="shared" si="123"/>
        <v>—</v>
      </c>
      <c r="AA100" s="442" t="str">
        <f t="shared" si="123"/>
        <v>—</v>
      </c>
      <c r="AB100" s="442" t="str">
        <f t="shared" si="123"/>
        <v>—</v>
      </c>
      <c r="AC100" s="442" t="str">
        <f t="shared" si="123"/>
        <v>—</v>
      </c>
      <c r="AD100" s="442" t="str">
        <f t="shared" si="123"/>
        <v>—</v>
      </c>
      <c r="AE100" s="442" t="str">
        <f t="shared" si="123"/>
        <v>—</v>
      </c>
      <c r="AF100" s="442" t="str">
        <f t="shared" si="123"/>
        <v>—</v>
      </c>
      <c r="AG100" s="442" t="str">
        <f t="shared" si="123"/>
        <v>—</v>
      </c>
      <c r="AH100" s="442" t="str">
        <f t="shared" si="123"/>
        <v>—</v>
      </c>
      <c r="AI100" s="442" t="str">
        <f t="shared" si="123"/>
        <v>—</v>
      </c>
      <c r="AJ100" s="442" t="str">
        <f t="shared" si="123"/>
        <v>—</v>
      </c>
      <c r="AK100" s="442" t="str">
        <f t="shared" si="123"/>
        <v>—</v>
      </c>
      <c r="AL100" s="442" t="str">
        <f t="shared" si="123"/>
        <v>—</v>
      </c>
      <c r="AM100" s="442" t="str">
        <f t="shared" si="123"/>
        <v>—</v>
      </c>
      <c r="AN100" s="442" t="str">
        <f t="shared" si="123"/>
        <v>—</v>
      </c>
      <c r="AO100" s="442" t="str">
        <f t="shared" si="123"/>
        <v>—</v>
      </c>
      <c r="AP100" s="442" t="str">
        <f t="shared" si="123"/>
        <v>—</v>
      </c>
      <c r="AQ100" s="442" t="str">
        <f t="shared" si="123"/>
        <v>—</v>
      </c>
      <c r="AR100" s="442" t="str">
        <f t="shared" si="123"/>
        <v>—</v>
      </c>
      <c r="AS100" s="442" t="str">
        <f t="shared" si="123"/>
        <v>—</v>
      </c>
      <c r="AT100" s="442" t="str">
        <f t="shared" si="123"/>
        <v>—</v>
      </c>
    </row>
    <row r="101" spans="1:48" s="407" customFormat="1" ht="15" customHeight="1">
      <c r="A101" s="487"/>
      <c r="B101" s="469"/>
      <c r="C101" s="469"/>
      <c r="D101" s="419"/>
      <c r="E101" s="488"/>
      <c r="F101" s="488"/>
      <c r="G101" s="488"/>
      <c r="H101" s="488"/>
      <c r="I101" s="488"/>
      <c r="J101" s="488"/>
      <c r="K101" s="488"/>
      <c r="L101" s="488"/>
      <c r="M101" s="488"/>
      <c r="N101" s="488"/>
      <c r="O101" s="488"/>
      <c r="P101" s="488"/>
      <c r="Q101" s="488"/>
      <c r="R101" s="488"/>
      <c r="S101" s="488"/>
      <c r="T101" s="488"/>
      <c r="U101" s="488"/>
      <c r="V101" s="488"/>
      <c r="W101" s="488"/>
      <c r="X101" s="488"/>
      <c r="Y101" s="488"/>
      <c r="Z101" s="488"/>
      <c r="AA101" s="488"/>
      <c r="AB101" s="488"/>
      <c r="AC101" s="488"/>
      <c r="AD101" s="488"/>
      <c r="AE101" s="488"/>
      <c r="AF101" s="488"/>
      <c r="AG101" s="488"/>
      <c r="AH101" s="488"/>
      <c r="AI101" s="488"/>
      <c r="AJ101" s="488"/>
      <c r="AK101" s="488"/>
      <c r="AL101" s="488"/>
      <c r="AM101" s="488"/>
      <c r="AN101" s="488"/>
      <c r="AO101" s="488"/>
      <c r="AP101" s="488"/>
      <c r="AQ101" s="488"/>
      <c r="AR101" s="488"/>
      <c r="AS101" s="488"/>
      <c r="AT101" s="488"/>
    </row>
    <row r="102" spans="1:48" s="405" customFormat="1" ht="15" customHeight="1">
      <c r="A102" s="97"/>
      <c r="B102" s="117"/>
      <c r="C102" s="117"/>
      <c r="D102" s="409"/>
      <c r="E102" s="489"/>
      <c r="F102" s="489"/>
      <c r="G102" s="489"/>
      <c r="H102" s="489"/>
      <c r="I102" s="489"/>
      <c r="J102" s="489"/>
      <c r="K102" s="489"/>
      <c r="L102" s="489"/>
      <c r="M102" s="489"/>
      <c r="N102" s="489"/>
      <c r="O102" s="489"/>
      <c r="P102" s="489"/>
      <c r="Q102" s="489"/>
      <c r="R102" s="489"/>
      <c r="S102" s="489"/>
      <c r="T102" s="489"/>
      <c r="U102" s="489"/>
      <c r="V102" s="489"/>
      <c r="W102" s="489"/>
      <c r="X102" s="489"/>
      <c r="Y102" s="489"/>
      <c r="Z102" s="489"/>
      <c r="AA102" s="489"/>
      <c r="AB102" s="489"/>
      <c r="AC102" s="489"/>
      <c r="AD102" s="489"/>
      <c r="AE102" s="489"/>
      <c r="AF102" s="489"/>
      <c r="AG102" s="489"/>
      <c r="AH102" s="462"/>
      <c r="AI102" s="462"/>
      <c r="AJ102" s="462"/>
      <c r="AK102" s="506"/>
      <c r="AL102" s="506"/>
      <c r="AM102" s="506"/>
      <c r="AN102" s="506"/>
      <c r="AO102" s="506"/>
      <c r="AP102" s="506"/>
      <c r="AQ102" s="506"/>
      <c r="AR102" s="506"/>
      <c r="AS102" s="506"/>
      <c r="AT102" s="506"/>
    </row>
    <row r="103" spans="1:48" s="404" customFormat="1" ht="15" customHeight="1">
      <c r="A103" s="490"/>
      <c r="B103" s="435" t="s">
        <v>468</v>
      </c>
      <c r="C103" s="481"/>
      <c r="D103" s="491"/>
      <c r="E103" s="9">
        <f>财务基础数据!J290*目录!$D$6</f>
        <v>0</v>
      </c>
      <c r="F103" s="9">
        <f>财务基础数据!K290*目录!$D$6</f>
        <v>0</v>
      </c>
      <c r="G103" s="9">
        <f>财务基础数据!L290*目录!$D$6</f>
        <v>0</v>
      </c>
      <c r="H103" s="9">
        <f>财务基础数据!M290*目录!$D$6</f>
        <v>0</v>
      </c>
      <c r="I103" s="9">
        <f>财务基础数据!N290*目录!$D$6</f>
        <v>0</v>
      </c>
      <c r="J103" s="9">
        <f>财务基础数据!O290*目录!$D$6</f>
        <v>0</v>
      </c>
      <c r="K103" s="9">
        <f>财务基础数据!P290*目录!$D$6</f>
        <v>0</v>
      </c>
      <c r="L103" s="9">
        <f>财务基础数据!Q290*目录!$D$6</f>
        <v>0</v>
      </c>
      <c r="M103" s="9">
        <f>财务基础数据!R290*目录!$D$6</f>
        <v>0</v>
      </c>
      <c r="N103" s="9">
        <f>财务基础数据!S290*目录!$D$6</f>
        <v>0</v>
      </c>
      <c r="O103" s="9">
        <f>财务基础数据!T290*目录!$D$6</f>
        <v>0</v>
      </c>
      <c r="P103" s="9">
        <f>财务基础数据!U290*目录!$D$6</f>
        <v>0</v>
      </c>
      <c r="Q103" s="9">
        <f>财务基础数据!V290*目录!$D$6</f>
        <v>0</v>
      </c>
      <c r="R103" s="9">
        <f>财务基础数据!W290*目录!$D$6</f>
        <v>0</v>
      </c>
      <c r="S103" s="9">
        <f>财务基础数据!X290*目录!$D$6</f>
        <v>0</v>
      </c>
      <c r="T103" s="9">
        <f>财务基础数据!Y290*目录!$D$6</f>
        <v>0</v>
      </c>
      <c r="U103" s="9">
        <f>财务基础数据!Z290*目录!$D$6</f>
        <v>0</v>
      </c>
      <c r="V103" s="118">
        <f>财务基础数据!AA290*目录!$D$6</f>
        <v>0</v>
      </c>
      <c r="W103" s="118">
        <f>财务基础数据!AB290*目录!$D$6</f>
        <v>0</v>
      </c>
      <c r="X103" s="118">
        <f>财务基础数据!AC290*目录!$D$6</f>
        <v>0</v>
      </c>
      <c r="Y103" s="118">
        <f>财务基础数据!AD290*目录!$D$6</f>
        <v>0</v>
      </c>
      <c r="Z103" s="118">
        <f>财务基础数据!AE290*目录!$D$6</f>
        <v>0</v>
      </c>
      <c r="AA103" s="118">
        <f>财务基础数据!AF290*目录!$D$6</f>
        <v>0</v>
      </c>
      <c r="AB103" s="118">
        <f>财务基础数据!AG290*目录!$D$6</f>
        <v>0</v>
      </c>
      <c r="AC103" s="118">
        <f>财务基础数据!AH290*目录!$D$6</f>
        <v>0</v>
      </c>
      <c r="AD103" s="118">
        <f>财务基础数据!AI290*目录!$D$6</f>
        <v>0</v>
      </c>
      <c r="AE103" s="118">
        <f>财务基础数据!AJ290*目录!$D$6</f>
        <v>0</v>
      </c>
      <c r="AF103" s="118">
        <f>财务基础数据!AK290*目录!$D$6</f>
        <v>0</v>
      </c>
      <c r="AG103" s="118">
        <f>财务基础数据!AL290*目录!$D$6</f>
        <v>0</v>
      </c>
      <c r="AH103" s="118">
        <f>财务基础数据!AM290*目录!$D$6</f>
        <v>0</v>
      </c>
      <c r="AI103" s="118">
        <f>财务基础数据!AN290*目录!$D$6</f>
        <v>0</v>
      </c>
      <c r="AJ103" s="118">
        <f>财务基础数据!AO290*目录!$D$6</f>
        <v>0</v>
      </c>
      <c r="AK103" s="118">
        <f>IF(ISERROR(目录!$F$7*1000000*目录!$D$6),0,目录!$F$7*1000000*目录!$D$6)</f>
        <v>0</v>
      </c>
      <c r="AL103" s="118">
        <f>IF(ISERROR(目录!$F$7*1000000*目录!$D$6),0,目录!$F$7*1000000*目录!$D$6)</f>
        <v>0</v>
      </c>
      <c r="AM103" s="118">
        <f>IF(ISERROR(目录!$F$7*1000000*目录!$D$6),0,目录!$F$7*1000000*目录!$D$6)</f>
        <v>0</v>
      </c>
      <c r="AN103" s="118">
        <f>IF(ISERROR(目录!$F$7*1000000*目录!$D$6),0,目录!$F$7*1000000*目录!$D$6)</f>
        <v>0</v>
      </c>
      <c r="AO103" s="118">
        <f>IF(ISERROR(目录!$F$7*1000000*目录!$D$6),0,目录!$F$7*1000000*目录!$D$6)</f>
        <v>0</v>
      </c>
      <c r="AP103" s="118">
        <f>IF(ISERROR(目录!$F$7*1000000*目录!$D$6),0,目录!$F$7*1000000*目录!$D$6)</f>
        <v>0</v>
      </c>
      <c r="AQ103" s="118">
        <f>IF(ISERROR(目录!$F$7*1000000*目录!$D$6),0,目录!$F$7*1000000*目录!$D$6)</f>
        <v>0</v>
      </c>
      <c r="AR103" s="118">
        <f>IF(ISERROR(目录!$F$7*1000000*目录!$D$6),0,目录!$F$7*1000000*目录!$D$6)</f>
        <v>0</v>
      </c>
      <c r="AS103" s="118">
        <f>IF(ISERROR(目录!$F$7*1000000*目录!$D$6),0,目录!$F$7*1000000*目录!$D$6)</f>
        <v>0</v>
      </c>
      <c r="AT103" s="118">
        <f>IF(ISERROR(目录!$F$7*1000000*目录!$D$6),0,目录!$F$7*1000000*目录!$D$6)</f>
        <v>0</v>
      </c>
      <c r="AU103" s="118"/>
      <c r="AV103" s="118"/>
    </row>
    <row r="104" spans="1:48" s="405" customFormat="1" ht="15" customHeight="1">
      <c r="A104" s="480"/>
      <c r="B104" s="492"/>
      <c r="C104" s="493"/>
      <c r="D104" s="494"/>
      <c r="E104" s="495"/>
      <c r="F104" s="495"/>
      <c r="G104" s="495"/>
      <c r="H104" s="495"/>
      <c r="I104" s="495"/>
      <c r="J104" s="495"/>
      <c r="K104" s="495"/>
      <c r="L104" s="495"/>
      <c r="M104" s="495"/>
      <c r="N104" s="501"/>
      <c r="O104" s="495"/>
      <c r="P104" s="495"/>
      <c r="Q104" s="495"/>
      <c r="R104" s="495"/>
      <c r="S104" s="495"/>
      <c r="T104" s="495"/>
      <c r="U104" s="495"/>
      <c r="V104" s="495"/>
      <c r="W104" s="495"/>
      <c r="X104" s="495"/>
      <c r="Y104" s="495"/>
      <c r="Z104" s="495"/>
      <c r="AA104" s="495"/>
      <c r="AB104" s="495"/>
      <c r="AC104" s="495"/>
      <c r="AD104" s="495"/>
      <c r="AE104" s="495"/>
      <c r="AF104" s="495"/>
      <c r="AG104" s="495"/>
      <c r="AH104" s="9"/>
      <c r="AI104" s="9"/>
      <c r="AJ104" s="9"/>
      <c r="AK104" s="118"/>
      <c r="AL104" s="188"/>
      <c r="AM104" s="188"/>
      <c r="AN104" s="188"/>
      <c r="AO104" s="188"/>
      <c r="AP104" s="188"/>
      <c r="AQ104" s="188"/>
      <c r="AR104" s="188"/>
      <c r="AS104" s="188"/>
      <c r="AT104" s="188"/>
    </row>
    <row r="105" spans="1:48" s="408" customFormat="1" ht="15" customHeight="1">
      <c r="A105" s="97"/>
      <c r="B105" s="117" t="s">
        <v>469</v>
      </c>
      <c r="C105" s="117"/>
      <c r="D105" s="409"/>
      <c r="E105" s="496">
        <f>财务基础数据!J41</f>
        <v>0</v>
      </c>
      <c r="F105" s="496">
        <f>财务基础数据!K41</f>
        <v>0</v>
      </c>
      <c r="G105" s="496">
        <f>财务基础数据!L41</f>
        <v>0</v>
      </c>
      <c r="H105" s="496">
        <f>财务基础数据!M41</f>
        <v>0</v>
      </c>
      <c r="I105" s="496">
        <f>财务基础数据!N41</f>
        <v>0</v>
      </c>
      <c r="J105" s="496">
        <f>财务基础数据!O41</f>
        <v>0</v>
      </c>
      <c r="K105" s="496">
        <f>财务基础数据!P41</f>
        <v>0</v>
      </c>
      <c r="L105" s="496">
        <f>财务基础数据!Q41</f>
        <v>0</v>
      </c>
      <c r="M105" s="496">
        <f>财务基础数据!R41</f>
        <v>0</v>
      </c>
      <c r="N105" s="496">
        <f>财务基础数据!S41</f>
        <v>0</v>
      </c>
      <c r="O105" s="496">
        <f>财务基础数据!T41</f>
        <v>0</v>
      </c>
      <c r="P105" s="496">
        <f>财务基础数据!U41</f>
        <v>0</v>
      </c>
      <c r="Q105" s="496">
        <f>财务基础数据!V41</f>
        <v>0</v>
      </c>
      <c r="R105" s="496">
        <f>财务基础数据!W41</f>
        <v>0</v>
      </c>
      <c r="S105" s="496">
        <f>财务基础数据!X41</f>
        <v>0</v>
      </c>
      <c r="T105" s="496">
        <f>财务基础数据!Y41</f>
        <v>0</v>
      </c>
      <c r="U105" s="496">
        <f>财务基础数据!Z41</f>
        <v>0</v>
      </c>
      <c r="V105" s="496">
        <f>财务基础数据!AA41</f>
        <v>0</v>
      </c>
      <c r="W105" s="496">
        <f>财务基础数据!AB41</f>
        <v>0</v>
      </c>
      <c r="X105" s="496">
        <f>财务基础数据!AC41</f>
        <v>0</v>
      </c>
      <c r="Y105" s="496">
        <f>财务基础数据!AD41</f>
        <v>0</v>
      </c>
      <c r="Z105" s="496">
        <f>财务基础数据!AE41</f>
        <v>0</v>
      </c>
      <c r="AA105" s="496">
        <f>财务基础数据!AF41</f>
        <v>0</v>
      </c>
      <c r="AB105" s="496">
        <f>财务基础数据!AG41</f>
        <v>0</v>
      </c>
      <c r="AC105" s="496">
        <f>财务基础数据!AH41</f>
        <v>0</v>
      </c>
      <c r="AD105" s="496">
        <f>财务基础数据!AI41</f>
        <v>0</v>
      </c>
      <c r="AE105" s="496">
        <f>财务基础数据!AJ41</f>
        <v>0</v>
      </c>
      <c r="AF105" s="496">
        <f>财务基础数据!AK41</f>
        <v>0</v>
      </c>
      <c r="AG105" s="496">
        <f>财务基础数据!AL41</f>
        <v>0</v>
      </c>
      <c r="AH105" s="496">
        <f>财务基础数据!AM41</f>
        <v>0</v>
      </c>
      <c r="AI105" s="496">
        <f>财务基础数据!AN41</f>
        <v>0</v>
      </c>
      <c r="AJ105" s="496">
        <f>财务基础数据!AO41</f>
        <v>0</v>
      </c>
      <c r="AK105" s="496" t="str">
        <f t="shared" ref="AK105:AT105" si="124">IF(ISERROR(AK94/AK103),"—",AK94/AK103)</f>
        <v>—</v>
      </c>
      <c r="AL105" s="496" t="str">
        <f t="shared" si="124"/>
        <v>—</v>
      </c>
      <c r="AM105" s="496" t="str">
        <f t="shared" si="124"/>
        <v>—</v>
      </c>
      <c r="AN105" s="496" t="str">
        <f t="shared" si="124"/>
        <v>—</v>
      </c>
      <c r="AO105" s="496" t="str">
        <f t="shared" si="124"/>
        <v>—</v>
      </c>
      <c r="AP105" s="496" t="str">
        <f t="shared" si="124"/>
        <v>—</v>
      </c>
      <c r="AQ105" s="496" t="str">
        <f t="shared" si="124"/>
        <v>—</v>
      </c>
      <c r="AR105" s="496" t="str">
        <f t="shared" si="124"/>
        <v>—</v>
      </c>
      <c r="AS105" s="496" t="str">
        <f t="shared" si="124"/>
        <v>—</v>
      </c>
      <c r="AT105" s="496" t="str">
        <f t="shared" si="124"/>
        <v>—</v>
      </c>
    </row>
    <row r="106" spans="1:48" s="408" customFormat="1" ht="15" customHeight="1">
      <c r="A106" s="97"/>
      <c r="B106" s="117" t="s">
        <v>470</v>
      </c>
      <c r="C106" s="117"/>
      <c r="D106" s="409"/>
      <c r="E106" s="496">
        <f>财务基础数据!J42</f>
        <v>0</v>
      </c>
      <c r="F106" s="496">
        <f>财务基础数据!K42</f>
        <v>0</v>
      </c>
      <c r="G106" s="496">
        <f>财务基础数据!L42</f>
        <v>0</v>
      </c>
      <c r="H106" s="496">
        <f>财务基础数据!M42</f>
        <v>0</v>
      </c>
      <c r="I106" s="496">
        <f>财务基础数据!N42</f>
        <v>0</v>
      </c>
      <c r="J106" s="496">
        <f>财务基础数据!O42</f>
        <v>0</v>
      </c>
      <c r="K106" s="496">
        <f>财务基础数据!P42</f>
        <v>0</v>
      </c>
      <c r="L106" s="496">
        <f>财务基础数据!Q42</f>
        <v>0</v>
      </c>
      <c r="M106" s="496">
        <f>财务基础数据!R42</f>
        <v>0</v>
      </c>
      <c r="N106" s="496">
        <f>财务基础数据!S42</f>
        <v>0</v>
      </c>
      <c r="O106" s="496">
        <f>财务基础数据!T42</f>
        <v>0</v>
      </c>
      <c r="P106" s="496">
        <f>财务基础数据!U42</f>
        <v>0</v>
      </c>
      <c r="Q106" s="496">
        <f>财务基础数据!V42</f>
        <v>0</v>
      </c>
      <c r="R106" s="496">
        <f>财务基础数据!W42</f>
        <v>0</v>
      </c>
      <c r="S106" s="496">
        <f>财务基础数据!X42</f>
        <v>0</v>
      </c>
      <c r="T106" s="496">
        <f>财务基础数据!Y42</f>
        <v>0</v>
      </c>
      <c r="U106" s="496">
        <f>财务基础数据!Z42</f>
        <v>0</v>
      </c>
      <c r="V106" s="496">
        <f>财务基础数据!AA42</f>
        <v>0</v>
      </c>
      <c r="W106" s="496">
        <f>财务基础数据!AB42</f>
        <v>0</v>
      </c>
      <c r="X106" s="496">
        <f>财务基础数据!AC42</f>
        <v>0</v>
      </c>
      <c r="Y106" s="496">
        <f>财务基础数据!AD42</f>
        <v>0</v>
      </c>
      <c r="Z106" s="496">
        <f>财务基础数据!AE42</f>
        <v>0</v>
      </c>
      <c r="AA106" s="496">
        <f>财务基础数据!AF42</f>
        <v>0</v>
      </c>
      <c r="AB106" s="496">
        <f>财务基础数据!AG42</f>
        <v>0</v>
      </c>
      <c r="AC106" s="496">
        <f>财务基础数据!AH42</f>
        <v>0</v>
      </c>
      <c r="AD106" s="496">
        <f>财务基础数据!AI42</f>
        <v>0</v>
      </c>
      <c r="AE106" s="496">
        <f>财务基础数据!AJ42</f>
        <v>0</v>
      </c>
      <c r="AF106" s="496">
        <f>财务基础数据!AK42</f>
        <v>0</v>
      </c>
      <c r="AG106" s="496">
        <f>财务基础数据!AL42</f>
        <v>0</v>
      </c>
      <c r="AH106" s="496">
        <f>财务基础数据!AM42</f>
        <v>0</v>
      </c>
      <c r="AI106" s="496">
        <f>财务基础数据!AN42</f>
        <v>0</v>
      </c>
      <c r="AJ106" s="496">
        <f>财务基础数据!AO42</f>
        <v>0</v>
      </c>
      <c r="AK106" s="496"/>
      <c r="AL106" s="496"/>
      <c r="AM106" s="496"/>
      <c r="AN106" s="496"/>
      <c r="AO106" s="496"/>
      <c r="AP106" s="496"/>
      <c r="AQ106" s="496"/>
      <c r="AR106" s="496"/>
      <c r="AS106" s="496"/>
      <c r="AT106" s="496"/>
    </row>
    <row r="107" spans="1:48" ht="15" customHeight="1">
      <c r="B107" s="497"/>
      <c r="C107" s="497"/>
      <c r="D107" s="498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  <c r="O107" s="499"/>
      <c r="P107" s="499"/>
      <c r="Q107" s="499"/>
      <c r="R107" s="499"/>
      <c r="S107" s="499"/>
      <c r="T107" s="499"/>
      <c r="U107" s="499"/>
      <c r="V107" s="499"/>
      <c r="W107" s="499"/>
      <c r="X107" s="499"/>
      <c r="Y107" s="499"/>
      <c r="Z107" s="499"/>
      <c r="AA107" s="499"/>
      <c r="AB107" s="499"/>
      <c r="AC107" s="499"/>
      <c r="AD107" s="499"/>
      <c r="AE107" s="499"/>
      <c r="AF107" s="499"/>
      <c r="AG107" s="499"/>
      <c r="AH107" s="499"/>
      <c r="AI107" s="499"/>
      <c r="AJ107" s="499"/>
      <c r="AK107" s="507"/>
      <c r="AL107" s="507"/>
      <c r="AM107" s="507"/>
      <c r="AN107" s="507"/>
      <c r="AO107" s="507"/>
      <c r="AP107" s="507"/>
      <c r="AQ107" s="507"/>
      <c r="AR107" s="507"/>
      <c r="AS107" s="507"/>
      <c r="AT107" s="507"/>
    </row>
    <row r="108" spans="1:48" ht="15" customHeight="1"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</row>
    <row r="109" spans="1:48" ht="15" customHeight="1"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</row>
    <row r="110" spans="1:48" ht="15" customHeight="1"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  <c r="AJ110" s="206"/>
      <c r="AK110" s="206"/>
      <c r="AL110" s="206"/>
      <c r="AM110" s="206"/>
      <c r="AN110" s="206"/>
      <c r="AO110" s="206"/>
      <c r="AP110" s="206"/>
      <c r="AQ110" s="206"/>
      <c r="AR110" s="206"/>
      <c r="AS110" s="206"/>
      <c r="AT110" s="206"/>
    </row>
    <row r="111" spans="1:48" ht="15" customHeight="1"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06"/>
      <c r="AD111" s="206"/>
      <c r="AE111" s="206"/>
      <c r="AF111" s="206"/>
      <c r="AG111" s="206"/>
      <c r="AH111" s="206"/>
      <c r="AI111" s="206"/>
      <c r="AJ111" s="206"/>
      <c r="AK111" s="206"/>
      <c r="AL111" s="206"/>
      <c r="AM111" s="206"/>
      <c r="AN111" s="206"/>
      <c r="AO111" s="206"/>
      <c r="AP111" s="206"/>
      <c r="AQ111" s="206"/>
      <c r="AR111" s="206"/>
      <c r="AS111" s="206"/>
      <c r="AT111" s="206"/>
    </row>
    <row r="112" spans="1:48" ht="15" customHeight="1"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  <c r="AJ112" s="206"/>
      <c r="AK112" s="206"/>
      <c r="AL112" s="206"/>
      <c r="AM112" s="206"/>
      <c r="AN112" s="206"/>
      <c r="AO112" s="206"/>
      <c r="AP112" s="206"/>
      <c r="AQ112" s="206"/>
      <c r="AR112" s="206"/>
      <c r="AS112" s="206"/>
      <c r="AT112" s="206"/>
    </row>
    <row r="113" spans="5:46" ht="15" customHeight="1"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206"/>
      <c r="AN113" s="206"/>
      <c r="AO113" s="206"/>
      <c r="AP113" s="206"/>
      <c r="AQ113" s="206"/>
      <c r="AR113" s="206"/>
      <c r="AS113" s="206"/>
      <c r="AT113" s="206"/>
    </row>
    <row r="114" spans="5:46" ht="15" customHeight="1"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  <c r="AE114" s="206"/>
      <c r="AF114" s="206"/>
      <c r="AG114" s="206"/>
      <c r="AH114" s="206"/>
      <c r="AI114" s="206"/>
      <c r="AJ114" s="206"/>
      <c r="AK114" s="206"/>
      <c r="AL114" s="206"/>
      <c r="AM114" s="206"/>
      <c r="AN114" s="206"/>
      <c r="AO114" s="206"/>
      <c r="AP114" s="206"/>
      <c r="AQ114" s="206"/>
      <c r="AR114" s="206"/>
      <c r="AS114" s="206"/>
      <c r="AT114" s="206"/>
    </row>
    <row r="115" spans="5:46" ht="15" customHeight="1"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  <c r="AG115" s="206"/>
      <c r="AH115" s="206"/>
      <c r="AI115" s="206"/>
      <c r="AJ115" s="206"/>
      <c r="AK115" s="206"/>
      <c r="AL115" s="206"/>
      <c r="AM115" s="206"/>
      <c r="AN115" s="206"/>
      <c r="AO115" s="206"/>
      <c r="AP115" s="206"/>
      <c r="AQ115" s="206"/>
      <c r="AR115" s="206"/>
      <c r="AS115" s="206"/>
      <c r="AT115" s="206"/>
    </row>
    <row r="116" spans="5:46" ht="15" customHeight="1"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206"/>
      <c r="AN116" s="206"/>
      <c r="AO116" s="206"/>
      <c r="AP116" s="206"/>
      <c r="AQ116" s="206"/>
      <c r="AR116" s="206"/>
      <c r="AS116" s="206"/>
      <c r="AT116" s="206"/>
    </row>
    <row r="117" spans="5:46" ht="15" customHeight="1"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206"/>
      <c r="AN117" s="206"/>
      <c r="AO117" s="206"/>
      <c r="AP117" s="206"/>
      <c r="AQ117" s="206"/>
      <c r="AR117" s="206"/>
      <c r="AS117" s="206"/>
      <c r="AT117" s="206"/>
    </row>
    <row r="118" spans="5:46" ht="15" customHeight="1"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206"/>
    </row>
    <row r="119" spans="5:46" ht="15" customHeight="1"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  <c r="AG119" s="206"/>
      <c r="AH119" s="206"/>
      <c r="AI119" s="206"/>
      <c r="AJ119" s="206"/>
      <c r="AK119" s="206"/>
      <c r="AL119" s="206"/>
      <c r="AM119" s="206"/>
      <c r="AN119" s="206"/>
      <c r="AO119" s="206"/>
      <c r="AP119" s="206"/>
      <c r="AQ119" s="206"/>
      <c r="AR119" s="206"/>
      <c r="AS119" s="206"/>
      <c r="AT119" s="206"/>
    </row>
    <row r="120" spans="5:46" ht="15" customHeight="1"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206"/>
    </row>
    <row r="121" spans="5:46" ht="15" customHeight="1"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06"/>
      <c r="AP121" s="206"/>
      <c r="AQ121" s="206"/>
      <c r="AR121" s="206"/>
      <c r="AS121" s="206"/>
      <c r="AT121" s="206"/>
    </row>
    <row r="122" spans="5:46" ht="15" customHeight="1"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06"/>
      <c r="AO122" s="206"/>
      <c r="AP122" s="206"/>
      <c r="AQ122" s="206"/>
      <c r="AR122" s="206"/>
      <c r="AS122" s="206"/>
      <c r="AT122" s="206"/>
    </row>
    <row r="123" spans="5:46" ht="15" customHeight="1"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206"/>
      <c r="AN123" s="206"/>
      <c r="AO123" s="206"/>
      <c r="AP123" s="206"/>
      <c r="AQ123" s="206"/>
      <c r="AR123" s="206"/>
      <c r="AS123" s="206"/>
      <c r="AT123" s="206"/>
    </row>
    <row r="124" spans="5:46" ht="15" customHeight="1"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  <c r="AG124" s="206"/>
      <c r="AH124" s="206"/>
      <c r="AI124" s="206"/>
      <c r="AJ124" s="206"/>
      <c r="AK124" s="206"/>
      <c r="AL124" s="206"/>
      <c r="AM124" s="206"/>
      <c r="AN124" s="206"/>
      <c r="AO124" s="206"/>
      <c r="AP124" s="206"/>
      <c r="AQ124" s="206"/>
      <c r="AR124" s="206"/>
      <c r="AS124" s="206"/>
      <c r="AT124" s="206"/>
    </row>
    <row r="125" spans="5:46" ht="15" customHeight="1"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206"/>
      <c r="AN125" s="206"/>
      <c r="AO125" s="206"/>
      <c r="AP125" s="206"/>
      <c r="AQ125" s="206"/>
      <c r="AR125" s="206"/>
      <c r="AS125" s="206"/>
      <c r="AT125" s="206"/>
    </row>
    <row r="126" spans="5:46" ht="15" customHeight="1"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  <c r="AE126" s="206"/>
      <c r="AF126" s="206"/>
      <c r="AG126" s="206"/>
      <c r="AH126" s="206"/>
      <c r="AI126" s="206"/>
      <c r="AJ126" s="508"/>
      <c r="AK126" s="206"/>
      <c r="AL126" s="206"/>
      <c r="AM126" s="206"/>
      <c r="AN126" s="206"/>
      <c r="AO126" s="206"/>
      <c r="AP126" s="206"/>
      <c r="AQ126" s="206"/>
      <c r="AR126" s="206"/>
      <c r="AS126" s="206"/>
      <c r="AT126" s="206"/>
    </row>
    <row r="127" spans="5:46" ht="15" customHeight="1"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  <c r="AA127" s="206"/>
      <c r="AB127" s="206"/>
      <c r="AC127" s="206"/>
      <c r="AD127" s="206"/>
      <c r="AE127" s="206"/>
      <c r="AF127" s="206"/>
      <c r="AG127" s="206"/>
      <c r="AH127" s="206"/>
      <c r="AI127" s="206"/>
      <c r="AJ127" s="206"/>
      <c r="AK127" s="206"/>
      <c r="AL127" s="206"/>
      <c r="AM127" s="206"/>
      <c r="AN127" s="206"/>
      <c r="AO127" s="206"/>
      <c r="AP127" s="206"/>
      <c r="AQ127" s="206"/>
      <c r="AR127" s="206"/>
      <c r="AS127" s="206"/>
      <c r="AT127" s="206"/>
    </row>
  </sheetData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03"/>
  <sheetViews>
    <sheetView showGridLines="0" showOutlineSymbols="0" zoomScaleNormal="100" workbookViewId="0">
      <pane xSplit="4" ySplit="4" topLeftCell="U5" activePane="bottomRight" state="frozen"/>
      <selection pane="topRight"/>
      <selection pane="bottomLeft"/>
      <selection pane="bottomRight" activeCell="AG5" sqref="AG5"/>
    </sheetView>
  </sheetViews>
  <sheetFormatPr defaultColWidth="9" defaultRowHeight="15" customHeight="1"/>
  <cols>
    <col min="1" max="1" width="1.75" style="96" customWidth="1"/>
    <col min="2" max="2" width="6.125" style="373" customWidth="1"/>
    <col min="3" max="3" width="31.75" style="373" customWidth="1"/>
    <col min="4" max="4" width="11.75" style="373" customWidth="1"/>
    <col min="5" max="20" width="15.625" style="96" hidden="1" customWidth="1"/>
    <col min="21" max="21" width="15.625" style="96" customWidth="1"/>
    <col min="22" max="24" width="15.625" style="96" hidden="1" customWidth="1"/>
    <col min="25" max="25" width="15.625" style="96" customWidth="1"/>
    <col min="26" max="28" width="15.625" style="96" hidden="1" customWidth="1"/>
    <col min="29" max="29" width="15.625" style="96" customWidth="1"/>
    <col min="30" max="32" width="15.625" style="96" hidden="1" customWidth="1"/>
    <col min="33" max="33" width="15.625" style="96" customWidth="1"/>
    <col min="34" max="36" width="15.625" style="96" hidden="1" customWidth="1"/>
    <col min="37" max="39" width="15.625" style="96" customWidth="1"/>
    <col min="40" max="40" width="15.625" style="1110" hidden="1" customWidth="1"/>
    <col min="41" max="46" width="15.75" style="96" hidden="1" customWidth="1"/>
    <col min="47" max="47" width="15.625" style="96" customWidth="1"/>
    <col min="48" max="62" width="9.875" style="96" customWidth="1"/>
    <col min="63" max="16384" width="9" style="96"/>
  </cols>
  <sheetData>
    <row r="1" spans="1:52" ht="15" customHeight="1">
      <c r="A1" s="374"/>
      <c r="E1" s="515"/>
      <c r="F1" s="515"/>
      <c r="G1" s="515"/>
      <c r="H1" s="515"/>
      <c r="K1" s="1109"/>
      <c r="L1" s="1109"/>
      <c r="M1" s="1109"/>
      <c r="N1" s="1109"/>
    </row>
    <row r="2" spans="1:52" s="371" customFormat="1" ht="15" customHeight="1">
      <c r="B2" s="242" t="s">
        <v>48</v>
      </c>
      <c r="C2" s="242"/>
      <c r="D2" s="242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7"/>
      <c r="AE2" s="457"/>
      <c r="AF2" s="457"/>
      <c r="AG2" s="457"/>
      <c r="AH2" s="457"/>
      <c r="AI2" s="457"/>
      <c r="AJ2" s="457"/>
      <c r="AK2" s="457"/>
      <c r="AL2" s="457"/>
      <c r="AM2" s="457"/>
      <c r="AN2" s="457"/>
      <c r="AO2" s="457"/>
      <c r="AP2" s="457"/>
      <c r="AQ2" s="457"/>
      <c r="AR2" s="457"/>
      <c r="AS2" s="457"/>
      <c r="AT2" s="457"/>
      <c r="AU2" s="396"/>
    </row>
    <row r="3" spans="1:52" ht="15" customHeight="1">
      <c r="B3" s="375" t="str">
        <f>财务基础数据!C4</f>
        <v>XXXX</v>
      </c>
    </row>
    <row r="4" spans="1:52" ht="15" customHeight="1">
      <c r="B4" s="376" t="s">
        <v>101</v>
      </c>
      <c r="C4" s="377"/>
      <c r="D4" s="377"/>
      <c r="E4" s="418">
        <f>资产负债表!E4</f>
        <v>2016</v>
      </c>
      <c r="F4" s="418" t="str">
        <f>资产负债表!F4</f>
        <v>1Q17</v>
      </c>
      <c r="G4" s="418" t="str">
        <f>资产负债表!G4</f>
        <v>1H17</v>
      </c>
      <c r="H4" s="418" t="str">
        <f>资产负债表!H4</f>
        <v>3Q17</v>
      </c>
      <c r="I4" s="418">
        <f>资产负债表!I4</f>
        <v>2017</v>
      </c>
      <c r="J4" s="418" t="str">
        <f>资产负债表!J4</f>
        <v>1Q18</v>
      </c>
      <c r="K4" s="418" t="str">
        <f>资产负债表!K4</f>
        <v>1H18</v>
      </c>
      <c r="L4" s="418" t="str">
        <f>资产负债表!L4</f>
        <v>3Q18</v>
      </c>
      <c r="M4" s="418">
        <f>资产负债表!M4</f>
        <v>2018</v>
      </c>
      <c r="N4" s="418" t="str">
        <f>资产负债表!N4</f>
        <v>1Q19</v>
      </c>
      <c r="O4" s="418" t="str">
        <f>资产负债表!O4</f>
        <v>1H19</v>
      </c>
      <c r="P4" s="418" t="str">
        <f>资产负债表!P4</f>
        <v>3Q19</v>
      </c>
      <c r="Q4" s="418">
        <f>资产负债表!Q4</f>
        <v>2019</v>
      </c>
      <c r="R4" s="418" t="str">
        <f>资产负债表!R4</f>
        <v>1Q20</v>
      </c>
      <c r="S4" s="418" t="str">
        <f>资产负债表!S4</f>
        <v>1H20</v>
      </c>
      <c r="T4" s="418" t="str">
        <f>资产负债表!T4</f>
        <v>3Q20</v>
      </c>
      <c r="U4" s="418">
        <f>资产负债表!U4</f>
        <v>2020</v>
      </c>
      <c r="V4" s="418" t="str">
        <f>资产负债表!V4</f>
        <v>1Q21</v>
      </c>
      <c r="W4" s="418" t="str">
        <f>资产负债表!W4</f>
        <v>1H21</v>
      </c>
      <c r="X4" s="418" t="str">
        <f>资产负债表!X4</f>
        <v>3Q21</v>
      </c>
      <c r="Y4" s="418">
        <f>资产负债表!Y4</f>
        <v>2021</v>
      </c>
      <c r="Z4" s="418" t="str">
        <f>资产负债表!Z4</f>
        <v>1Q22</v>
      </c>
      <c r="AA4" s="418" t="str">
        <f>资产负债表!AA4</f>
        <v>1H22</v>
      </c>
      <c r="AB4" s="418" t="str">
        <f>资产负债表!AB4</f>
        <v>3Q22</v>
      </c>
      <c r="AC4" s="418">
        <f>资产负债表!AC4</f>
        <v>2022</v>
      </c>
      <c r="AD4" s="418" t="str">
        <f>资产负债表!AD4</f>
        <v>1Q23</v>
      </c>
      <c r="AE4" s="418" t="str">
        <f>资产负债表!AE4</f>
        <v>1H23</v>
      </c>
      <c r="AF4" s="418" t="str">
        <f>资产负债表!AF4</f>
        <v>3Q23</v>
      </c>
      <c r="AG4" s="418">
        <f>资产负债表!AG4</f>
        <v>2023</v>
      </c>
      <c r="AH4" s="418" t="str">
        <f>资产负债表!AH4</f>
        <v>1Q24</v>
      </c>
      <c r="AI4" s="418" t="str">
        <f>资产负债表!AI4</f>
        <v>1H24</v>
      </c>
      <c r="AJ4" s="418" t="str">
        <f>资产负债表!AJ4</f>
        <v>3Q24</v>
      </c>
      <c r="AK4" s="458" t="str">
        <f>资产负债表!AK4</f>
        <v>2024E</v>
      </c>
      <c r="AL4" s="459">
        <f>资产负债表!AL4</f>
        <v>2025</v>
      </c>
      <c r="AM4" s="459">
        <f>资产负债表!AM4</f>
        <v>2026</v>
      </c>
      <c r="AN4" s="459">
        <f>资产负债表!AN4</f>
        <v>2027</v>
      </c>
      <c r="AO4" s="459">
        <f>资产负债表!AO4</f>
        <v>2028</v>
      </c>
      <c r="AP4" s="459">
        <f>资产负债表!AP4</f>
        <v>2029</v>
      </c>
      <c r="AQ4" s="459">
        <f>资产负债表!AQ4</f>
        <v>2030</v>
      </c>
      <c r="AR4" s="459">
        <f>资产负债表!AR4</f>
        <v>2031</v>
      </c>
      <c r="AS4" s="459">
        <f>资产负债表!AS4</f>
        <v>2032</v>
      </c>
      <c r="AT4" s="459">
        <f>资产负债表!AT4</f>
        <v>2033</v>
      </c>
      <c r="AU4" s="387"/>
    </row>
    <row r="5" spans="1:52" ht="15" customHeight="1">
      <c r="A5" s="374"/>
      <c r="B5" s="378" t="str">
        <f>"单位：人民币"&amp;目录!$D$5</f>
        <v>单位：人民币百万元</v>
      </c>
      <c r="C5" s="97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495"/>
      <c r="AO5" s="188"/>
      <c r="AP5" s="188"/>
      <c r="AQ5" s="188"/>
      <c r="AR5" s="188"/>
      <c r="AS5" s="188"/>
      <c r="AT5" s="188"/>
      <c r="AU5" s="206"/>
      <c r="AV5" s="206"/>
      <c r="AW5" s="206"/>
      <c r="AX5" s="206"/>
      <c r="AY5" s="206"/>
      <c r="AZ5" s="206"/>
    </row>
    <row r="6" spans="1:52" ht="15" customHeight="1">
      <c r="B6" s="378" t="s">
        <v>471</v>
      </c>
      <c r="C6" s="97"/>
      <c r="E6" s="306"/>
      <c r="F6" s="306"/>
      <c r="G6" s="306"/>
      <c r="H6" s="306"/>
      <c r="I6" s="306"/>
      <c r="J6" s="306"/>
      <c r="K6" s="306"/>
      <c r="L6" s="306"/>
      <c r="M6" s="1111"/>
      <c r="N6" s="1111"/>
      <c r="O6" s="306"/>
      <c r="P6" s="306"/>
      <c r="Q6" s="3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O6" s="206"/>
      <c r="AP6" s="206"/>
      <c r="AQ6" s="206"/>
      <c r="AR6" s="206"/>
      <c r="AS6" s="206"/>
      <c r="AT6" s="206"/>
    </row>
    <row r="7" spans="1:52" ht="15" customHeight="1">
      <c r="B7" s="373" t="s">
        <v>472</v>
      </c>
      <c r="C7" s="97"/>
      <c r="E7" s="9">
        <f>财务基础数据!J247*目录!$D$6</f>
        <v>0</v>
      </c>
      <c r="F7" s="495">
        <f>财务基础数据!K247*目录!$D$6</f>
        <v>0</v>
      </c>
      <c r="G7" s="495">
        <f>财务基础数据!L247*目录!$D$6</f>
        <v>0</v>
      </c>
      <c r="H7" s="495">
        <f>财务基础数据!M247*目录!$D$6</f>
        <v>0</v>
      </c>
      <c r="I7" s="495">
        <f>财务基础数据!N247*目录!$D$6</f>
        <v>0</v>
      </c>
      <c r="J7" s="495">
        <f>财务基础数据!O247*目录!$D$6</f>
        <v>0</v>
      </c>
      <c r="K7" s="495">
        <f>财务基础数据!P247*目录!$D$6</f>
        <v>0</v>
      </c>
      <c r="L7" s="495">
        <f>财务基础数据!Q247*目录!$D$6</f>
        <v>0</v>
      </c>
      <c r="M7" s="495">
        <f>财务基础数据!R247*目录!$D$6</f>
        <v>0</v>
      </c>
      <c r="N7" s="495">
        <f>财务基础数据!S247*目录!$D$6</f>
        <v>0</v>
      </c>
      <c r="O7" s="495">
        <f>财务基础数据!T247*目录!$D$6</f>
        <v>0</v>
      </c>
      <c r="P7" s="495">
        <f>财务基础数据!U247*目录!$D$6</f>
        <v>0</v>
      </c>
      <c r="Q7" s="495">
        <f>财务基础数据!V247*目录!$D$6</f>
        <v>0</v>
      </c>
      <c r="R7" s="495">
        <f>财务基础数据!W247*目录!$D$6</f>
        <v>0</v>
      </c>
      <c r="S7" s="495">
        <f>财务基础数据!X247*目录!$D$6</f>
        <v>0</v>
      </c>
      <c r="T7" s="495">
        <f>财务基础数据!Y247*目录!$D$6</f>
        <v>0</v>
      </c>
      <c r="U7" s="495">
        <f>财务基础数据!Z247*目录!$D$6</f>
        <v>0</v>
      </c>
      <c r="V7" s="495">
        <f>财务基础数据!AA247*目录!$D$6</f>
        <v>0</v>
      </c>
      <c r="W7" s="495">
        <f>财务基础数据!AB247*目录!$D$6</f>
        <v>0</v>
      </c>
      <c r="X7" s="495">
        <f>财务基础数据!AC247*目录!$D$6</f>
        <v>0</v>
      </c>
      <c r="Y7" s="9">
        <f>财务基础数据!AD247*目录!$D$6</f>
        <v>0</v>
      </c>
      <c r="Z7" s="495">
        <f>财务基础数据!AE247*目录!$D$6</f>
        <v>0</v>
      </c>
      <c r="AA7" s="495">
        <f>财务基础数据!AF247*目录!$D$6</f>
        <v>0</v>
      </c>
      <c r="AB7" s="495">
        <f>财务基础数据!AG247*目录!$D$6</f>
        <v>0</v>
      </c>
      <c r="AC7" s="495">
        <f>财务基础数据!AH247*目录!$D$6</f>
        <v>0</v>
      </c>
      <c r="AD7" s="495">
        <f>财务基础数据!AI247*目录!$D$6</f>
        <v>0</v>
      </c>
      <c r="AE7" s="495">
        <f>财务基础数据!AJ247*目录!$D$6</f>
        <v>0</v>
      </c>
      <c r="AF7" s="495">
        <f>财务基础数据!AK247*目录!$D$6</f>
        <v>0</v>
      </c>
      <c r="AG7" s="495">
        <f>财务基础数据!AL247*目录!$D$6</f>
        <v>0</v>
      </c>
      <c r="AH7" s="495">
        <f>财务基础数据!AM247*目录!$D$6</f>
        <v>0</v>
      </c>
      <c r="AI7" s="495">
        <f>财务基础数据!AN247*目录!$D$6</f>
        <v>0</v>
      </c>
      <c r="AJ7" s="9">
        <f>财务基础数据!AO247*目录!$D$6</f>
        <v>0</v>
      </c>
      <c r="AK7" s="9">
        <f>IF(ISERROR(利润表!AK88),"—",利润表!AK88)</f>
        <v>0</v>
      </c>
      <c r="AL7" s="495">
        <f>IF(ISERROR(利润表!AL88),"—",利润表!AL88)</f>
        <v>0</v>
      </c>
      <c r="AM7" s="495">
        <f>IF(ISERROR(利润表!AM88),"—",利润表!AM88)</f>
        <v>0</v>
      </c>
      <c r="AN7" s="495">
        <f>IF(ISERROR(利润表!AN88),0,利润表!AN88)</f>
        <v>0</v>
      </c>
      <c r="AO7" s="495">
        <f>IF(ISERROR(利润表!AO88),0,利润表!AO88)</f>
        <v>0</v>
      </c>
      <c r="AP7" s="495">
        <f>IF(ISERROR(利润表!AP88),0,利润表!AP88)</f>
        <v>0</v>
      </c>
      <c r="AQ7" s="495">
        <f>IF(ISERROR(利润表!AQ88),0,利润表!AQ88)</f>
        <v>0</v>
      </c>
      <c r="AR7" s="495">
        <f>IF(ISERROR(利润表!AR88),0,利润表!AR88)</f>
        <v>0</v>
      </c>
      <c r="AS7" s="495">
        <f>IF(ISERROR(利润表!AS88),0,利润表!AS88)</f>
        <v>0</v>
      </c>
      <c r="AT7" s="495">
        <f>IF(ISERROR(利润表!AT88),0,利润表!AT88)</f>
        <v>0</v>
      </c>
      <c r="AU7" s="388"/>
      <c r="AV7" s="388"/>
      <c r="AW7" s="388"/>
    </row>
    <row r="8" spans="1:52" ht="15" customHeight="1">
      <c r="B8" s="380"/>
      <c r="C8" s="150"/>
      <c r="E8" s="573"/>
      <c r="F8" s="573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G8" s="573"/>
      <c r="AH8" s="573"/>
      <c r="AI8" s="573"/>
      <c r="AJ8" s="573"/>
      <c r="AK8" s="573"/>
      <c r="AL8" s="573"/>
      <c r="AM8" s="573"/>
      <c r="AN8" s="495"/>
      <c r="AO8" s="573"/>
      <c r="AP8" s="573"/>
      <c r="AQ8" s="573"/>
      <c r="AR8" s="573"/>
      <c r="AS8" s="573"/>
      <c r="AT8" s="573"/>
      <c r="AU8" s="388"/>
      <c r="AV8" s="388"/>
      <c r="AW8" s="388"/>
    </row>
    <row r="9" spans="1:52" ht="15" customHeight="1">
      <c r="B9" s="373" t="s">
        <v>473</v>
      </c>
      <c r="C9" s="150"/>
      <c r="E9" s="495">
        <f>E10+E11</f>
        <v>0</v>
      </c>
      <c r="F9" s="495">
        <f t="shared" ref="F9:AK9" si="0">F10+F11</f>
        <v>0</v>
      </c>
      <c r="G9" s="495">
        <f t="shared" si="0"/>
        <v>0</v>
      </c>
      <c r="H9" s="495">
        <f t="shared" si="0"/>
        <v>0</v>
      </c>
      <c r="I9" s="495">
        <f t="shared" si="0"/>
        <v>0</v>
      </c>
      <c r="J9" s="495">
        <f t="shared" si="0"/>
        <v>0</v>
      </c>
      <c r="K9" s="495">
        <f t="shared" si="0"/>
        <v>0</v>
      </c>
      <c r="L9" s="495">
        <f t="shared" si="0"/>
        <v>0</v>
      </c>
      <c r="M9" s="495">
        <f t="shared" si="0"/>
        <v>0</v>
      </c>
      <c r="N9" s="495">
        <f t="shared" si="0"/>
        <v>0</v>
      </c>
      <c r="O9" s="495">
        <f t="shared" si="0"/>
        <v>0</v>
      </c>
      <c r="P9" s="495">
        <f t="shared" si="0"/>
        <v>0</v>
      </c>
      <c r="Q9" s="495">
        <f t="shared" si="0"/>
        <v>0</v>
      </c>
      <c r="R9" s="495">
        <f t="shared" si="0"/>
        <v>0</v>
      </c>
      <c r="S9" s="495">
        <f t="shared" si="0"/>
        <v>0</v>
      </c>
      <c r="T9" s="495">
        <f t="shared" si="0"/>
        <v>0</v>
      </c>
      <c r="U9" s="495">
        <f t="shared" si="0"/>
        <v>0</v>
      </c>
      <c r="V9" s="495">
        <f t="shared" si="0"/>
        <v>0</v>
      </c>
      <c r="W9" s="495">
        <f t="shared" si="0"/>
        <v>0</v>
      </c>
      <c r="X9" s="495">
        <f t="shared" si="0"/>
        <v>0</v>
      </c>
      <c r="Y9" s="495">
        <f t="shared" si="0"/>
        <v>0</v>
      </c>
      <c r="Z9" s="495">
        <f t="shared" si="0"/>
        <v>0</v>
      </c>
      <c r="AA9" s="495">
        <f t="shared" si="0"/>
        <v>0</v>
      </c>
      <c r="AB9" s="495">
        <f t="shared" si="0"/>
        <v>0</v>
      </c>
      <c r="AC9" s="495">
        <f t="shared" si="0"/>
        <v>0</v>
      </c>
      <c r="AD9" s="495">
        <f t="shared" si="0"/>
        <v>0</v>
      </c>
      <c r="AE9" s="495">
        <f t="shared" si="0"/>
        <v>0</v>
      </c>
      <c r="AF9" s="495">
        <f t="shared" si="0"/>
        <v>0</v>
      </c>
      <c r="AG9" s="495">
        <f t="shared" si="0"/>
        <v>0</v>
      </c>
      <c r="AH9" s="495">
        <f t="shared" si="0"/>
        <v>0</v>
      </c>
      <c r="AI9" s="495">
        <f t="shared" si="0"/>
        <v>0</v>
      </c>
      <c r="AJ9" s="495">
        <f t="shared" si="0"/>
        <v>0</v>
      </c>
      <c r="AK9" s="495">
        <f t="shared" si="0"/>
        <v>0</v>
      </c>
      <c r="AL9" s="495">
        <f t="shared" ref="AL9:AT9" si="1">AL10+AL11</f>
        <v>0</v>
      </c>
      <c r="AM9" s="495">
        <f t="shared" si="1"/>
        <v>0</v>
      </c>
      <c r="AN9" s="495">
        <f t="shared" si="1"/>
        <v>0</v>
      </c>
      <c r="AO9" s="495">
        <f t="shared" si="1"/>
        <v>0</v>
      </c>
      <c r="AP9" s="495">
        <f t="shared" si="1"/>
        <v>0</v>
      </c>
      <c r="AQ9" s="495">
        <f t="shared" si="1"/>
        <v>0</v>
      </c>
      <c r="AR9" s="495">
        <f t="shared" si="1"/>
        <v>0</v>
      </c>
      <c r="AS9" s="495">
        <f t="shared" si="1"/>
        <v>0</v>
      </c>
      <c r="AT9" s="495">
        <f t="shared" si="1"/>
        <v>0</v>
      </c>
      <c r="AU9" s="388"/>
      <c r="AV9" s="388"/>
      <c r="AW9" s="388"/>
    </row>
    <row r="10" spans="1:52" s="161" customFormat="1" ht="15" customHeight="1">
      <c r="B10" s="373"/>
      <c r="C10" s="150" t="s">
        <v>474</v>
      </c>
      <c r="D10" s="373"/>
      <c r="E10" s="495">
        <f>(财务基础数据!J251+财务基础数据!J252)*目录!$D$6</f>
        <v>0</v>
      </c>
      <c r="F10" s="495">
        <f>(财务基础数据!K251+财务基础数据!K252)*目录!$D$6</f>
        <v>0</v>
      </c>
      <c r="G10" s="495">
        <f>(财务基础数据!L251+财务基础数据!L252)*目录!$D$6</f>
        <v>0</v>
      </c>
      <c r="H10" s="495">
        <f>(财务基础数据!M251+财务基础数据!M252)*目录!$D$6</f>
        <v>0</v>
      </c>
      <c r="I10" s="495">
        <f>(财务基础数据!N251+财务基础数据!N252)*目录!$D$6</f>
        <v>0</v>
      </c>
      <c r="J10" s="495">
        <f>(财务基础数据!O251+财务基础数据!O252)*目录!$D$6</f>
        <v>0</v>
      </c>
      <c r="K10" s="495">
        <f>(财务基础数据!P251+财务基础数据!P252)*目录!$D$6</f>
        <v>0</v>
      </c>
      <c r="L10" s="495">
        <f>(财务基础数据!Q251+财务基础数据!Q252)*目录!$D$6</f>
        <v>0</v>
      </c>
      <c r="M10" s="495">
        <f>(财务基础数据!R251+财务基础数据!R252)*目录!$D$6</f>
        <v>0</v>
      </c>
      <c r="N10" s="495">
        <f>(财务基础数据!S251+财务基础数据!S252)*目录!$D$6</f>
        <v>0</v>
      </c>
      <c r="O10" s="495">
        <f>(财务基础数据!T251+财务基础数据!T252)*目录!$D$6</f>
        <v>0</v>
      </c>
      <c r="P10" s="495">
        <f>(财务基础数据!U251+财务基础数据!U252)*目录!$D$6</f>
        <v>0</v>
      </c>
      <c r="Q10" s="495">
        <f>(财务基础数据!V251+财务基础数据!V252)*目录!$D$6</f>
        <v>0</v>
      </c>
      <c r="R10" s="495">
        <f>(财务基础数据!W251+财务基础数据!W252)*目录!$D$6</f>
        <v>0</v>
      </c>
      <c r="S10" s="495">
        <f>(财务基础数据!X251+财务基础数据!X252)*目录!$D$6</f>
        <v>0</v>
      </c>
      <c r="T10" s="495">
        <f>(财务基础数据!Y251+财务基础数据!Y252)*目录!$D$6</f>
        <v>0</v>
      </c>
      <c r="U10" s="495">
        <f>(财务基础数据!Z251+财务基础数据!Z252)*目录!$D$6</f>
        <v>0</v>
      </c>
      <c r="V10" s="495">
        <f>(财务基础数据!AA251+财务基础数据!AA252)*目录!$D$6</f>
        <v>0</v>
      </c>
      <c r="W10" s="495">
        <f>(财务基础数据!AB251+财务基础数据!AB252)*目录!$D$6</f>
        <v>0</v>
      </c>
      <c r="X10" s="495">
        <f>(财务基础数据!AC251+财务基础数据!AC252)*目录!$D$6</f>
        <v>0</v>
      </c>
      <c r="Y10" s="495">
        <f>(财务基础数据!AD251+财务基础数据!AD252)*目录!$D$6</f>
        <v>0</v>
      </c>
      <c r="Z10" s="495">
        <f>(财务基础数据!AE251+财务基础数据!AE252)*目录!$D$6</f>
        <v>0</v>
      </c>
      <c r="AA10" s="495">
        <f>(财务基础数据!AF251+财务基础数据!AF252)*目录!$D$6</f>
        <v>0</v>
      </c>
      <c r="AB10" s="495">
        <f>(财务基础数据!AG251+财务基础数据!AG252)*目录!$D$6</f>
        <v>0</v>
      </c>
      <c r="AC10" s="495">
        <f>(财务基础数据!AH251+财务基础数据!AH252)*目录!$D$6</f>
        <v>0</v>
      </c>
      <c r="AD10" s="495">
        <f>(财务基础数据!AI251+财务基础数据!AI252)*目录!$D$6</f>
        <v>0</v>
      </c>
      <c r="AE10" s="495">
        <f>(财务基础数据!AJ251+财务基础数据!AJ252)*目录!$D$6</f>
        <v>0</v>
      </c>
      <c r="AF10" s="495">
        <f>(财务基础数据!AK251+财务基础数据!AK252)*目录!$D$6</f>
        <v>0</v>
      </c>
      <c r="AG10" s="495">
        <f>(财务基础数据!AL251+财务基础数据!AL252)*目录!$D$6</f>
        <v>0</v>
      </c>
      <c r="AH10" s="495">
        <f>(财务基础数据!AM251+财务基础数据!AM252)*目录!$D$6</f>
        <v>0</v>
      </c>
      <c r="AI10" s="495">
        <f>(财务基础数据!AN251+财务基础数据!AN252)*目录!$D$6</f>
        <v>0</v>
      </c>
      <c r="AJ10" s="495">
        <f>(财务基础数据!AO251+财务基础数据!AO252)*目录!$D$6</f>
        <v>0</v>
      </c>
      <c r="AK10" s="495">
        <f>IF(ISERROR(-利润表!AK60-利润表!AK63),"—",-利润表!AK60-利润表!AK63)</f>
        <v>0</v>
      </c>
      <c r="AL10" s="495">
        <f>IF(ISERROR(-利润表!AL60-利润表!AL63),"—",-利润表!AL60-利润表!AL63)</f>
        <v>0</v>
      </c>
      <c r="AM10" s="495">
        <f>IF(ISERROR(-利润表!AM60-利润表!AM63),"—",-利润表!AM60-利润表!AM63)</f>
        <v>0</v>
      </c>
      <c r="AN10" s="495">
        <f>IF(ISERROR(-利润表!AN60-利润表!AN63),"—",-利润表!AN60-利润表!AN63)</f>
        <v>0</v>
      </c>
      <c r="AO10" s="495">
        <f>IF(ISERROR(-利润表!AO60-利润表!AO63),"—",-利润表!AO60-利润表!AO63)</f>
        <v>0</v>
      </c>
      <c r="AP10" s="495">
        <f>IF(ISERROR(-利润表!AP60-利润表!AP63),"—",-利润表!AP60-利润表!AP63)</f>
        <v>0</v>
      </c>
      <c r="AQ10" s="495">
        <f>IF(ISERROR(-利润表!AQ60-利润表!AQ63),"—",-利润表!AQ60-利润表!AQ63)</f>
        <v>0</v>
      </c>
      <c r="AR10" s="495">
        <f>IF(ISERROR(-利润表!AR60-利润表!AR63),"—",-利润表!AR60-利润表!AR63)</f>
        <v>0</v>
      </c>
      <c r="AS10" s="495">
        <f>IF(ISERROR(-利润表!AS60-利润表!AS63),"—",-利润表!AS60-利润表!AS63)</f>
        <v>0</v>
      </c>
      <c r="AT10" s="495">
        <f>IF(ISERROR(-利润表!AT60-利润表!AT63),"—",-利润表!AT60-利润表!AT63)</f>
        <v>0</v>
      </c>
      <c r="AU10" s="389"/>
      <c r="AV10" s="389"/>
      <c r="AW10" s="389"/>
    </row>
    <row r="11" spans="1:52" s="155" customFormat="1" ht="15" customHeight="1">
      <c r="B11" s="381"/>
      <c r="C11" s="130" t="s">
        <v>475</v>
      </c>
      <c r="D11" s="381"/>
      <c r="E11" s="9">
        <f>E12+E13+E14+E15</f>
        <v>0</v>
      </c>
      <c r="F11" s="9">
        <f t="shared" ref="F11:AK11" si="2">F12+F13+F14+F15</f>
        <v>0</v>
      </c>
      <c r="G11" s="9">
        <f t="shared" si="2"/>
        <v>0</v>
      </c>
      <c r="H11" s="9">
        <f t="shared" si="2"/>
        <v>0</v>
      </c>
      <c r="I11" s="9">
        <f t="shared" si="2"/>
        <v>0</v>
      </c>
      <c r="J11" s="9">
        <f t="shared" si="2"/>
        <v>0</v>
      </c>
      <c r="K11" s="9">
        <f t="shared" si="2"/>
        <v>0</v>
      </c>
      <c r="L11" s="9">
        <f t="shared" si="2"/>
        <v>0</v>
      </c>
      <c r="M11" s="9">
        <f t="shared" si="2"/>
        <v>0</v>
      </c>
      <c r="N11" s="9">
        <f t="shared" si="2"/>
        <v>0</v>
      </c>
      <c r="O11" s="9">
        <f t="shared" si="2"/>
        <v>0</v>
      </c>
      <c r="P11" s="9">
        <f t="shared" si="2"/>
        <v>0</v>
      </c>
      <c r="Q11" s="9">
        <f t="shared" si="2"/>
        <v>0</v>
      </c>
      <c r="R11" s="9">
        <f t="shared" si="2"/>
        <v>0</v>
      </c>
      <c r="S11" s="9">
        <f t="shared" si="2"/>
        <v>0</v>
      </c>
      <c r="T11" s="9">
        <f t="shared" si="2"/>
        <v>0</v>
      </c>
      <c r="U11" s="9">
        <f t="shared" si="2"/>
        <v>0</v>
      </c>
      <c r="V11" s="9">
        <f t="shared" si="2"/>
        <v>0</v>
      </c>
      <c r="W11" s="9">
        <f t="shared" si="2"/>
        <v>0</v>
      </c>
      <c r="X11" s="9">
        <f t="shared" si="2"/>
        <v>0</v>
      </c>
      <c r="Y11" s="9">
        <f t="shared" si="2"/>
        <v>0</v>
      </c>
      <c r="Z11" s="9">
        <f t="shared" si="2"/>
        <v>0</v>
      </c>
      <c r="AA11" s="9">
        <f t="shared" si="2"/>
        <v>0</v>
      </c>
      <c r="AB11" s="9">
        <f t="shared" si="2"/>
        <v>0</v>
      </c>
      <c r="AC11" s="9">
        <f t="shared" si="2"/>
        <v>0</v>
      </c>
      <c r="AD11" s="9">
        <f t="shared" si="2"/>
        <v>0</v>
      </c>
      <c r="AE11" s="9">
        <f t="shared" si="2"/>
        <v>0</v>
      </c>
      <c r="AF11" s="9">
        <f t="shared" si="2"/>
        <v>0</v>
      </c>
      <c r="AG11" s="9">
        <f t="shared" si="2"/>
        <v>0</v>
      </c>
      <c r="AH11" s="9">
        <f t="shared" si="2"/>
        <v>0</v>
      </c>
      <c r="AI11" s="9">
        <f t="shared" si="2"/>
        <v>0</v>
      </c>
      <c r="AJ11" s="9">
        <f t="shared" si="2"/>
        <v>0</v>
      </c>
      <c r="AK11" s="9">
        <f t="shared" si="2"/>
        <v>0</v>
      </c>
      <c r="AL11" s="9">
        <f t="shared" ref="AL11:AT11" si="3">AL12+AL13+AL14+AL15</f>
        <v>0</v>
      </c>
      <c r="AM11" s="9">
        <f t="shared" si="3"/>
        <v>0</v>
      </c>
      <c r="AN11" s="9">
        <f t="shared" si="3"/>
        <v>0</v>
      </c>
      <c r="AO11" s="9">
        <f t="shared" si="3"/>
        <v>0</v>
      </c>
      <c r="AP11" s="9">
        <f t="shared" si="3"/>
        <v>0</v>
      </c>
      <c r="AQ11" s="9">
        <f t="shared" si="3"/>
        <v>0</v>
      </c>
      <c r="AR11" s="9">
        <f t="shared" si="3"/>
        <v>0</v>
      </c>
      <c r="AS11" s="9">
        <f t="shared" si="3"/>
        <v>0</v>
      </c>
      <c r="AT11" s="9">
        <f t="shared" si="3"/>
        <v>0</v>
      </c>
      <c r="AU11" s="495"/>
      <c r="AV11" s="390"/>
      <c r="AW11" s="390"/>
    </row>
    <row r="12" spans="1:52" s="155" customFormat="1" ht="15" customHeight="1">
      <c r="B12" s="381"/>
      <c r="C12" s="130" t="s">
        <v>476</v>
      </c>
      <c r="D12" s="381"/>
      <c r="E12" s="9">
        <f>财务基础数据!J281*目录!$D$6</f>
        <v>0</v>
      </c>
      <c r="F12" s="9">
        <f>财务基础数据!K281*目录!$D$6</f>
        <v>0</v>
      </c>
      <c r="G12" s="9">
        <f>财务基础数据!L281*目录!$D$6</f>
        <v>0</v>
      </c>
      <c r="H12" s="9">
        <f>财务基础数据!M281*目录!$D$6</f>
        <v>0</v>
      </c>
      <c r="I12" s="9">
        <f>财务基础数据!N281*目录!$D$6</f>
        <v>0</v>
      </c>
      <c r="J12" s="9">
        <f>财务基础数据!O281*目录!$D$6</f>
        <v>0</v>
      </c>
      <c r="K12" s="9">
        <f>财务基础数据!P281*目录!$D$6</f>
        <v>0</v>
      </c>
      <c r="L12" s="9">
        <f>财务基础数据!Q281*目录!$D$6</f>
        <v>0</v>
      </c>
      <c r="M12" s="9">
        <f>财务基础数据!R281*目录!$D$6</f>
        <v>0</v>
      </c>
      <c r="N12" s="9">
        <f>财务基础数据!S281*目录!$D$6</f>
        <v>0</v>
      </c>
      <c r="O12" s="9">
        <f>财务基础数据!T281*目录!$D$6</f>
        <v>0</v>
      </c>
      <c r="P12" s="9">
        <f>财务基础数据!U281*目录!$D$6</f>
        <v>0</v>
      </c>
      <c r="Q12" s="9">
        <f>财务基础数据!V281*目录!$D$6</f>
        <v>0</v>
      </c>
      <c r="R12" s="9">
        <f>财务基础数据!W281*目录!$D$6</f>
        <v>0</v>
      </c>
      <c r="S12" s="9">
        <f>财务基础数据!X281*目录!$D$6</f>
        <v>0</v>
      </c>
      <c r="T12" s="9">
        <f>财务基础数据!Y281*目录!$D$6</f>
        <v>0</v>
      </c>
      <c r="U12" s="9">
        <f>财务基础数据!Z281*目录!$D$6</f>
        <v>0</v>
      </c>
      <c r="V12" s="9">
        <f>财务基础数据!AA281*目录!$D$6</f>
        <v>0</v>
      </c>
      <c r="W12" s="9">
        <f>财务基础数据!AB281*目录!$D$6</f>
        <v>0</v>
      </c>
      <c r="X12" s="9">
        <f>财务基础数据!AC281*目录!$D$6</f>
        <v>0</v>
      </c>
      <c r="Y12" s="9">
        <f>财务基础数据!AD281*目录!$D$6</f>
        <v>0</v>
      </c>
      <c r="Z12" s="9">
        <f>财务基础数据!AE281*目录!$D$6</f>
        <v>0</v>
      </c>
      <c r="AA12" s="9">
        <f>财务基础数据!AF281*目录!$D$6</f>
        <v>0</v>
      </c>
      <c r="AB12" s="9">
        <f>财务基础数据!AG281*目录!$D$6</f>
        <v>0</v>
      </c>
      <c r="AC12" s="9">
        <f>财务基础数据!AH281*目录!$D$6</f>
        <v>0</v>
      </c>
      <c r="AD12" s="9">
        <f>财务基础数据!AI281*目录!$D$6</f>
        <v>0</v>
      </c>
      <c r="AE12" s="9">
        <f>财务基础数据!AJ281*目录!$D$6</f>
        <v>0</v>
      </c>
      <c r="AF12" s="9">
        <f>财务基础数据!AK281*目录!$D$6</f>
        <v>0</v>
      </c>
      <c r="AG12" s="9">
        <f>财务基础数据!AL281*目录!$D$6</f>
        <v>0</v>
      </c>
      <c r="AH12" s="9">
        <f>财务基础数据!AM281*目录!$D$6</f>
        <v>0</v>
      </c>
      <c r="AI12" s="9">
        <f>财务基础数据!AN281*目录!$D$6</f>
        <v>0</v>
      </c>
      <c r="AJ12" s="9">
        <f>财务基础数据!AO281*目录!$D$6</f>
        <v>0</v>
      </c>
      <c r="AK12" s="495">
        <f>IF(ISERROR(投资与减值!L15+投资与减值!L99+投资与减值!L142+投资与减值!L151),"—",投资与减值!L15+投资与减值!L99+投资与减值!L142+投资与减值!L151)</f>
        <v>0</v>
      </c>
      <c r="AL12" s="495">
        <f>IF(ISERROR(投资与减值!M15+投资与减值!M99+投资与减值!M142+投资与减值!M151),"—",投资与减值!M15+投资与减值!M99+投资与减值!M142+投资与减值!M151)</f>
        <v>0</v>
      </c>
      <c r="AM12" s="495">
        <f>IF(ISERROR(投资与减值!N15+投资与减值!N99+投资与减值!N142+投资与减值!N151),"—",投资与减值!N15+投资与减值!N99+投资与减值!N142+投资与减值!N151)</f>
        <v>0</v>
      </c>
      <c r="AN12" s="495">
        <f>IF(ISERROR(投资与减值!O15+投资与减值!O99+投资与减值!O142+投资与减值!O151),"—",投资与减值!O15+投资与减值!O99+投资与减值!O142+投资与减值!O151)</f>
        <v>0</v>
      </c>
      <c r="AO12" s="495">
        <f>IF(ISERROR(投资与减值!P15+投资与减值!P99+投资与减值!P142+投资与减值!P151),"—",投资与减值!P15+投资与减值!P99+投资与减值!P142+投资与减值!P151)</f>
        <v>0</v>
      </c>
      <c r="AP12" s="495">
        <f>IF(ISERROR(投资与减值!Q15+投资与减值!Q99+投资与减值!Q142+投资与减值!Q151),"—",投资与减值!Q15+投资与减值!Q99+投资与减值!Q142+投资与减值!Q151)</f>
        <v>0</v>
      </c>
      <c r="AQ12" s="495">
        <f>IF(ISERROR(投资与减值!R15+投资与减值!R99+投资与减值!R142+投资与减值!R151),"—",投资与减值!R15+投资与减值!R99+投资与减值!R142+投资与减值!R151)</f>
        <v>0</v>
      </c>
      <c r="AR12" s="495">
        <f>IF(ISERROR(投资与减值!S15+投资与减值!S99+投资与减值!S142+投资与减值!S151),"—",投资与减值!S15+投资与减值!S99+投资与减值!S142+投资与减值!S151)</f>
        <v>0</v>
      </c>
      <c r="AS12" s="495">
        <f>IF(ISERROR(投资与减值!T15+投资与减值!T99+投资与减值!T142+投资与减值!T151),"—",投资与减值!T15+投资与减值!T99+投资与减值!T142+投资与减值!T151)</f>
        <v>0</v>
      </c>
      <c r="AT12" s="495">
        <f>IF(ISERROR(投资与减值!U15+投资与减值!U99+投资与减值!U142+投资与减值!U151),"—",投资与减值!U15+投资与减值!U99+投资与减值!U142+投资与减值!U151)</f>
        <v>0</v>
      </c>
      <c r="AU12" s="495"/>
      <c r="AV12" s="390"/>
      <c r="AW12" s="390"/>
    </row>
    <row r="13" spans="1:52" s="155" customFormat="1" ht="15" customHeight="1">
      <c r="B13" s="381"/>
      <c r="C13" s="75" t="s">
        <v>477</v>
      </c>
      <c r="D13" s="381"/>
      <c r="E13" s="9">
        <f>财务基础数据!J255*目录!$D$6</f>
        <v>0</v>
      </c>
      <c r="F13" s="9">
        <f>财务基础数据!K255*目录!$D$6</f>
        <v>0</v>
      </c>
      <c r="G13" s="9">
        <f>财务基础数据!L255*目录!$D$6</f>
        <v>0</v>
      </c>
      <c r="H13" s="9">
        <f>财务基础数据!M255*目录!$D$6</f>
        <v>0</v>
      </c>
      <c r="I13" s="9">
        <f>财务基础数据!N255*目录!$D$6</f>
        <v>0</v>
      </c>
      <c r="J13" s="9">
        <f>财务基础数据!O255*目录!$D$6</f>
        <v>0</v>
      </c>
      <c r="K13" s="9">
        <f>财务基础数据!P255*目录!$D$6</f>
        <v>0</v>
      </c>
      <c r="L13" s="9">
        <f>财务基础数据!Q255*目录!$D$6</f>
        <v>0</v>
      </c>
      <c r="M13" s="9">
        <f>财务基础数据!R255*目录!$D$6</f>
        <v>0</v>
      </c>
      <c r="N13" s="9">
        <f>财务基础数据!S255*目录!$D$6</f>
        <v>0</v>
      </c>
      <c r="O13" s="9">
        <f>财务基础数据!T255*目录!$D$6</f>
        <v>0</v>
      </c>
      <c r="P13" s="9">
        <f>财务基础数据!U255*目录!$D$6</f>
        <v>0</v>
      </c>
      <c r="Q13" s="9">
        <f>财务基础数据!V255*目录!$D$6</f>
        <v>0</v>
      </c>
      <c r="R13" s="9">
        <f>财务基础数据!W255*目录!$D$6</f>
        <v>0</v>
      </c>
      <c r="S13" s="9">
        <f>财务基础数据!X255*目录!$D$6</f>
        <v>0</v>
      </c>
      <c r="T13" s="9">
        <f>财务基础数据!Y255*目录!$D$6</f>
        <v>0</v>
      </c>
      <c r="U13" s="9">
        <f>财务基础数据!Z255*目录!$D$6</f>
        <v>0</v>
      </c>
      <c r="V13" s="9">
        <f>财务基础数据!AA255*目录!$D$6</f>
        <v>0</v>
      </c>
      <c r="W13" s="9">
        <f>财务基础数据!AB255*目录!$D$6</f>
        <v>0</v>
      </c>
      <c r="X13" s="9">
        <f>财务基础数据!AC255*目录!$D$6</f>
        <v>0</v>
      </c>
      <c r="Y13" s="9">
        <f>财务基础数据!AD255*目录!$D$6</f>
        <v>0</v>
      </c>
      <c r="Z13" s="9">
        <f>财务基础数据!AE255*目录!$D$6</f>
        <v>0</v>
      </c>
      <c r="AA13" s="9">
        <f>财务基础数据!AF255*目录!$D$6</f>
        <v>0</v>
      </c>
      <c r="AB13" s="9">
        <f>财务基础数据!AG255*目录!$D$6</f>
        <v>0</v>
      </c>
      <c r="AC13" s="9">
        <f>财务基础数据!AH255*目录!$D$6</f>
        <v>0</v>
      </c>
      <c r="AD13" s="9">
        <f>财务基础数据!AI255*目录!$D$6</f>
        <v>0</v>
      </c>
      <c r="AE13" s="9">
        <f>财务基础数据!AJ255*目录!$D$6</f>
        <v>0</v>
      </c>
      <c r="AF13" s="9">
        <f>财务基础数据!AK255*目录!$D$6</f>
        <v>0</v>
      </c>
      <c r="AG13" s="9">
        <f>财务基础数据!AL255*目录!$D$6</f>
        <v>0</v>
      </c>
      <c r="AH13" s="9">
        <f>财务基础数据!AM255*目录!$D$6</f>
        <v>0</v>
      </c>
      <c r="AI13" s="9">
        <f>财务基础数据!AN255*目录!$D$6</f>
        <v>0</v>
      </c>
      <c r="AJ13" s="9">
        <f>财务基础数据!AO255*目录!$D$6</f>
        <v>0</v>
      </c>
      <c r="AK13" s="495">
        <f>IF(ISERROR(投资与减值!L55),"—",投资与减值!L55)</f>
        <v>0</v>
      </c>
      <c r="AL13" s="495">
        <f>IF(ISERROR(投资与减值!M55),"—",投资与减值!M55)</f>
        <v>0</v>
      </c>
      <c r="AM13" s="495">
        <f>IF(ISERROR(投资与减值!N55),"—",投资与减值!N55)</f>
        <v>0</v>
      </c>
      <c r="AN13" s="495">
        <f>IF(ISERROR(投资与减值!O55),"—",投资与减值!O55)</f>
        <v>0</v>
      </c>
      <c r="AO13" s="495">
        <f>IF(ISERROR(投资与减值!P55),"—",投资与减值!P55)</f>
        <v>0</v>
      </c>
      <c r="AP13" s="495">
        <f>IF(ISERROR(投资与减值!Q55),"—",投资与减值!Q55)</f>
        <v>0</v>
      </c>
      <c r="AQ13" s="495">
        <f>IF(ISERROR(投资与减值!R55),"—",投资与减值!R55)</f>
        <v>0</v>
      </c>
      <c r="AR13" s="495">
        <f>IF(ISERROR(投资与减值!S55),"—",投资与减值!S55)</f>
        <v>0</v>
      </c>
      <c r="AS13" s="495">
        <f>IF(ISERROR(投资与减值!T55),"—",投资与减值!T55)</f>
        <v>0</v>
      </c>
      <c r="AT13" s="495">
        <f>IF(ISERROR(投资与减值!U55),"—",投资与减值!U55)</f>
        <v>0</v>
      </c>
      <c r="AU13" s="495"/>
      <c r="AV13" s="390"/>
      <c r="AW13" s="390"/>
    </row>
    <row r="14" spans="1:52" s="155" customFormat="1" ht="15" customHeight="1">
      <c r="B14" s="381"/>
      <c r="C14" s="75" t="s">
        <v>478</v>
      </c>
      <c r="D14" s="381"/>
      <c r="E14" s="9">
        <f>财务基础数据!J256*目录!$D$6</f>
        <v>0</v>
      </c>
      <c r="F14" s="9">
        <f>财务基础数据!K256*目录!$D$6</f>
        <v>0</v>
      </c>
      <c r="G14" s="9">
        <f>财务基础数据!L256*目录!$D$6</f>
        <v>0</v>
      </c>
      <c r="H14" s="9">
        <f>财务基础数据!M256*目录!$D$6</f>
        <v>0</v>
      </c>
      <c r="I14" s="9">
        <f>财务基础数据!N256*目录!$D$6</f>
        <v>0</v>
      </c>
      <c r="J14" s="9">
        <f>财务基础数据!O256*目录!$D$6</f>
        <v>0</v>
      </c>
      <c r="K14" s="9">
        <f>财务基础数据!P256*目录!$D$6</f>
        <v>0</v>
      </c>
      <c r="L14" s="9">
        <f>财务基础数据!Q256*目录!$D$6</f>
        <v>0</v>
      </c>
      <c r="M14" s="9">
        <f>财务基础数据!R256*目录!$D$6</f>
        <v>0</v>
      </c>
      <c r="N14" s="9">
        <f>财务基础数据!S256*目录!$D$6</f>
        <v>0</v>
      </c>
      <c r="O14" s="9">
        <f>财务基础数据!T256*目录!$D$6</f>
        <v>0</v>
      </c>
      <c r="P14" s="9">
        <f>财务基础数据!U256*目录!$D$6</f>
        <v>0</v>
      </c>
      <c r="Q14" s="9">
        <f>财务基础数据!V256*目录!$D$6</f>
        <v>0</v>
      </c>
      <c r="R14" s="9">
        <f>财务基础数据!W256*目录!$D$6</f>
        <v>0</v>
      </c>
      <c r="S14" s="9">
        <f>财务基础数据!X256*目录!$D$6</f>
        <v>0</v>
      </c>
      <c r="T14" s="9">
        <f>财务基础数据!Y256*目录!$D$6</f>
        <v>0</v>
      </c>
      <c r="U14" s="9">
        <f>财务基础数据!Z256*目录!$D$6</f>
        <v>0</v>
      </c>
      <c r="V14" s="9">
        <f>财务基础数据!AA256*目录!$D$6</f>
        <v>0</v>
      </c>
      <c r="W14" s="9">
        <f>财务基础数据!AB256*目录!$D$6</f>
        <v>0</v>
      </c>
      <c r="X14" s="9">
        <f>财务基础数据!AC256*目录!$D$6</f>
        <v>0</v>
      </c>
      <c r="Y14" s="9">
        <f>财务基础数据!AD256*目录!$D$6</f>
        <v>0</v>
      </c>
      <c r="Z14" s="9">
        <f>财务基础数据!AE256*目录!$D$6</f>
        <v>0</v>
      </c>
      <c r="AA14" s="9">
        <f>财务基础数据!AF256*目录!$D$6</f>
        <v>0</v>
      </c>
      <c r="AB14" s="9">
        <f>财务基础数据!AG256*目录!$D$6</f>
        <v>0</v>
      </c>
      <c r="AC14" s="9">
        <f>财务基础数据!AH256*目录!$D$6</f>
        <v>0</v>
      </c>
      <c r="AD14" s="9">
        <f>财务基础数据!AI256*目录!$D$6</f>
        <v>0</v>
      </c>
      <c r="AE14" s="9">
        <f>财务基础数据!AJ256*目录!$D$6</f>
        <v>0</v>
      </c>
      <c r="AF14" s="9">
        <f>财务基础数据!AK256*目录!$D$6</f>
        <v>0</v>
      </c>
      <c r="AG14" s="9">
        <f>财务基础数据!AL256*目录!$D$6</f>
        <v>0</v>
      </c>
      <c r="AH14" s="9">
        <f>财务基础数据!AM256*目录!$D$6</f>
        <v>0</v>
      </c>
      <c r="AI14" s="9">
        <f>财务基础数据!AN256*目录!$D$6</f>
        <v>0</v>
      </c>
      <c r="AJ14" s="9">
        <f>财务基础数据!AO256*目录!$D$6</f>
        <v>0</v>
      </c>
      <c r="AK14" s="495">
        <f>IF(ISERROR(资产预测!L117),"—",资产预测!L117)</f>
        <v>0</v>
      </c>
      <c r="AL14" s="495">
        <f>IF(ISERROR(资产预测!M117),"—",资产预测!M117)</f>
        <v>0</v>
      </c>
      <c r="AM14" s="495">
        <f>IF(ISERROR(资产预测!N117),"—",资产预测!N117)</f>
        <v>0</v>
      </c>
      <c r="AN14" s="495">
        <f>IF(ISERROR(资产预测!O117),"—",资产预测!O117)</f>
        <v>0</v>
      </c>
      <c r="AO14" s="495">
        <f>IF(ISERROR(资产预测!P117),"—",资产预测!P117)</f>
        <v>0</v>
      </c>
      <c r="AP14" s="495">
        <f>IF(ISERROR(资产预测!Q117),"—",资产预测!Q117)</f>
        <v>0</v>
      </c>
      <c r="AQ14" s="495">
        <f>IF(ISERROR(资产预测!R117),"—",资产预测!R117)</f>
        <v>0</v>
      </c>
      <c r="AR14" s="495">
        <f>IF(ISERROR(资产预测!S117),"—",资产预测!S117)</f>
        <v>0</v>
      </c>
      <c r="AS14" s="495">
        <f>IF(ISERROR(资产预测!T117),"—",资产预测!T117)</f>
        <v>0</v>
      </c>
      <c r="AT14" s="495">
        <f>IF(ISERROR(资产预测!U117),"—",资产预测!U117)</f>
        <v>0</v>
      </c>
      <c r="AU14" s="495"/>
      <c r="AV14" s="390"/>
      <c r="AW14" s="390"/>
    </row>
    <row r="15" spans="1:52" s="155" customFormat="1" ht="15" customHeight="1">
      <c r="B15" s="381"/>
      <c r="C15" s="75" t="s">
        <v>479</v>
      </c>
      <c r="D15" s="381"/>
      <c r="E15" s="9">
        <f>财务基础数据!J282*目录!$D$6</f>
        <v>0</v>
      </c>
      <c r="F15" s="9">
        <f>财务基础数据!K282*目录!$D$6</f>
        <v>0</v>
      </c>
      <c r="G15" s="9">
        <f>财务基础数据!L282*目录!$D$6</f>
        <v>0</v>
      </c>
      <c r="H15" s="9">
        <f>财务基础数据!M282*目录!$D$6</f>
        <v>0</v>
      </c>
      <c r="I15" s="9">
        <f>财务基础数据!N282*目录!$D$6</f>
        <v>0</v>
      </c>
      <c r="J15" s="9">
        <f>财务基础数据!O282*目录!$D$6</f>
        <v>0</v>
      </c>
      <c r="K15" s="9">
        <f>财务基础数据!P282*目录!$D$6</f>
        <v>0</v>
      </c>
      <c r="L15" s="9">
        <f>财务基础数据!Q282*目录!$D$6</f>
        <v>0</v>
      </c>
      <c r="M15" s="9">
        <f>财务基础数据!R282*目录!$D$6</f>
        <v>0</v>
      </c>
      <c r="N15" s="9">
        <f>财务基础数据!S282*目录!$D$6</f>
        <v>0</v>
      </c>
      <c r="O15" s="9">
        <f>财务基础数据!T282*目录!$D$6</f>
        <v>0</v>
      </c>
      <c r="P15" s="9">
        <f>财务基础数据!U282*目录!$D$6</f>
        <v>0</v>
      </c>
      <c r="Q15" s="9">
        <f>财务基础数据!V282*目录!$D$6</f>
        <v>0</v>
      </c>
      <c r="R15" s="9">
        <f>财务基础数据!W282*目录!$D$6</f>
        <v>0</v>
      </c>
      <c r="S15" s="9">
        <f>财务基础数据!X282*目录!$D$6</f>
        <v>0</v>
      </c>
      <c r="T15" s="9">
        <f>财务基础数据!Y282*目录!$D$6</f>
        <v>0</v>
      </c>
      <c r="U15" s="9">
        <f>财务基础数据!Z282*目录!$D$6</f>
        <v>0</v>
      </c>
      <c r="V15" s="9">
        <f>财务基础数据!AA282*目录!$D$6</f>
        <v>0</v>
      </c>
      <c r="W15" s="9">
        <f>财务基础数据!AB282*目录!$D$6</f>
        <v>0</v>
      </c>
      <c r="X15" s="9">
        <f>财务基础数据!AC282*目录!$D$6</f>
        <v>0</v>
      </c>
      <c r="Y15" s="9">
        <f>财务基础数据!AD282*目录!$D$6</f>
        <v>0</v>
      </c>
      <c r="Z15" s="9">
        <f>财务基础数据!AE282*目录!$D$6</f>
        <v>0</v>
      </c>
      <c r="AA15" s="9">
        <f>财务基础数据!AF282*目录!$D$6</f>
        <v>0</v>
      </c>
      <c r="AB15" s="9">
        <f>财务基础数据!AG282*目录!$D$6</f>
        <v>0</v>
      </c>
      <c r="AC15" s="9">
        <f>财务基础数据!AH282*目录!$D$6</f>
        <v>0</v>
      </c>
      <c r="AD15" s="9">
        <f>财务基础数据!AI282*目录!$D$6</f>
        <v>0</v>
      </c>
      <c r="AE15" s="9">
        <f>财务基础数据!AJ282*目录!$D$6</f>
        <v>0</v>
      </c>
      <c r="AF15" s="9">
        <f>财务基础数据!AK282*目录!$D$6</f>
        <v>0</v>
      </c>
      <c r="AG15" s="9">
        <f>财务基础数据!AL282*目录!$D$6</f>
        <v>0</v>
      </c>
      <c r="AH15" s="9">
        <f>财务基础数据!AM282*目录!$D$6</f>
        <v>0</v>
      </c>
      <c r="AI15" s="9">
        <f>财务基础数据!AN282*目录!$D$6</f>
        <v>0</v>
      </c>
      <c r="AJ15" s="9">
        <f>财务基础数据!AO282*目录!$D$6</f>
        <v>0</v>
      </c>
      <c r="AK15" s="495">
        <f>IF(ISERROR(投资与减值!L110),"—",投资与减值!L110)</f>
        <v>0</v>
      </c>
      <c r="AL15" s="495">
        <f>IF(ISERROR(投资与减值!M110),"—",投资与减值!M110)</f>
        <v>0</v>
      </c>
      <c r="AM15" s="495">
        <f>IF(ISERROR(投资与减值!N110),"—",投资与减值!N110)</f>
        <v>0</v>
      </c>
      <c r="AN15" s="495">
        <f>IF(ISERROR(投资与减值!O110),"—",投资与减值!O110)</f>
        <v>0</v>
      </c>
      <c r="AO15" s="495">
        <f>IF(ISERROR(投资与减值!P110),"—",投资与减值!P110)</f>
        <v>0</v>
      </c>
      <c r="AP15" s="495">
        <f>IF(ISERROR(投资与减值!Q110),"—",投资与减值!Q110)</f>
        <v>0</v>
      </c>
      <c r="AQ15" s="495">
        <f>IF(ISERROR(投资与减值!R110),"—",投资与减值!R110)</f>
        <v>0</v>
      </c>
      <c r="AR15" s="495">
        <f>IF(ISERROR(投资与减值!S110),"—",投资与减值!S110)</f>
        <v>0</v>
      </c>
      <c r="AS15" s="495">
        <f>IF(ISERROR(投资与减值!T110),"—",投资与减值!T110)</f>
        <v>0</v>
      </c>
      <c r="AT15" s="495">
        <f>IF(ISERROR(投资与减值!U110),"—",投资与减值!U110)</f>
        <v>0</v>
      </c>
      <c r="AU15" s="495"/>
      <c r="AV15" s="390"/>
      <c r="AW15" s="390"/>
    </row>
    <row r="16" spans="1:52" ht="15" customHeight="1">
      <c r="B16" s="373" t="s">
        <v>480</v>
      </c>
      <c r="C16" s="150"/>
      <c r="E16" s="495">
        <f>E17+E18+E19+E20+E21+E22</f>
        <v>0</v>
      </c>
      <c r="F16" s="495">
        <f t="shared" ref="F16:AJ16" si="4">F17+F18+F19+F20+F21+F22</f>
        <v>0</v>
      </c>
      <c r="G16" s="495">
        <f t="shared" si="4"/>
        <v>0</v>
      </c>
      <c r="H16" s="495">
        <f t="shared" si="4"/>
        <v>0</v>
      </c>
      <c r="I16" s="495">
        <f t="shared" si="4"/>
        <v>0</v>
      </c>
      <c r="J16" s="495">
        <f t="shared" si="4"/>
        <v>0</v>
      </c>
      <c r="K16" s="495">
        <f t="shared" si="4"/>
        <v>0</v>
      </c>
      <c r="L16" s="495">
        <f t="shared" si="4"/>
        <v>0</v>
      </c>
      <c r="M16" s="495">
        <f t="shared" si="4"/>
        <v>0</v>
      </c>
      <c r="N16" s="495">
        <f t="shared" si="4"/>
        <v>0</v>
      </c>
      <c r="O16" s="495">
        <f t="shared" si="4"/>
        <v>0</v>
      </c>
      <c r="P16" s="495">
        <f t="shared" si="4"/>
        <v>0</v>
      </c>
      <c r="Q16" s="495">
        <f t="shared" si="4"/>
        <v>0</v>
      </c>
      <c r="R16" s="495">
        <f t="shared" si="4"/>
        <v>0</v>
      </c>
      <c r="S16" s="495">
        <f t="shared" si="4"/>
        <v>0</v>
      </c>
      <c r="T16" s="495">
        <f t="shared" si="4"/>
        <v>0</v>
      </c>
      <c r="U16" s="495">
        <f t="shared" si="4"/>
        <v>0</v>
      </c>
      <c r="V16" s="495">
        <f t="shared" si="4"/>
        <v>0</v>
      </c>
      <c r="W16" s="495">
        <f t="shared" si="4"/>
        <v>0</v>
      </c>
      <c r="X16" s="495">
        <f t="shared" si="4"/>
        <v>0</v>
      </c>
      <c r="Y16" s="495">
        <f t="shared" si="4"/>
        <v>0</v>
      </c>
      <c r="Z16" s="495">
        <f t="shared" si="4"/>
        <v>0</v>
      </c>
      <c r="AA16" s="495">
        <f t="shared" si="4"/>
        <v>0</v>
      </c>
      <c r="AB16" s="495">
        <f t="shared" si="4"/>
        <v>0</v>
      </c>
      <c r="AC16" s="495">
        <f t="shared" si="4"/>
        <v>0</v>
      </c>
      <c r="AD16" s="495">
        <f t="shared" si="4"/>
        <v>0</v>
      </c>
      <c r="AE16" s="495">
        <f t="shared" si="4"/>
        <v>0</v>
      </c>
      <c r="AF16" s="495">
        <f t="shared" si="4"/>
        <v>0</v>
      </c>
      <c r="AG16" s="495">
        <f t="shared" si="4"/>
        <v>0</v>
      </c>
      <c r="AH16" s="495">
        <f t="shared" si="4"/>
        <v>0</v>
      </c>
      <c r="AI16" s="495">
        <f t="shared" si="4"/>
        <v>0</v>
      </c>
      <c r="AJ16" s="495">
        <f t="shared" si="4"/>
        <v>0</v>
      </c>
      <c r="AK16" s="495">
        <f t="shared" ref="AK16:AT16" si="5">IF(ISERROR(AK17+AK18+AK19+AK20+AK21+AK22),"—",AK17+AK18+AK19+AK20+AK21+AK22)</f>
        <v>0</v>
      </c>
      <c r="AL16" s="495">
        <f t="shared" si="5"/>
        <v>0</v>
      </c>
      <c r="AM16" s="495">
        <f t="shared" si="5"/>
        <v>0</v>
      </c>
      <c r="AN16" s="495">
        <f t="shared" si="5"/>
        <v>0</v>
      </c>
      <c r="AO16" s="495">
        <f t="shared" si="5"/>
        <v>0</v>
      </c>
      <c r="AP16" s="495">
        <f t="shared" si="5"/>
        <v>0</v>
      </c>
      <c r="AQ16" s="495">
        <f t="shared" si="5"/>
        <v>0</v>
      </c>
      <c r="AR16" s="495">
        <f t="shared" si="5"/>
        <v>0</v>
      </c>
      <c r="AS16" s="495">
        <f t="shared" si="5"/>
        <v>0</v>
      </c>
      <c r="AT16" s="495">
        <f t="shared" si="5"/>
        <v>0</v>
      </c>
      <c r="AU16" s="388"/>
      <c r="AV16" s="388"/>
      <c r="AW16" s="388"/>
    </row>
    <row r="17" spans="2:49" ht="15" customHeight="1">
      <c r="C17" s="150" t="s">
        <v>481</v>
      </c>
      <c r="E17" s="495">
        <f>(财务基础数据!J257+财务基础数据!J258)*目录!$D$6</f>
        <v>0</v>
      </c>
      <c r="F17" s="495">
        <f>(财务基础数据!K257+财务基础数据!K258)*目录!$D$6</f>
        <v>0</v>
      </c>
      <c r="G17" s="495">
        <f>(财务基础数据!L257+财务基础数据!L258)*目录!$D$6</f>
        <v>0</v>
      </c>
      <c r="H17" s="495">
        <f>(财务基础数据!M257+财务基础数据!M258)*目录!$D$6</f>
        <v>0</v>
      </c>
      <c r="I17" s="495">
        <f>(财务基础数据!N257+财务基础数据!N258)*目录!$D$6</f>
        <v>0</v>
      </c>
      <c r="J17" s="495">
        <f>(财务基础数据!O257+财务基础数据!O258)*目录!$D$6</f>
        <v>0</v>
      </c>
      <c r="K17" s="495">
        <f>(财务基础数据!P257+财务基础数据!P258)*目录!$D$6</f>
        <v>0</v>
      </c>
      <c r="L17" s="495">
        <f>(财务基础数据!Q257+财务基础数据!Q258)*目录!$D$6</f>
        <v>0</v>
      </c>
      <c r="M17" s="495">
        <f>(财务基础数据!R257+财务基础数据!R258)*目录!$D$6</f>
        <v>0</v>
      </c>
      <c r="N17" s="495">
        <f>(财务基础数据!S257+财务基础数据!S258)*目录!$D$6</f>
        <v>0</v>
      </c>
      <c r="O17" s="495">
        <f>(财务基础数据!T257+财务基础数据!T258)*目录!$D$6</f>
        <v>0</v>
      </c>
      <c r="P17" s="495">
        <f>(财务基础数据!U257+财务基础数据!U258)*目录!$D$6</f>
        <v>0</v>
      </c>
      <c r="Q17" s="495">
        <f>(财务基础数据!V257+财务基础数据!V258)*目录!$D$6</f>
        <v>0</v>
      </c>
      <c r="R17" s="495">
        <f>(财务基础数据!W257+财务基础数据!W258)*目录!$D$6</f>
        <v>0</v>
      </c>
      <c r="S17" s="495">
        <f>(财务基础数据!X257+财务基础数据!X258)*目录!$D$6</f>
        <v>0</v>
      </c>
      <c r="T17" s="495">
        <f>(财务基础数据!Y257+财务基础数据!Y258)*目录!$D$6</f>
        <v>0</v>
      </c>
      <c r="U17" s="495">
        <f>(财务基础数据!Z257+财务基础数据!Z258)*目录!$D$6</f>
        <v>0</v>
      </c>
      <c r="V17" s="495">
        <f>(财务基础数据!AA257+财务基础数据!AA258)*目录!$D$6</f>
        <v>0</v>
      </c>
      <c r="W17" s="495">
        <f>(财务基础数据!AB257+财务基础数据!AB258)*目录!$D$6</f>
        <v>0</v>
      </c>
      <c r="X17" s="495">
        <f>(财务基础数据!AC257+财务基础数据!AC258)*目录!$D$6</f>
        <v>0</v>
      </c>
      <c r="Y17" s="495">
        <f>(财务基础数据!AD257+财务基础数据!AD258)*目录!$D$6</f>
        <v>0</v>
      </c>
      <c r="Z17" s="495">
        <f>(财务基础数据!AE257+财务基础数据!AE258)*目录!$D$6</f>
        <v>0</v>
      </c>
      <c r="AA17" s="495">
        <f>(财务基础数据!AF257+财务基础数据!AF258)*目录!$D$6</f>
        <v>0</v>
      </c>
      <c r="AB17" s="495">
        <f>(财务基础数据!AG257+财务基础数据!AG258)*目录!$D$6</f>
        <v>0</v>
      </c>
      <c r="AC17" s="495">
        <f>(财务基础数据!AH257+财务基础数据!AH258)*目录!$D$6</f>
        <v>0</v>
      </c>
      <c r="AD17" s="495">
        <f>(财务基础数据!AI257+财务基础数据!AI258)*目录!$D$6</f>
        <v>0</v>
      </c>
      <c r="AE17" s="495">
        <f>(财务基础数据!AJ257+财务基础数据!AJ258)*目录!$D$6</f>
        <v>0</v>
      </c>
      <c r="AF17" s="495">
        <f>(财务基础数据!AK257+财务基础数据!AK258)*目录!$D$6</f>
        <v>0</v>
      </c>
      <c r="AG17" s="495">
        <f>(财务基础数据!AL257+财务基础数据!AL258)*目录!$D$6</f>
        <v>0</v>
      </c>
      <c r="AH17" s="495">
        <f>(财务基础数据!AM257+财务基础数据!AM258)*目录!$D$6</f>
        <v>0</v>
      </c>
      <c r="AI17" s="495">
        <f>(财务基础数据!AN257+财务基础数据!AN258)*目录!$D$6</f>
        <v>0</v>
      </c>
      <c r="AJ17" s="495">
        <f>(财务基础数据!AO257+财务基础数据!AO258)*目录!$D$6</f>
        <v>0</v>
      </c>
      <c r="AK17" s="495">
        <f>IF(ISERROR(-利润表!AK81-利润表!AK66+销售预测!L45),"—",-利润表!AK81-利润表!AK66+销售预测!L45)</f>
        <v>0</v>
      </c>
      <c r="AL17" s="495">
        <f>IF(ISERROR(-利润表!AL81-利润表!AL66+销售预测!M45),"—",-利润表!AL81-利润表!AL66+销售预测!M45)</f>
        <v>0</v>
      </c>
      <c r="AM17" s="495">
        <f>IF(ISERROR(-利润表!AM81-利润表!AM66+销售预测!N45),"—",-利润表!AM81-利润表!AM66+销售预测!N45)</f>
        <v>0</v>
      </c>
      <c r="AN17" s="495">
        <f>IF(ISERROR(-利润表!AN81-利润表!AN66+销售预测!O45),"—",-利润表!AN81-利润表!AN66+销售预测!O45)</f>
        <v>0</v>
      </c>
      <c r="AO17" s="495">
        <f>IF(ISERROR(-利润表!AO81-利润表!AO66+销售预测!P45),"—",-利润表!AO81-利润表!AO66+销售预测!P45)</f>
        <v>0</v>
      </c>
      <c r="AP17" s="495">
        <f>IF(ISERROR(-利润表!AP81-利润表!AP66+销售预测!Q45),"—",-利润表!AP81-利润表!AP66+销售预测!Q45)</f>
        <v>0</v>
      </c>
      <c r="AQ17" s="495">
        <f>IF(ISERROR(-利润表!AQ81-利润表!AQ66+销售预测!R45),"—",-利润表!AQ81-利润表!AQ66+销售预测!R45)</f>
        <v>0</v>
      </c>
      <c r="AR17" s="495">
        <f>IF(ISERROR(-利润表!AR81-利润表!AR66+销售预测!S45),"—",-利润表!AR81-利润表!AR66+销售预测!S45)</f>
        <v>0</v>
      </c>
      <c r="AS17" s="495">
        <f>IF(ISERROR(-利润表!AS81-利润表!AS66+销售预测!T45),"—",-利润表!AS81-利润表!AS66+销售预测!T45)</f>
        <v>0</v>
      </c>
      <c r="AT17" s="495">
        <f>IF(ISERROR(-利润表!AT81-利润表!AT66+销售预测!U45),"—",-利润表!AT81-利润表!AT66+销售预测!U45)</f>
        <v>0</v>
      </c>
      <c r="AU17" s="388"/>
      <c r="AV17" s="388"/>
      <c r="AW17" s="388"/>
    </row>
    <row r="18" spans="2:49" ht="15" customHeight="1">
      <c r="C18" s="150" t="s">
        <v>482</v>
      </c>
      <c r="E18" s="495">
        <f>财务基础数据!J259*目录!$D$6</f>
        <v>0</v>
      </c>
      <c r="F18" s="495">
        <f>财务基础数据!K259*目录!$D$6</f>
        <v>0</v>
      </c>
      <c r="G18" s="495">
        <f>财务基础数据!L259*目录!$D$6</f>
        <v>0</v>
      </c>
      <c r="H18" s="495">
        <f>财务基础数据!M259*目录!$D$6</f>
        <v>0</v>
      </c>
      <c r="I18" s="495">
        <f>财务基础数据!N259*目录!$D$6</f>
        <v>0</v>
      </c>
      <c r="J18" s="495">
        <f>财务基础数据!O259*目录!$D$6</f>
        <v>0</v>
      </c>
      <c r="K18" s="495">
        <f>财务基础数据!P259*目录!$D$6</f>
        <v>0</v>
      </c>
      <c r="L18" s="495">
        <f>财务基础数据!Q259*目录!$D$6</f>
        <v>0</v>
      </c>
      <c r="M18" s="495">
        <f>财务基础数据!R259*目录!$D$6</f>
        <v>0</v>
      </c>
      <c r="N18" s="495">
        <f>财务基础数据!S259*目录!$D$6</f>
        <v>0</v>
      </c>
      <c r="O18" s="495">
        <f>财务基础数据!T259*目录!$D$6</f>
        <v>0</v>
      </c>
      <c r="P18" s="495">
        <f>财务基础数据!U259*目录!$D$6</f>
        <v>0</v>
      </c>
      <c r="Q18" s="495">
        <f>财务基础数据!V259*目录!$D$6</f>
        <v>0</v>
      </c>
      <c r="R18" s="495">
        <f>财务基础数据!W259*目录!$D$6</f>
        <v>0</v>
      </c>
      <c r="S18" s="495">
        <f>财务基础数据!X259*目录!$D$6</f>
        <v>0</v>
      </c>
      <c r="T18" s="495">
        <f>财务基础数据!Y259*目录!$D$6</f>
        <v>0</v>
      </c>
      <c r="U18" s="495">
        <f>财务基础数据!Z259*目录!$D$6</f>
        <v>0</v>
      </c>
      <c r="V18" s="495">
        <f>财务基础数据!AA259*目录!$D$6</f>
        <v>0</v>
      </c>
      <c r="W18" s="495">
        <f>财务基础数据!AB259*目录!$D$6</f>
        <v>0</v>
      </c>
      <c r="X18" s="495">
        <f>财务基础数据!AC259*目录!$D$6</f>
        <v>0</v>
      </c>
      <c r="Y18" s="495">
        <f>财务基础数据!AD259*目录!$D$6</f>
        <v>0</v>
      </c>
      <c r="Z18" s="495">
        <f>财务基础数据!AE259*目录!$D$6</f>
        <v>0</v>
      </c>
      <c r="AA18" s="495">
        <f>财务基础数据!AF259*目录!$D$6</f>
        <v>0</v>
      </c>
      <c r="AB18" s="495">
        <f>财务基础数据!AG259*目录!$D$6</f>
        <v>0</v>
      </c>
      <c r="AC18" s="495">
        <f>财务基础数据!AH259*目录!$D$6</f>
        <v>0</v>
      </c>
      <c r="AD18" s="495">
        <f>财务基础数据!AI259*目录!$D$6</f>
        <v>0</v>
      </c>
      <c r="AE18" s="495">
        <f>财务基础数据!AJ259*目录!$D$6</f>
        <v>0</v>
      </c>
      <c r="AF18" s="495">
        <f>财务基础数据!AK259*目录!$D$6</f>
        <v>0</v>
      </c>
      <c r="AG18" s="495">
        <f>财务基础数据!AL259*目录!$D$6</f>
        <v>0</v>
      </c>
      <c r="AH18" s="495">
        <f>财务基础数据!AM259*目录!$D$6</f>
        <v>0</v>
      </c>
      <c r="AI18" s="495">
        <f>财务基础数据!AN259*目录!$D$6</f>
        <v>0</v>
      </c>
      <c r="AJ18" s="495">
        <f>财务基础数据!AO259*目录!$D$6</f>
        <v>0</v>
      </c>
      <c r="AK18" s="9">
        <f>IF(ISERROR(-利润表!AK57),"—",-利润表!AK57)</f>
        <v>0</v>
      </c>
      <c r="AL18" s="495">
        <f>IF(ISERROR(-利润表!AL57),"—",-利润表!AL57)</f>
        <v>0</v>
      </c>
      <c r="AM18" s="495">
        <f>IF(ISERROR(-利润表!AM57),"—",-利润表!AM57)</f>
        <v>0</v>
      </c>
      <c r="AN18" s="495">
        <f>IF(ISERROR(-利润表!AN57),0,-利润表!AN57)</f>
        <v>0</v>
      </c>
      <c r="AO18" s="495">
        <f>IF(ISERROR(-利润表!AO57),"—",-利润表!AO57)</f>
        <v>0</v>
      </c>
      <c r="AP18" s="495">
        <f>IF(ISERROR(-利润表!AP57),"—",-利润表!AP57)</f>
        <v>0</v>
      </c>
      <c r="AQ18" s="495">
        <f>IF(ISERROR(-利润表!AQ57),"—",-利润表!AQ57)</f>
        <v>0</v>
      </c>
      <c r="AR18" s="495">
        <f>IF(ISERROR(-利润表!AR57),"—",-利润表!AR57)</f>
        <v>0</v>
      </c>
      <c r="AS18" s="495">
        <f>IF(ISERROR(-利润表!AS57),"—",-利润表!AS57)</f>
        <v>0</v>
      </c>
      <c r="AT18" s="495">
        <f>IF(ISERROR(-利润表!AT57),"—",-利润表!AT57)</f>
        <v>0</v>
      </c>
      <c r="AU18" s="388"/>
      <c r="AV18" s="388"/>
      <c r="AW18" s="388"/>
    </row>
    <row r="19" spans="2:49" ht="15" customHeight="1">
      <c r="C19" s="150" t="s">
        <v>483</v>
      </c>
      <c r="E19" s="495">
        <f>财务基础数据!J260*目录!$D$6</f>
        <v>0</v>
      </c>
      <c r="F19" s="495">
        <f>财务基础数据!K260*目录!$D$6</f>
        <v>0</v>
      </c>
      <c r="G19" s="495">
        <f>财务基础数据!L260*目录!$D$6</f>
        <v>0</v>
      </c>
      <c r="H19" s="495">
        <f>财务基础数据!M260*目录!$D$6</f>
        <v>0</v>
      </c>
      <c r="I19" s="495">
        <f>财务基础数据!N260*目录!$D$6</f>
        <v>0</v>
      </c>
      <c r="J19" s="495">
        <f>财务基础数据!O260*目录!$D$6</f>
        <v>0</v>
      </c>
      <c r="K19" s="495">
        <f>财务基础数据!P260*目录!$D$6</f>
        <v>0</v>
      </c>
      <c r="L19" s="495">
        <f>财务基础数据!Q260*目录!$D$6</f>
        <v>0</v>
      </c>
      <c r="M19" s="495">
        <f>财务基础数据!R260*目录!$D$6</f>
        <v>0</v>
      </c>
      <c r="N19" s="495">
        <f>财务基础数据!S260*目录!$D$6</f>
        <v>0</v>
      </c>
      <c r="O19" s="495">
        <f>财务基础数据!T260*目录!$D$6</f>
        <v>0</v>
      </c>
      <c r="P19" s="495">
        <f>财务基础数据!U260*目录!$D$6</f>
        <v>0</v>
      </c>
      <c r="Q19" s="495">
        <f>财务基础数据!V260*目录!$D$6</f>
        <v>0</v>
      </c>
      <c r="R19" s="495">
        <f>财务基础数据!W260*目录!$D$6</f>
        <v>0</v>
      </c>
      <c r="S19" s="495">
        <f>财务基础数据!X260*目录!$D$6</f>
        <v>0</v>
      </c>
      <c r="T19" s="495">
        <f>财务基础数据!Y260*目录!$D$6</f>
        <v>0</v>
      </c>
      <c r="U19" s="495">
        <f>财务基础数据!Z260*目录!$D$6</f>
        <v>0</v>
      </c>
      <c r="V19" s="495">
        <f>财务基础数据!AA260*目录!$D$6</f>
        <v>0</v>
      </c>
      <c r="W19" s="495">
        <f>财务基础数据!AB260*目录!$D$6</f>
        <v>0</v>
      </c>
      <c r="X19" s="495">
        <f>财务基础数据!AC260*目录!$D$6</f>
        <v>0</v>
      </c>
      <c r="Y19" s="495">
        <f>财务基础数据!AD260*目录!$D$6</f>
        <v>0</v>
      </c>
      <c r="Z19" s="495">
        <f>财务基础数据!AE260*目录!$D$6</f>
        <v>0</v>
      </c>
      <c r="AA19" s="495">
        <f>财务基础数据!AF260*目录!$D$6</f>
        <v>0</v>
      </c>
      <c r="AB19" s="495">
        <f>财务基础数据!AG260*目录!$D$6</f>
        <v>0</v>
      </c>
      <c r="AC19" s="495">
        <f>财务基础数据!AH260*目录!$D$6</f>
        <v>0</v>
      </c>
      <c r="AD19" s="495">
        <f>财务基础数据!AI260*目录!$D$6</f>
        <v>0</v>
      </c>
      <c r="AE19" s="495">
        <f>财务基础数据!AJ260*目录!$D$6</f>
        <v>0</v>
      </c>
      <c r="AF19" s="495">
        <f>财务基础数据!AK260*目录!$D$6</f>
        <v>0</v>
      </c>
      <c r="AG19" s="495">
        <f>财务基础数据!AL260*目录!$D$6</f>
        <v>0</v>
      </c>
      <c r="AH19" s="495">
        <f>财务基础数据!AM260*目录!$D$6</f>
        <v>0</v>
      </c>
      <c r="AI19" s="495">
        <f>财务基础数据!AN260*目录!$D$6</f>
        <v>0</v>
      </c>
      <c r="AJ19" s="495">
        <f>财务基础数据!AO260*目录!$D$6</f>
        <v>0</v>
      </c>
      <c r="AK19" s="9">
        <f>IF(ISERROR(利润表!AK38),"—",利润表!AK38)</f>
        <v>0</v>
      </c>
      <c r="AL19" s="495">
        <f>IF(ISERROR(利润表!AL38),"—",利润表!AL38)</f>
        <v>0</v>
      </c>
      <c r="AM19" s="495">
        <f>IF(ISERROR(利润表!AM38),"—",利润表!AM38)</f>
        <v>0</v>
      </c>
      <c r="AN19" s="495">
        <f>IF(ISERROR(利润表!AN38),0,利润表!AN38)</f>
        <v>0</v>
      </c>
      <c r="AO19" s="495">
        <f>IF(ISERROR(利润表!AO38),"—",利润表!AO38)</f>
        <v>0</v>
      </c>
      <c r="AP19" s="495">
        <f>IF(ISERROR(利润表!AP38),"—",利润表!AP38)</f>
        <v>0</v>
      </c>
      <c r="AQ19" s="495">
        <f>IF(ISERROR(利润表!AQ38),"—",利润表!AQ38)</f>
        <v>0</v>
      </c>
      <c r="AR19" s="495">
        <f>IF(ISERROR(利润表!AR38),"—",利润表!AR38)</f>
        <v>0</v>
      </c>
      <c r="AS19" s="495">
        <f>IF(ISERROR(利润表!AS38),"—",利润表!AS38)</f>
        <v>0</v>
      </c>
      <c r="AT19" s="495">
        <f>IF(ISERROR(利润表!AT38),"—",利润表!AT38)</f>
        <v>0</v>
      </c>
      <c r="AU19" s="388"/>
      <c r="AV19" s="388"/>
      <c r="AW19" s="388"/>
    </row>
    <row r="20" spans="2:49" ht="15" customHeight="1">
      <c r="C20" s="150" t="s">
        <v>484</v>
      </c>
      <c r="E20" s="495">
        <f>财务基础数据!J261*目录!$D$6</f>
        <v>0</v>
      </c>
      <c r="F20" s="495">
        <f>财务基础数据!K261*目录!$D$6</f>
        <v>0</v>
      </c>
      <c r="G20" s="495">
        <f>财务基础数据!L261*目录!$D$6</f>
        <v>0</v>
      </c>
      <c r="H20" s="495">
        <f>财务基础数据!M261*目录!$D$6</f>
        <v>0</v>
      </c>
      <c r="I20" s="495">
        <f>财务基础数据!N261*目录!$D$6</f>
        <v>0</v>
      </c>
      <c r="J20" s="495">
        <f>财务基础数据!O261*目录!$D$6</f>
        <v>0</v>
      </c>
      <c r="K20" s="495">
        <f>财务基础数据!P261*目录!$D$6</f>
        <v>0</v>
      </c>
      <c r="L20" s="495">
        <f>财务基础数据!Q261*目录!$D$6</f>
        <v>0</v>
      </c>
      <c r="M20" s="495">
        <f>财务基础数据!R261*目录!$D$6</f>
        <v>0</v>
      </c>
      <c r="N20" s="495">
        <f>财务基础数据!S261*目录!$D$6</f>
        <v>0</v>
      </c>
      <c r="O20" s="495">
        <f>财务基础数据!T261*目录!$D$6</f>
        <v>0</v>
      </c>
      <c r="P20" s="495">
        <f>财务基础数据!U261*目录!$D$6</f>
        <v>0</v>
      </c>
      <c r="Q20" s="495">
        <f>财务基础数据!V261*目录!$D$6</f>
        <v>0</v>
      </c>
      <c r="R20" s="495">
        <f>财务基础数据!W261*目录!$D$6</f>
        <v>0</v>
      </c>
      <c r="S20" s="495">
        <f>财务基础数据!X261*目录!$D$6</f>
        <v>0</v>
      </c>
      <c r="T20" s="495">
        <f>财务基础数据!Y261*目录!$D$6</f>
        <v>0</v>
      </c>
      <c r="U20" s="495">
        <f>财务基础数据!Z261*目录!$D$6</f>
        <v>0</v>
      </c>
      <c r="V20" s="495">
        <f>财务基础数据!AA261*目录!$D$6</f>
        <v>0</v>
      </c>
      <c r="W20" s="495">
        <f>财务基础数据!AB261*目录!$D$6</f>
        <v>0</v>
      </c>
      <c r="X20" s="495">
        <f>财务基础数据!AC261*目录!$D$6</f>
        <v>0</v>
      </c>
      <c r="Y20" s="495">
        <f>财务基础数据!AD261*目录!$D$6</f>
        <v>0</v>
      </c>
      <c r="Z20" s="495">
        <f>财务基础数据!AE261*目录!$D$6</f>
        <v>0</v>
      </c>
      <c r="AA20" s="495">
        <f>财务基础数据!AF261*目录!$D$6</f>
        <v>0</v>
      </c>
      <c r="AB20" s="495">
        <f>财务基础数据!AG261*目录!$D$6</f>
        <v>0</v>
      </c>
      <c r="AC20" s="495">
        <f>财务基础数据!AH261*目录!$D$6</f>
        <v>0</v>
      </c>
      <c r="AD20" s="495">
        <f>财务基础数据!AI261*目录!$D$6</f>
        <v>0</v>
      </c>
      <c r="AE20" s="495">
        <f>财务基础数据!AJ261*目录!$D$6</f>
        <v>0</v>
      </c>
      <c r="AF20" s="495">
        <f>财务基础数据!AK261*目录!$D$6</f>
        <v>0</v>
      </c>
      <c r="AG20" s="495">
        <f>财务基础数据!AL261*目录!$D$6</f>
        <v>0</v>
      </c>
      <c r="AH20" s="495">
        <f>财务基础数据!AM261*目录!$D$6</f>
        <v>0</v>
      </c>
      <c r="AI20" s="495">
        <f>财务基础数据!AN261*目录!$D$6</f>
        <v>0</v>
      </c>
      <c r="AJ20" s="495">
        <f>财务基础数据!AO261*目录!$D$6</f>
        <v>0</v>
      </c>
      <c r="AK20" s="9">
        <f>IF(ISERROR(-利润表!AK51),"—",-利润表!AK51)</f>
        <v>0</v>
      </c>
      <c r="AL20" s="495">
        <f>IF(ISERROR(-利润表!AL51),"—",-利润表!AL51)</f>
        <v>0</v>
      </c>
      <c r="AM20" s="495">
        <f>IF(ISERROR(-利润表!AM51),"—",-利润表!AM51)</f>
        <v>0</v>
      </c>
      <c r="AN20" s="495">
        <f>IF(ISERROR(-利润表!AN51),"—",-利润表!AN51)</f>
        <v>0</v>
      </c>
      <c r="AO20" s="495">
        <f>IF(ISERROR(-利润表!AO51),"—",-利润表!AO51)</f>
        <v>0</v>
      </c>
      <c r="AP20" s="495">
        <f>IF(ISERROR(-利润表!AP51),"—",-利润表!AP51)</f>
        <v>0</v>
      </c>
      <c r="AQ20" s="495">
        <f>IF(ISERROR(-利润表!AQ51),"—",-利润表!AQ51)</f>
        <v>0</v>
      </c>
      <c r="AR20" s="495">
        <f>IF(ISERROR(-利润表!AR51),"—",-利润表!AR51)</f>
        <v>0</v>
      </c>
      <c r="AS20" s="495">
        <f>IF(ISERROR(-利润表!AS51),"—",-利润表!AS51)</f>
        <v>0</v>
      </c>
      <c r="AT20" s="495">
        <f>IF(ISERROR(-利润表!AT51),"—",-利润表!AT51)</f>
        <v>0</v>
      </c>
      <c r="AU20" s="388"/>
      <c r="AV20" s="388"/>
      <c r="AW20" s="388"/>
    </row>
    <row r="21" spans="2:49" ht="15" customHeight="1">
      <c r="C21" s="150" t="s">
        <v>485</v>
      </c>
      <c r="E21" s="495">
        <f>财务基础数据!J262*目录!$D$6</f>
        <v>0</v>
      </c>
      <c r="F21" s="495">
        <f>财务基础数据!K262*目录!$D$6</f>
        <v>0</v>
      </c>
      <c r="G21" s="495">
        <f>财务基础数据!L262*目录!$D$6</f>
        <v>0</v>
      </c>
      <c r="H21" s="495">
        <f>财务基础数据!M262*目录!$D$6</f>
        <v>0</v>
      </c>
      <c r="I21" s="495">
        <f>财务基础数据!N262*目录!$D$6</f>
        <v>0</v>
      </c>
      <c r="J21" s="495">
        <f>财务基础数据!O262*目录!$D$6</f>
        <v>0</v>
      </c>
      <c r="K21" s="495">
        <f>财务基础数据!P262*目录!$D$6</f>
        <v>0</v>
      </c>
      <c r="L21" s="495">
        <f>财务基础数据!Q262*目录!$D$6</f>
        <v>0</v>
      </c>
      <c r="M21" s="495">
        <f>财务基础数据!R262*目录!$D$6</f>
        <v>0</v>
      </c>
      <c r="N21" s="495">
        <f>财务基础数据!S262*目录!$D$6</f>
        <v>0</v>
      </c>
      <c r="O21" s="495">
        <f>财务基础数据!T262*目录!$D$6</f>
        <v>0</v>
      </c>
      <c r="P21" s="495">
        <f>财务基础数据!U262*目录!$D$6</f>
        <v>0</v>
      </c>
      <c r="Q21" s="495">
        <f>财务基础数据!V262*目录!$D$6</f>
        <v>0</v>
      </c>
      <c r="R21" s="495">
        <f>财务基础数据!W262*目录!$D$6</f>
        <v>0</v>
      </c>
      <c r="S21" s="495">
        <f>财务基础数据!X262*目录!$D$6</f>
        <v>0</v>
      </c>
      <c r="T21" s="495">
        <f>财务基础数据!Y262*目录!$D$6</f>
        <v>0</v>
      </c>
      <c r="U21" s="495">
        <f>财务基础数据!Z262*目录!$D$6</f>
        <v>0</v>
      </c>
      <c r="V21" s="495">
        <f>财务基础数据!AA262*目录!$D$6</f>
        <v>0</v>
      </c>
      <c r="W21" s="495">
        <f>财务基础数据!AB262*目录!$D$6</f>
        <v>0</v>
      </c>
      <c r="X21" s="495">
        <f>财务基础数据!AC262*目录!$D$6</f>
        <v>0</v>
      </c>
      <c r="Y21" s="495">
        <f>财务基础数据!AD262*目录!$D$6</f>
        <v>0</v>
      </c>
      <c r="Z21" s="495">
        <f>财务基础数据!AE262*目录!$D$6</f>
        <v>0</v>
      </c>
      <c r="AA21" s="495">
        <f>财务基础数据!AF262*目录!$D$6</f>
        <v>0</v>
      </c>
      <c r="AB21" s="495">
        <f>财务基础数据!AG262*目录!$D$6</f>
        <v>0</v>
      </c>
      <c r="AC21" s="495">
        <f>财务基础数据!AH262*目录!$D$6</f>
        <v>0</v>
      </c>
      <c r="AD21" s="495">
        <f>财务基础数据!AI262*目录!$D$6</f>
        <v>0</v>
      </c>
      <c r="AE21" s="495">
        <f>财务基础数据!AJ262*目录!$D$6</f>
        <v>0</v>
      </c>
      <c r="AF21" s="495">
        <f>财务基础数据!AK262*目录!$D$6</f>
        <v>0</v>
      </c>
      <c r="AG21" s="495">
        <f>财务基础数据!AL262*目录!$D$6</f>
        <v>0</v>
      </c>
      <c r="AH21" s="495">
        <f>财务基础数据!AM262*目录!$D$6</f>
        <v>0</v>
      </c>
      <c r="AI21" s="495">
        <f>财务基础数据!AN262*目录!$D$6</f>
        <v>0</v>
      </c>
      <c r="AJ21" s="495">
        <f>财务基础数据!AO262*目录!$D$6</f>
        <v>0</v>
      </c>
      <c r="AK21" s="9">
        <f>IF(ISERROR(资产负债表!AG40-资产负债表!AK40),"—",资产负债表!AG40-资产负债表!AK40)</f>
        <v>0</v>
      </c>
      <c r="AL21" s="495">
        <f>IF(ISERROR(资产负债表!AK40-资产负债表!AL40),"—",资产负债表!AK40-资产负债表!AL40)</f>
        <v>0</v>
      </c>
      <c r="AM21" s="495">
        <f>IF(ISERROR(资产负债表!AL40-资产负债表!AM40),"—",资产负债表!AL40-资产负债表!AM40)</f>
        <v>0</v>
      </c>
      <c r="AN21" s="495">
        <f>IF(ISERROR(资产负债表!AM40-资产负债表!AN40),"—",资产负债表!AM40-资产负债表!AN40)</f>
        <v>0</v>
      </c>
      <c r="AO21" s="495">
        <f>IF(ISERROR(资产负债表!AN40-资产负债表!AO40),"—",资产负债表!AN40-资产负债表!AO40)</f>
        <v>0</v>
      </c>
      <c r="AP21" s="495">
        <f>IF(ISERROR(资产负债表!AO40-资产负债表!AP40),"—",资产负债表!AO40-资产负债表!AP40)</f>
        <v>0</v>
      </c>
      <c r="AQ21" s="495">
        <f>IF(ISERROR(资产负债表!AP40-资产负债表!AQ40),"—",资产负债表!AP40-资产负债表!AQ40)</f>
        <v>0</v>
      </c>
      <c r="AR21" s="495">
        <f>IF(ISERROR(资产负债表!AQ40-资产负债表!AR40),"—",资产负债表!AQ40-资产负债表!AR40)</f>
        <v>0</v>
      </c>
      <c r="AS21" s="495">
        <f>IF(ISERROR(资产负债表!AR40-资产负债表!AS40),"—",资产负债表!AR40-资产负债表!AS40)</f>
        <v>0</v>
      </c>
      <c r="AT21" s="495">
        <f>IF(ISERROR(资产负债表!AS40-资产负债表!AT40),"—",资产负债表!AS40-资产负债表!AT40)</f>
        <v>0</v>
      </c>
      <c r="AU21" s="388"/>
      <c r="AV21" s="388"/>
      <c r="AW21" s="388"/>
    </row>
    <row r="22" spans="2:49" ht="15" customHeight="1">
      <c r="C22" s="150" t="s">
        <v>486</v>
      </c>
      <c r="E22" s="495">
        <f>(财务基础数据!J263+财务基础数据!J264)*目录!$D$6</f>
        <v>0</v>
      </c>
      <c r="F22" s="495">
        <f>(财务基础数据!K263+财务基础数据!K264)*目录!$D$6</f>
        <v>0</v>
      </c>
      <c r="G22" s="495">
        <f>(财务基础数据!L263+财务基础数据!L264)*目录!$D$6</f>
        <v>0</v>
      </c>
      <c r="H22" s="495">
        <f>(财务基础数据!M263+财务基础数据!M264)*目录!$D$6</f>
        <v>0</v>
      </c>
      <c r="I22" s="495">
        <f>(财务基础数据!N263+财务基础数据!N264)*目录!$D$6</f>
        <v>0</v>
      </c>
      <c r="J22" s="495">
        <f>(财务基础数据!O263+财务基础数据!O264)*目录!$D$6</f>
        <v>0</v>
      </c>
      <c r="K22" s="495">
        <f>(财务基础数据!P263+财务基础数据!P264)*目录!$D$6</f>
        <v>0</v>
      </c>
      <c r="L22" s="495">
        <f>(财务基础数据!Q263+财务基础数据!Q264)*目录!$D$6</f>
        <v>0</v>
      </c>
      <c r="M22" s="495">
        <f>(财务基础数据!R263+财务基础数据!R264)*目录!$D$6</f>
        <v>0</v>
      </c>
      <c r="N22" s="495">
        <f>(财务基础数据!S263+财务基础数据!S264)*目录!$D$6</f>
        <v>0</v>
      </c>
      <c r="O22" s="495">
        <f>(财务基础数据!T263+财务基础数据!T264)*目录!$D$6</f>
        <v>0</v>
      </c>
      <c r="P22" s="495">
        <f>(财务基础数据!U263+财务基础数据!U264)*目录!$D$6</f>
        <v>0</v>
      </c>
      <c r="Q22" s="495">
        <f>(财务基础数据!V263+财务基础数据!V264)*目录!$D$6</f>
        <v>0</v>
      </c>
      <c r="R22" s="495">
        <f>(财务基础数据!W263+财务基础数据!W264)*目录!$D$6</f>
        <v>0</v>
      </c>
      <c r="S22" s="495">
        <f>(财务基础数据!X263+财务基础数据!X264)*目录!$D$6</f>
        <v>0</v>
      </c>
      <c r="T22" s="495">
        <f>(财务基础数据!Y263+财务基础数据!Y264)*目录!$D$6</f>
        <v>0</v>
      </c>
      <c r="U22" s="495">
        <f>(财务基础数据!Z263+财务基础数据!Z264)*目录!$D$6</f>
        <v>0</v>
      </c>
      <c r="V22" s="495">
        <f>(财务基础数据!AA263+财务基础数据!AA264)*目录!$D$6</f>
        <v>0</v>
      </c>
      <c r="W22" s="495">
        <f>(财务基础数据!AB263+财务基础数据!AB264)*目录!$D$6</f>
        <v>0</v>
      </c>
      <c r="X22" s="495">
        <f>(财务基础数据!AC263+财务基础数据!AC264)*目录!$D$6</f>
        <v>0</v>
      </c>
      <c r="Y22" s="495">
        <f>(财务基础数据!AD263+财务基础数据!AD264)*目录!$D$6</f>
        <v>0</v>
      </c>
      <c r="Z22" s="495">
        <f>(财务基础数据!AE263+财务基础数据!AE264)*目录!$D$6</f>
        <v>0</v>
      </c>
      <c r="AA22" s="495">
        <f>(财务基础数据!AF263+财务基础数据!AF264)*目录!$D$6</f>
        <v>0</v>
      </c>
      <c r="AB22" s="495">
        <f>(财务基础数据!AG263+财务基础数据!AG264)*目录!$D$6</f>
        <v>0</v>
      </c>
      <c r="AC22" s="495">
        <f>(财务基础数据!AH263+财务基础数据!AH264)*目录!$D$6</f>
        <v>0</v>
      </c>
      <c r="AD22" s="495">
        <f>(财务基础数据!AI263+财务基础数据!AI264)*目录!$D$6</f>
        <v>0</v>
      </c>
      <c r="AE22" s="495">
        <f>(财务基础数据!AJ263+财务基础数据!AJ264)*目录!$D$6</f>
        <v>0</v>
      </c>
      <c r="AF22" s="495">
        <f>(财务基础数据!AK263+财务基础数据!AK264)*目录!$D$6</f>
        <v>0</v>
      </c>
      <c r="AG22" s="495">
        <f>(财务基础数据!AL263+财务基础数据!AL264)*目录!$D$6</f>
        <v>0</v>
      </c>
      <c r="AH22" s="495">
        <f>(财务基础数据!AM263+财务基础数据!AM264)*目录!$D$6</f>
        <v>0</v>
      </c>
      <c r="AI22" s="495">
        <f>(财务基础数据!AN263+财务基础数据!AN264)*目录!$D$6</f>
        <v>0</v>
      </c>
      <c r="AJ22" s="495">
        <f>(财务基础数据!AO263+财务基础数据!AO264)*目录!$D$6</f>
        <v>0</v>
      </c>
      <c r="AK22" s="495">
        <f>IF(ISERROR(资产负债表!AK71-资产负债表!AG71),"—",资产负债表!AK71-资产负债表!AG71)</f>
        <v>0</v>
      </c>
      <c r="AL22" s="495">
        <f>IF(ISERROR(资产负债表!AL71-资产负债表!AK71),"—",资产负债表!AL71-资产负债表!AK71)</f>
        <v>0</v>
      </c>
      <c r="AM22" s="495">
        <f>IF(ISERROR(资产负债表!AM71-资产负债表!AL71),"—",资产负债表!AM71-资产负债表!AL71)</f>
        <v>0</v>
      </c>
      <c r="AN22" s="495">
        <f>IF(ISERROR(资产负债表!AN71-资产负债表!AM71),"—",资产负债表!AN71-资产负债表!AM71)</f>
        <v>0</v>
      </c>
      <c r="AO22" s="495">
        <f>IF(ISERROR(资产负债表!AO71-资产负债表!AN71),"—",资产负债表!AO71-资产负债表!AN71)</f>
        <v>0</v>
      </c>
      <c r="AP22" s="495">
        <f>IF(ISERROR(资产负债表!AP71-资产负债表!AO71),"—",资产负债表!AP71-资产负债表!AO71)</f>
        <v>0</v>
      </c>
      <c r="AQ22" s="495">
        <f>IF(ISERROR(资产负债表!AQ71-资产负债表!AP71),"—",资产负债表!AQ71-资产负债表!AP71)</f>
        <v>0</v>
      </c>
      <c r="AR22" s="495">
        <f>IF(ISERROR(资产负债表!AR71-资产负债表!AQ71),"—",资产负债表!AR71-资产负债表!AQ71)</f>
        <v>0</v>
      </c>
      <c r="AS22" s="495">
        <f>IF(ISERROR(资产负债表!AS71-资产负债表!AR71),"—",资产负债表!AS71-资产负债表!AR71)</f>
        <v>0</v>
      </c>
      <c r="AT22" s="495">
        <f>IF(ISERROR(资产负债表!AT71-资产负债表!AS71),"—",资产负债表!AT71-资产负债表!AS71)</f>
        <v>0</v>
      </c>
      <c r="AU22" s="388"/>
      <c r="AV22" s="388"/>
      <c r="AW22" s="388"/>
    </row>
    <row r="23" spans="2:49" ht="15" customHeight="1">
      <c r="B23" s="373" t="s">
        <v>487</v>
      </c>
      <c r="C23" s="382"/>
      <c r="D23" s="383"/>
      <c r="E23" s="495">
        <f>E24+E25+E29+E35</f>
        <v>0</v>
      </c>
      <c r="F23" s="495">
        <f t="shared" ref="F23:AJ23" si="6">F24+F25+F29+F35</f>
        <v>0</v>
      </c>
      <c r="G23" s="495">
        <f t="shared" si="6"/>
        <v>0</v>
      </c>
      <c r="H23" s="495">
        <f t="shared" si="6"/>
        <v>0</v>
      </c>
      <c r="I23" s="495">
        <f t="shared" si="6"/>
        <v>0</v>
      </c>
      <c r="J23" s="495">
        <f t="shared" si="6"/>
        <v>0</v>
      </c>
      <c r="K23" s="495">
        <f t="shared" si="6"/>
        <v>0</v>
      </c>
      <c r="L23" s="495">
        <f t="shared" si="6"/>
        <v>0</v>
      </c>
      <c r="M23" s="495">
        <f t="shared" si="6"/>
        <v>0</v>
      </c>
      <c r="N23" s="495">
        <f t="shared" si="6"/>
        <v>0</v>
      </c>
      <c r="O23" s="495">
        <f t="shared" si="6"/>
        <v>0</v>
      </c>
      <c r="P23" s="495">
        <f t="shared" si="6"/>
        <v>0</v>
      </c>
      <c r="Q23" s="495">
        <f t="shared" si="6"/>
        <v>0</v>
      </c>
      <c r="R23" s="495">
        <f t="shared" si="6"/>
        <v>0</v>
      </c>
      <c r="S23" s="495">
        <f t="shared" si="6"/>
        <v>0</v>
      </c>
      <c r="T23" s="495">
        <f t="shared" si="6"/>
        <v>0</v>
      </c>
      <c r="U23" s="495">
        <f t="shared" si="6"/>
        <v>0</v>
      </c>
      <c r="V23" s="495">
        <f t="shared" si="6"/>
        <v>0</v>
      </c>
      <c r="W23" s="495">
        <f t="shared" si="6"/>
        <v>0</v>
      </c>
      <c r="X23" s="495">
        <f t="shared" si="6"/>
        <v>0</v>
      </c>
      <c r="Y23" s="495">
        <f t="shared" si="6"/>
        <v>0</v>
      </c>
      <c r="Z23" s="495">
        <f t="shared" si="6"/>
        <v>0</v>
      </c>
      <c r="AA23" s="495">
        <f t="shared" si="6"/>
        <v>0</v>
      </c>
      <c r="AB23" s="495">
        <f t="shared" si="6"/>
        <v>0</v>
      </c>
      <c r="AC23" s="495">
        <f t="shared" si="6"/>
        <v>0</v>
      </c>
      <c r="AD23" s="495">
        <f t="shared" si="6"/>
        <v>0</v>
      </c>
      <c r="AE23" s="495">
        <f t="shared" si="6"/>
        <v>0</v>
      </c>
      <c r="AF23" s="495">
        <f t="shared" si="6"/>
        <v>0</v>
      </c>
      <c r="AG23" s="495">
        <f t="shared" si="6"/>
        <v>0</v>
      </c>
      <c r="AH23" s="495">
        <f t="shared" si="6"/>
        <v>0</v>
      </c>
      <c r="AI23" s="495">
        <f t="shared" si="6"/>
        <v>0</v>
      </c>
      <c r="AJ23" s="495">
        <f t="shared" si="6"/>
        <v>0</v>
      </c>
      <c r="AK23" s="495">
        <f t="shared" ref="AK23:AT23" si="7">IF(ISERROR(AK24+AK25+AK29+AK35),"—",AK24+AK25+AK29+AK35)</f>
        <v>0</v>
      </c>
      <c r="AL23" s="495">
        <f t="shared" si="7"/>
        <v>0</v>
      </c>
      <c r="AM23" s="495">
        <f t="shared" si="7"/>
        <v>0</v>
      </c>
      <c r="AN23" s="495">
        <f t="shared" si="7"/>
        <v>0</v>
      </c>
      <c r="AO23" s="495">
        <f t="shared" si="7"/>
        <v>0</v>
      </c>
      <c r="AP23" s="495">
        <f t="shared" si="7"/>
        <v>0</v>
      </c>
      <c r="AQ23" s="495">
        <f t="shared" si="7"/>
        <v>0</v>
      </c>
      <c r="AR23" s="495">
        <f t="shared" si="7"/>
        <v>0</v>
      </c>
      <c r="AS23" s="495">
        <f t="shared" si="7"/>
        <v>0</v>
      </c>
      <c r="AT23" s="495">
        <f t="shared" si="7"/>
        <v>0</v>
      </c>
      <c r="AU23" s="388"/>
      <c r="AV23" s="388"/>
      <c r="AW23" s="388"/>
    </row>
    <row r="24" spans="2:49" ht="15" customHeight="1">
      <c r="C24" s="150" t="s">
        <v>488</v>
      </c>
      <c r="D24" s="383"/>
      <c r="E24" s="495">
        <f>财务基础数据!J265*目录!$D$6</f>
        <v>0</v>
      </c>
      <c r="F24" s="495">
        <f>财务基础数据!K265*目录!$D$6</f>
        <v>0</v>
      </c>
      <c r="G24" s="495">
        <f>财务基础数据!L265*目录!$D$6</f>
        <v>0</v>
      </c>
      <c r="H24" s="495">
        <f>财务基础数据!M265*目录!$D$6</f>
        <v>0</v>
      </c>
      <c r="I24" s="495">
        <f>财务基础数据!N265*目录!$D$6</f>
        <v>0</v>
      </c>
      <c r="J24" s="495">
        <f>财务基础数据!O265*目录!$D$6</f>
        <v>0</v>
      </c>
      <c r="K24" s="495">
        <f>财务基础数据!P265*目录!$D$6</f>
        <v>0</v>
      </c>
      <c r="L24" s="495">
        <f>财务基础数据!Q265*目录!$D$6</f>
        <v>0</v>
      </c>
      <c r="M24" s="495">
        <f>财务基础数据!R265*目录!$D$6</f>
        <v>0</v>
      </c>
      <c r="N24" s="495">
        <f>财务基础数据!S265*目录!$D$6</f>
        <v>0</v>
      </c>
      <c r="O24" s="495">
        <f>财务基础数据!T265*目录!$D$6</f>
        <v>0</v>
      </c>
      <c r="P24" s="495">
        <f>财务基础数据!U265*目录!$D$6</f>
        <v>0</v>
      </c>
      <c r="Q24" s="495">
        <f>财务基础数据!V265*目录!$D$6</f>
        <v>0</v>
      </c>
      <c r="R24" s="495">
        <f>财务基础数据!W265*目录!$D$6</f>
        <v>0</v>
      </c>
      <c r="S24" s="495">
        <f>财务基础数据!X265*目录!$D$6</f>
        <v>0</v>
      </c>
      <c r="T24" s="495">
        <f>财务基础数据!Y265*目录!$D$6</f>
        <v>0</v>
      </c>
      <c r="U24" s="495">
        <f>财务基础数据!Z265*目录!$D$6</f>
        <v>0</v>
      </c>
      <c r="V24" s="495">
        <f>财务基础数据!AA265*目录!$D$6</f>
        <v>0</v>
      </c>
      <c r="W24" s="495">
        <f>财务基础数据!AB265*目录!$D$6</f>
        <v>0</v>
      </c>
      <c r="X24" s="495">
        <f>财务基础数据!AC265*目录!$D$6</f>
        <v>0</v>
      </c>
      <c r="Y24" s="495">
        <f>财务基础数据!AD265*目录!$D$6</f>
        <v>0</v>
      </c>
      <c r="Z24" s="495">
        <f>财务基础数据!AE265*目录!$D$6</f>
        <v>0</v>
      </c>
      <c r="AA24" s="495">
        <f>财务基础数据!AF265*目录!$D$6</f>
        <v>0</v>
      </c>
      <c r="AB24" s="495">
        <f>财务基础数据!AG265*目录!$D$6</f>
        <v>0</v>
      </c>
      <c r="AC24" s="495">
        <f>财务基础数据!AH265*目录!$D$6</f>
        <v>0</v>
      </c>
      <c r="AD24" s="495">
        <f>财务基础数据!AI265*目录!$D$6</f>
        <v>0</v>
      </c>
      <c r="AE24" s="495">
        <f>财务基础数据!AJ265*目录!$D$6</f>
        <v>0</v>
      </c>
      <c r="AF24" s="495">
        <f>财务基础数据!AK265*目录!$D$6</f>
        <v>0</v>
      </c>
      <c r="AG24" s="495">
        <f>财务基础数据!AL265*目录!$D$6</f>
        <v>0</v>
      </c>
      <c r="AH24" s="495">
        <f>财务基础数据!AM265*目录!$D$6</f>
        <v>0</v>
      </c>
      <c r="AI24" s="495">
        <f>财务基础数据!AN265*目录!$D$6</f>
        <v>0</v>
      </c>
      <c r="AJ24" s="495">
        <f>财务基础数据!AO265*目录!$D$6</f>
        <v>0</v>
      </c>
      <c r="AK24" s="9">
        <f>IF(ISERROR(资产负债表!AG16-资产负债表!AK16+投资与减值!L171),"—",资产负债表!AG16-资产负债表!AK16+投资与减值!L171)</f>
        <v>0</v>
      </c>
      <c r="AL24" s="495">
        <f>IF(ISERROR(资产负债表!AK16-资产负债表!AL16+投资与减值!M171),"—",资产负债表!AK16-资产负债表!AL16+投资与减值!M171)</f>
        <v>0</v>
      </c>
      <c r="AM24" s="495">
        <f>IF(ISERROR(资产负债表!AL16-资产负债表!AM16+投资与减值!N171),"—",资产负债表!AL16-资产负债表!AM16+投资与减值!N171)</f>
        <v>0</v>
      </c>
      <c r="AN24" s="495">
        <f>IF(ISERROR(资产负债表!AM16-资产负债表!AN16+投资与减值!O171),"—",资产负债表!AM16-资产负债表!AN16+投资与减值!O171)</f>
        <v>0</v>
      </c>
      <c r="AO24" s="495">
        <f>IF(ISERROR(资产负债表!AN16-资产负债表!AO16+投资与减值!P171),"—",资产负债表!AN16-资产负债表!AO16+投资与减值!P171)</f>
        <v>0</v>
      </c>
      <c r="AP24" s="495">
        <f>IF(ISERROR(资产负债表!AO16-资产负债表!AP16+投资与减值!Q171),"—",资产负债表!AO16-资产负债表!AP16+投资与减值!Q171)</f>
        <v>0</v>
      </c>
      <c r="AQ24" s="495">
        <f>IF(ISERROR(资产负债表!AP16-资产负债表!AQ16+投资与减值!R171),"—",资产负债表!AP16-资产负债表!AQ16+投资与减值!R171)</f>
        <v>0</v>
      </c>
      <c r="AR24" s="495">
        <f>IF(ISERROR(资产负债表!AQ16-资产负债表!AR16+投资与减值!S171),"—",资产负债表!AQ16-资产负债表!AR16+投资与减值!S171)</f>
        <v>0</v>
      </c>
      <c r="AS24" s="495">
        <f>IF(ISERROR(资产负债表!AR16-资产负债表!AS16+投资与减值!T171),"—",资产负债表!AR16-资产负债表!AS16+投资与减值!T171)</f>
        <v>0</v>
      </c>
      <c r="AT24" s="495">
        <f>IF(ISERROR(资产负债表!AS16-资产负债表!AT16+投资与减值!U171),"—",资产负债表!AS16-资产负债表!AT16+投资与减值!U171)</f>
        <v>0</v>
      </c>
      <c r="AU24" s="388"/>
      <c r="AV24" s="388"/>
      <c r="AW24" s="388"/>
    </row>
    <row r="25" spans="2:49" ht="15" customHeight="1">
      <c r="C25" s="150" t="s">
        <v>489</v>
      </c>
      <c r="E25" s="495">
        <f>财务基础数据!J266*目录!$D$6</f>
        <v>0</v>
      </c>
      <c r="F25" s="495">
        <f>财务基础数据!K266*目录!$D$6</f>
        <v>0</v>
      </c>
      <c r="G25" s="495">
        <f>财务基础数据!L266*目录!$D$6</f>
        <v>0</v>
      </c>
      <c r="H25" s="495">
        <f>财务基础数据!M266*目录!$D$6</f>
        <v>0</v>
      </c>
      <c r="I25" s="495">
        <f>财务基础数据!N266*目录!$D$6</f>
        <v>0</v>
      </c>
      <c r="J25" s="495">
        <f>财务基础数据!O266*目录!$D$6</f>
        <v>0</v>
      </c>
      <c r="K25" s="495">
        <f>财务基础数据!P266*目录!$D$6</f>
        <v>0</v>
      </c>
      <c r="L25" s="495">
        <f>财务基础数据!Q266*目录!$D$6</f>
        <v>0</v>
      </c>
      <c r="M25" s="495">
        <f>财务基础数据!R266*目录!$D$6</f>
        <v>0</v>
      </c>
      <c r="N25" s="495">
        <f>财务基础数据!S266*目录!$D$6</f>
        <v>0</v>
      </c>
      <c r="O25" s="495">
        <f>财务基础数据!T266*目录!$D$6</f>
        <v>0</v>
      </c>
      <c r="P25" s="495">
        <f>财务基础数据!U266*目录!$D$6</f>
        <v>0</v>
      </c>
      <c r="Q25" s="495">
        <f>财务基础数据!V266*目录!$D$6</f>
        <v>0</v>
      </c>
      <c r="R25" s="495">
        <f>财务基础数据!W266*目录!$D$6</f>
        <v>0</v>
      </c>
      <c r="S25" s="495">
        <f>财务基础数据!X266*目录!$D$6</f>
        <v>0</v>
      </c>
      <c r="T25" s="495">
        <f>财务基础数据!Y266*目录!$D$6</f>
        <v>0</v>
      </c>
      <c r="U25" s="495">
        <f>财务基础数据!Z266*目录!$D$6</f>
        <v>0</v>
      </c>
      <c r="V25" s="495">
        <f>财务基础数据!AA266*目录!$D$6</f>
        <v>0</v>
      </c>
      <c r="W25" s="495">
        <f>财务基础数据!AB266*目录!$D$6</f>
        <v>0</v>
      </c>
      <c r="X25" s="495">
        <f>财务基础数据!AC266*目录!$D$6</f>
        <v>0</v>
      </c>
      <c r="Y25" s="495">
        <f>财务基础数据!AD266*目录!$D$6</f>
        <v>0</v>
      </c>
      <c r="Z25" s="495">
        <f>财务基础数据!AE266*目录!$D$6</f>
        <v>0</v>
      </c>
      <c r="AA25" s="495">
        <f>财务基础数据!AF266*目录!$D$6</f>
        <v>0</v>
      </c>
      <c r="AB25" s="495">
        <f>财务基础数据!AG266*目录!$D$6</f>
        <v>0</v>
      </c>
      <c r="AC25" s="495">
        <f>财务基础数据!AH266*目录!$D$6</f>
        <v>0</v>
      </c>
      <c r="AD25" s="495">
        <f>财务基础数据!AI266*目录!$D$6</f>
        <v>0</v>
      </c>
      <c r="AE25" s="495">
        <f>财务基础数据!AJ266*目录!$D$6</f>
        <v>0</v>
      </c>
      <c r="AF25" s="495">
        <f>财务基础数据!AK266*目录!$D$6</f>
        <v>0</v>
      </c>
      <c r="AG25" s="495">
        <f>财务基础数据!AL266*目录!$D$6</f>
        <v>0</v>
      </c>
      <c r="AH25" s="495">
        <f>财务基础数据!AM266*目录!$D$6</f>
        <v>0</v>
      </c>
      <c r="AI25" s="495">
        <f>财务基础数据!AN266*目录!$D$6</f>
        <v>0</v>
      </c>
      <c r="AJ25" s="495">
        <f>财务基础数据!AO266*目录!$D$6</f>
        <v>0</v>
      </c>
      <c r="AK25" s="495">
        <f>IF(ISERROR(AK26+AK27+AK28),"—",AK26+AK27+AK28)</f>
        <v>0</v>
      </c>
      <c r="AL25" s="495">
        <f t="shared" ref="AL25:AT25" si="8">IF(ISERROR(AL26+AL27+AL28),"—",AL26+AL27+AL28)</f>
        <v>0</v>
      </c>
      <c r="AM25" s="495">
        <f t="shared" si="8"/>
        <v>0</v>
      </c>
      <c r="AN25" s="495">
        <f t="shared" si="8"/>
        <v>0</v>
      </c>
      <c r="AO25" s="495">
        <f t="shared" si="8"/>
        <v>0</v>
      </c>
      <c r="AP25" s="495">
        <f t="shared" si="8"/>
        <v>0</v>
      </c>
      <c r="AQ25" s="495">
        <f t="shared" si="8"/>
        <v>0</v>
      </c>
      <c r="AR25" s="495">
        <f t="shared" si="8"/>
        <v>0</v>
      </c>
      <c r="AS25" s="495">
        <f t="shared" si="8"/>
        <v>0</v>
      </c>
      <c r="AT25" s="495">
        <f t="shared" si="8"/>
        <v>0</v>
      </c>
      <c r="AU25" s="388"/>
      <c r="AV25" s="388"/>
      <c r="AW25" s="388"/>
    </row>
    <row r="26" spans="2:49" ht="15" customHeight="1">
      <c r="C26" s="150" t="s">
        <v>490</v>
      </c>
      <c r="E26" s="495"/>
      <c r="F26" s="495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495"/>
      <c r="S26" s="495"/>
      <c r="T26" s="495"/>
      <c r="U26" s="495"/>
      <c r="V26" s="495"/>
      <c r="W26" s="495"/>
      <c r="X26" s="495"/>
      <c r="Y26" s="495"/>
      <c r="Z26" s="495"/>
      <c r="AA26" s="495"/>
      <c r="AB26" s="495"/>
      <c r="AC26" s="495"/>
      <c r="AD26" s="495"/>
      <c r="AE26" s="495"/>
      <c r="AF26" s="495"/>
      <c r="AG26" s="495"/>
      <c r="AH26" s="495"/>
      <c r="AI26" s="495"/>
      <c r="AJ26" s="495"/>
      <c r="AK26" s="9">
        <f>IF(ISERROR(资产负债表!AG11-资产负债表!AK11+投资与减值!L177+资产负债表!AG12-资产负债表!AK12+投资与减值!L178+资产负债表!AG13-资产负债表!AK13),0,资产负债表!AG11-资产负债表!AK11+投资与减值!L177+资产负债表!AG12-资产负债表!AK12+投资与减值!L178+资产负债表!AG13-资产负债表!AK13)</f>
        <v>0</v>
      </c>
      <c r="AL26" s="9">
        <f>IF(ISERROR(资产负债表!AK11-资产负债表!AL11+投资与减值!M177+资产负债表!AK12-资产负债表!AL12+投资与减值!M178+资产负债表!AK13-资产负债表!AL13),0,资产负债表!AK11-资产负债表!AL11+投资与减值!M177+资产负债表!AK12-资产负债表!AL12+投资与减值!M178+资产负债表!AK13-资产负债表!AL13)</f>
        <v>0</v>
      </c>
      <c r="AM26" s="9">
        <f>IF(ISERROR(资产负债表!AL11-资产负债表!AM11+投资与减值!N177+资产负债表!AL12-资产负债表!AM12+投资与减值!N178+资产负债表!AL13-资产负债表!AM13),0,资产负债表!AL11-资产负债表!AM11+投资与减值!N177+资产负债表!AL12-资产负债表!AM12+投资与减值!N178+资产负债表!AL13-资产负债表!AM13)</f>
        <v>0</v>
      </c>
      <c r="AN26" s="9">
        <f>IF(ISERROR(资产负债表!AM11-资产负债表!AN11+投资与减值!O177+资产负债表!AM12-资产负债表!AN12+投资与减值!O178+资产负债表!AM13-资产负债表!AN13),0,资产负债表!AM11-资产负债表!AN11+投资与减值!O177+资产负债表!AM12-资产负债表!AN12+投资与减值!O178+资产负债表!AM13-资产负债表!AN13)</f>
        <v>0</v>
      </c>
      <c r="AO26" s="9">
        <f>IF(ISERROR(资产负债表!AN11-资产负债表!AO11+投资与减值!P177+资产负债表!AN12-资产负债表!AO12+投资与减值!P178+资产负债表!AN13-资产负债表!AO13),0,资产负债表!AN11-资产负债表!AO11+投资与减值!P177+资产负债表!AN12-资产负债表!AO12+投资与减值!P178+资产负债表!AN13-资产负债表!AO13)</f>
        <v>0</v>
      </c>
      <c r="AP26" s="9">
        <f>IF(ISERROR(资产负债表!AO11-资产负债表!AP11+投资与减值!Q177+资产负债表!AO12-资产负债表!AP12+投资与减值!Q178+资产负债表!AO13-资产负债表!AP13),0,资产负债表!AO11-资产负债表!AP11+投资与减值!Q177+资产负债表!AO12-资产负债表!AP12+投资与减值!Q178+资产负债表!AO13-资产负债表!AP13)</f>
        <v>0</v>
      </c>
      <c r="AQ26" s="9">
        <f>IF(ISERROR(资产负债表!AP11-资产负债表!AQ11+投资与减值!R177+资产负债表!AP12-资产负债表!AQ12+投资与减值!R178+资产负债表!AP13-资产负债表!AQ13),0,资产负债表!AP11-资产负债表!AQ11+投资与减值!R177+资产负债表!AP12-资产负债表!AQ12+投资与减值!R178+资产负债表!AP13-资产负债表!AQ13)</f>
        <v>0</v>
      </c>
      <c r="AR26" s="9">
        <f>IF(ISERROR(资产负债表!AQ11-资产负债表!AR11+投资与减值!S177+资产负债表!AQ12-资产负债表!AR12+投资与减值!S178+资产负债表!AQ13-资产负债表!AR13),0,资产负债表!AQ11-资产负债表!AR11+投资与减值!S177+资产负债表!AQ12-资产负债表!AR12+投资与减值!S178+资产负债表!AQ13-资产负债表!AR13)</f>
        <v>0</v>
      </c>
      <c r="AS26" s="9">
        <f>IF(ISERROR(资产负债表!AR11-资产负债表!AS11+投资与减值!T177+资产负债表!AR12-资产负债表!AS12+投资与减值!T178+资产负债表!AR13-资产负债表!AS13),0,资产负债表!AR11-资产负债表!AS11+投资与减值!T177+资产负债表!AR12-资产负债表!AS12+投资与减值!T178+资产负债表!AR13-资产负债表!AS13)</f>
        <v>0</v>
      </c>
      <c r="AT26" s="9">
        <f>IF(ISERROR(资产负债表!AS11-资产负债表!AT11+投资与减值!U177+资产负债表!AS12-资产负债表!AT12+投资与减值!U178+资产负债表!AS13-资产负债表!AT13),0,资产负债表!AS11-资产负债表!AT11+投资与减值!U177+资产负债表!AS12-资产负债表!AT12+投资与减值!U178+资产负债表!AS13-资产负债表!AT13)</f>
        <v>0</v>
      </c>
      <c r="AU26" s="9"/>
      <c r="AV26" s="388"/>
      <c r="AW26" s="388"/>
    </row>
    <row r="27" spans="2:49" ht="15" customHeight="1">
      <c r="C27" s="75" t="s">
        <v>491</v>
      </c>
      <c r="E27" s="495"/>
      <c r="F27" s="495"/>
      <c r="G27" s="495"/>
      <c r="H27" s="495"/>
      <c r="I27" s="495"/>
      <c r="J27" s="495"/>
      <c r="K27" s="495"/>
      <c r="L27" s="495"/>
      <c r="M27" s="495"/>
      <c r="N27" s="495"/>
      <c r="O27" s="495"/>
      <c r="P27" s="495"/>
      <c r="Q27" s="495"/>
      <c r="R27" s="495"/>
      <c r="S27" s="495"/>
      <c r="T27" s="495"/>
      <c r="U27" s="495"/>
      <c r="V27" s="495"/>
      <c r="W27" s="495"/>
      <c r="X27" s="495"/>
      <c r="Y27" s="495"/>
      <c r="Z27" s="495"/>
      <c r="AA27" s="495"/>
      <c r="AB27" s="495"/>
      <c r="AC27" s="495"/>
      <c r="AD27" s="495"/>
      <c r="AE27" s="495"/>
      <c r="AF27" s="495"/>
      <c r="AG27" s="495"/>
      <c r="AH27" s="495"/>
      <c r="AI27" s="495"/>
      <c r="AJ27" s="495"/>
      <c r="AK27" s="495">
        <f>IF(ISERROR(资产负债表!AG14-资产负债表!AK14),"—",资产负债表!AG14-资产负债表!AK14)</f>
        <v>0</v>
      </c>
      <c r="AL27" s="495">
        <f>IF(ISERROR(资产负债表!AK14-资产负债表!AL14),"—",资产负债表!AK14-资产负债表!AL14)</f>
        <v>0</v>
      </c>
      <c r="AM27" s="495">
        <f>IF(ISERROR(资产负债表!AL14-资产负债表!AM14),"—",资产负债表!AL14-资产负债表!AM14)</f>
        <v>0</v>
      </c>
      <c r="AN27" s="495">
        <f>IF(ISERROR(资产负债表!AM14-资产负债表!AN14),"—",资产负债表!AM14-资产负债表!AN14)</f>
        <v>0</v>
      </c>
      <c r="AO27" s="495">
        <f>IF(ISERROR(资产负债表!AN14-资产负债表!AO14),"—",资产负债表!AN14-资产负债表!AO14)</f>
        <v>0</v>
      </c>
      <c r="AP27" s="495">
        <f>IF(ISERROR(资产负债表!AO14-资产负债表!AP14),"—",资产负债表!AO14-资产负债表!AP14)</f>
        <v>0</v>
      </c>
      <c r="AQ27" s="495">
        <f>IF(ISERROR(资产负债表!AP14-资产负债表!AQ14),"—",资产负债表!AP14-资产负债表!AQ14)</f>
        <v>0</v>
      </c>
      <c r="AR27" s="495">
        <f>IF(ISERROR(资产负债表!AQ14-资产负债表!AR14),"—",资产负债表!AQ14-资产负债表!AR14)</f>
        <v>0</v>
      </c>
      <c r="AS27" s="495">
        <f>IF(ISERROR(资产负债表!AR14-资产负债表!AS14),"—",资产负债表!AR14-资产负债表!AS14)</f>
        <v>0</v>
      </c>
      <c r="AT27" s="495">
        <f>IF(ISERROR(资产负债表!AS14-资产负债表!AT14),"—",资产负债表!AS14-资产负债表!AT14)</f>
        <v>0</v>
      </c>
      <c r="AU27" s="388"/>
      <c r="AV27" s="388"/>
      <c r="AW27" s="388"/>
    </row>
    <row r="28" spans="2:49" ht="15" customHeight="1">
      <c r="C28" s="75" t="s">
        <v>492</v>
      </c>
      <c r="E28" s="495"/>
      <c r="F28" s="495"/>
      <c r="G28" s="495"/>
      <c r="H28" s="495"/>
      <c r="I28" s="495"/>
      <c r="J28" s="495"/>
      <c r="K28" s="495"/>
      <c r="L28" s="495"/>
      <c r="M28" s="495"/>
      <c r="N28" s="495"/>
      <c r="O28" s="495"/>
      <c r="P28" s="495"/>
      <c r="Q28" s="495"/>
      <c r="R28" s="495"/>
      <c r="S28" s="495"/>
      <c r="T28" s="495"/>
      <c r="U28" s="495"/>
      <c r="V28" s="495"/>
      <c r="W28" s="495"/>
      <c r="X28" s="495"/>
      <c r="Y28" s="495"/>
      <c r="Z28" s="495"/>
      <c r="AA28" s="495"/>
      <c r="AB28" s="495"/>
      <c r="AC28" s="495"/>
      <c r="AD28" s="495"/>
      <c r="AE28" s="495"/>
      <c r="AF28" s="495"/>
      <c r="AG28" s="495"/>
      <c r="AH28" s="495"/>
      <c r="AI28" s="495"/>
      <c r="AJ28" s="495"/>
      <c r="AK28" s="495">
        <f>IF(ISERROR(资产负债表!AG17-资产负债表!AK17+投资与减值!L172),"—",资产负债表!AG17-资产负债表!AK17+投资与减值!L172)</f>
        <v>0</v>
      </c>
      <c r="AL28" s="495">
        <f>IF(ISERROR(资产负债表!AK17-资产负债表!AL17+投资与减值!M172),"—",资产负债表!AK17-资产负债表!AL17+投资与减值!M172)</f>
        <v>0</v>
      </c>
      <c r="AM28" s="495">
        <f>IF(ISERROR(资产负债表!AL17-资产负债表!AM17+投资与减值!N172),"—",资产负债表!AL17-资产负债表!AM17+投资与减值!N172)</f>
        <v>0</v>
      </c>
      <c r="AN28" s="495">
        <f>IF(ISERROR(资产负债表!AM17-资产负债表!AN17+投资与减值!O172),"—",资产负债表!AM17-资产负债表!AN17+投资与减值!O172)</f>
        <v>0</v>
      </c>
      <c r="AO28" s="495">
        <f>IF(ISERROR(资产负债表!AN17-资产负债表!AO17+投资与减值!P172),"—",资产负债表!AN17-资产负债表!AO17+投资与减值!P172)</f>
        <v>0</v>
      </c>
      <c r="AP28" s="495">
        <f>IF(ISERROR(资产负债表!AO17-资产负债表!AP17+投资与减值!Q172),"—",资产负债表!AO17-资产负债表!AP17+投资与减值!Q172)</f>
        <v>0</v>
      </c>
      <c r="AQ28" s="495">
        <f>IF(ISERROR(资产负债表!AP17-资产负债表!AQ17+投资与减值!R172),"—",资产负债表!AP17-资产负债表!AQ17+投资与减值!R172)</f>
        <v>0</v>
      </c>
      <c r="AR28" s="495">
        <f>IF(ISERROR(资产负债表!AQ17-资产负债表!AR17+投资与减值!S172),"—",资产负债表!AQ17-资产负债表!AR17+投资与减值!S172)</f>
        <v>0</v>
      </c>
      <c r="AS28" s="495">
        <f>IF(ISERROR(资产负债表!AR17-资产负债表!AS17+投资与减值!T172),"—",资产负债表!AR17-资产负债表!AS17+投资与减值!T172)</f>
        <v>0</v>
      </c>
      <c r="AT28" s="495">
        <f>IF(ISERROR(资产负债表!AS17-资产负债表!AT17+投资与减值!U172),"—",资产负债表!AS17-资产负债表!AT17+投资与减值!U172)</f>
        <v>0</v>
      </c>
      <c r="AU28" s="388"/>
      <c r="AV28" s="388"/>
      <c r="AW28" s="388"/>
    </row>
    <row r="29" spans="2:49" ht="15" customHeight="1">
      <c r="C29" s="150" t="s">
        <v>493</v>
      </c>
      <c r="E29" s="495">
        <f>财务基础数据!J267*目录!$D$6</f>
        <v>0</v>
      </c>
      <c r="F29" s="495">
        <f>财务基础数据!K267*目录!$D$6</f>
        <v>0</v>
      </c>
      <c r="G29" s="495">
        <f>财务基础数据!L267*目录!$D$6</f>
        <v>0</v>
      </c>
      <c r="H29" s="495">
        <f>财务基础数据!M267*目录!$D$6</f>
        <v>0</v>
      </c>
      <c r="I29" s="495">
        <f>财务基础数据!N267*目录!$D$6</f>
        <v>0</v>
      </c>
      <c r="J29" s="495">
        <f>财务基础数据!O267*目录!$D$6</f>
        <v>0</v>
      </c>
      <c r="K29" s="495">
        <f>财务基础数据!P267*目录!$D$6</f>
        <v>0</v>
      </c>
      <c r="L29" s="495">
        <f>财务基础数据!Q267*目录!$D$6</f>
        <v>0</v>
      </c>
      <c r="M29" s="495">
        <f>财务基础数据!R267*目录!$D$6</f>
        <v>0</v>
      </c>
      <c r="N29" s="495">
        <f>财务基础数据!S267*目录!$D$6</f>
        <v>0</v>
      </c>
      <c r="O29" s="495">
        <f>财务基础数据!T267*目录!$D$6</f>
        <v>0</v>
      </c>
      <c r="P29" s="495">
        <f>财务基础数据!U267*目录!$D$6</f>
        <v>0</v>
      </c>
      <c r="Q29" s="495">
        <f>财务基础数据!V267*目录!$D$6</f>
        <v>0</v>
      </c>
      <c r="R29" s="495">
        <f>财务基础数据!W267*目录!$D$6</f>
        <v>0</v>
      </c>
      <c r="S29" s="495">
        <f>财务基础数据!X267*目录!$D$6</f>
        <v>0</v>
      </c>
      <c r="T29" s="495">
        <f>财务基础数据!Y267*目录!$D$6</f>
        <v>0</v>
      </c>
      <c r="U29" s="495">
        <f>财务基础数据!Z267*目录!$D$6</f>
        <v>0</v>
      </c>
      <c r="V29" s="495">
        <f>财务基础数据!AA267*目录!$D$6</f>
        <v>0</v>
      </c>
      <c r="W29" s="495">
        <f>财务基础数据!AB267*目录!$D$6</f>
        <v>0</v>
      </c>
      <c r="X29" s="495">
        <f>财务基础数据!AC267*目录!$D$6</f>
        <v>0</v>
      </c>
      <c r="Y29" s="495">
        <f>财务基础数据!AD267*目录!$D$6</f>
        <v>0</v>
      </c>
      <c r="Z29" s="495">
        <f>财务基础数据!AE267*目录!$D$6</f>
        <v>0</v>
      </c>
      <c r="AA29" s="495">
        <f>财务基础数据!AF267*目录!$D$6</f>
        <v>0</v>
      </c>
      <c r="AB29" s="495">
        <f>财务基础数据!AG267*目录!$D$6</f>
        <v>0</v>
      </c>
      <c r="AC29" s="495">
        <f>财务基础数据!AH267*目录!$D$6</f>
        <v>0</v>
      </c>
      <c r="AD29" s="495">
        <f>财务基础数据!AI267*目录!$D$6</f>
        <v>0</v>
      </c>
      <c r="AE29" s="495">
        <f>财务基础数据!AJ267*目录!$D$6</f>
        <v>0</v>
      </c>
      <c r="AF29" s="495">
        <f>财务基础数据!AK267*目录!$D$6</f>
        <v>0</v>
      </c>
      <c r="AG29" s="495">
        <f>财务基础数据!AL267*目录!$D$6</f>
        <v>0</v>
      </c>
      <c r="AH29" s="495">
        <f>财务基础数据!AM267*目录!$D$6</f>
        <v>0</v>
      </c>
      <c r="AI29" s="495">
        <f>财务基础数据!AN267*目录!$D$6</f>
        <v>0</v>
      </c>
      <c r="AJ29" s="495">
        <f>财务基础数据!AO267*目录!$D$6</f>
        <v>0</v>
      </c>
      <c r="AK29" s="495">
        <f>IF(ISERROR(AK30+AK31+AK32+AK33+AK34),"—",AK30+AK31+AK32+AK33+AK34)</f>
        <v>0</v>
      </c>
      <c r="AL29" s="495">
        <f t="shared" ref="AL29:AT29" si="9">IF(ISERROR(AL30+AL31+AL32+AL33+AL34),"—",AL30+AL31+AL32+AL33+AL34)</f>
        <v>0</v>
      </c>
      <c r="AM29" s="495">
        <f t="shared" si="9"/>
        <v>0</v>
      </c>
      <c r="AN29" s="495">
        <f t="shared" si="9"/>
        <v>0</v>
      </c>
      <c r="AO29" s="495">
        <f t="shared" si="9"/>
        <v>0</v>
      </c>
      <c r="AP29" s="495">
        <f t="shared" si="9"/>
        <v>0</v>
      </c>
      <c r="AQ29" s="495">
        <f t="shared" si="9"/>
        <v>0</v>
      </c>
      <c r="AR29" s="495">
        <f t="shared" si="9"/>
        <v>0</v>
      </c>
      <c r="AS29" s="495">
        <f t="shared" si="9"/>
        <v>0</v>
      </c>
      <c r="AT29" s="495">
        <f t="shared" si="9"/>
        <v>0</v>
      </c>
      <c r="AU29" s="388"/>
      <c r="AV29" s="388"/>
      <c r="AW29" s="388"/>
    </row>
    <row r="30" spans="2:49" ht="15" customHeight="1">
      <c r="B30" s="378"/>
      <c r="C30" s="150" t="s">
        <v>494</v>
      </c>
      <c r="E30" s="495"/>
      <c r="F30" s="495"/>
      <c r="G30" s="495"/>
      <c r="H30" s="495"/>
      <c r="I30" s="495"/>
      <c r="J30" s="495"/>
      <c r="K30" s="495"/>
      <c r="L30" s="495"/>
      <c r="M30" s="495"/>
      <c r="N30" s="495"/>
      <c r="O30" s="495"/>
      <c r="P30" s="495"/>
      <c r="Q30" s="495"/>
      <c r="R30" s="495"/>
      <c r="S30" s="495"/>
      <c r="T30" s="495"/>
      <c r="U30" s="495"/>
      <c r="V30" s="495"/>
      <c r="W30" s="495"/>
      <c r="X30" s="495"/>
      <c r="Y30" s="495"/>
      <c r="Z30" s="495"/>
      <c r="AA30" s="495"/>
      <c r="AB30" s="495"/>
      <c r="AC30" s="495"/>
      <c r="AD30" s="495"/>
      <c r="AE30" s="495"/>
      <c r="AF30" s="495"/>
      <c r="AG30" s="495"/>
      <c r="AH30" s="495"/>
      <c r="AI30" s="495"/>
      <c r="AJ30" s="495"/>
      <c r="AK30" s="495">
        <f>IF(ISERROR(资产负债表!AK52-资产负债表!AG52+资产负债表!AK53-资产负债表!AG53),"—",资产负债表!AK52-资产负债表!AG52+资产负债表!AK53-资产负债表!AG53)</f>
        <v>0</v>
      </c>
      <c r="AL30" s="495">
        <f>IF(ISERROR(资产负债表!AL52-资产负债表!AK52+资产负债表!AL53-资产负债表!AK53),"—",资产负债表!AL52-资产负债表!AK52+资产负债表!AL53-资产负债表!AK53)</f>
        <v>0</v>
      </c>
      <c r="AM30" s="495">
        <f>IF(ISERROR(资产负债表!AM52-资产负债表!AL52+资产负债表!AM53-资产负债表!AL53),"—",资产负债表!AM52-资产负债表!AL52+资产负债表!AM53-资产负债表!AL53)</f>
        <v>0</v>
      </c>
      <c r="AN30" s="495">
        <f>IF(ISERROR(资产负债表!AN52-资产负债表!AM52+资产负债表!AN53-资产负债表!AM53),"—",资产负债表!AN52-资产负债表!AM52+资产负债表!AN53-资产负债表!AM53)</f>
        <v>0</v>
      </c>
      <c r="AO30" s="495">
        <f>IF(ISERROR(资产负债表!AO52-资产负债表!AN52+资产负债表!AO53-资产负债表!AN53),"—",资产负债表!AO52-资产负债表!AN52+资产负债表!AO53-资产负债表!AN53)</f>
        <v>0</v>
      </c>
      <c r="AP30" s="495">
        <f>IF(ISERROR(资产负债表!AP52-资产负债表!AO52+资产负债表!AP53-资产负债表!AO53),"—",资产负债表!AP52-资产负债表!AO52+资产负债表!AP53-资产负债表!AO53)</f>
        <v>0</v>
      </c>
      <c r="AQ30" s="495">
        <f>IF(ISERROR(资产负债表!AQ52-资产负债表!AP52+资产负债表!AQ53-资产负债表!AP53),"—",资产负债表!AQ52-资产负债表!AP52+资产负债表!AQ53-资产负债表!AP53)</f>
        <v>0</v>
      </c>
      <c r="AR30" s="495">
        <f>IF(ISERROR(资产负债表!AR52-资产负债表!AQ52+资产负债表!AR53-资产负债表!AQ53),"—",资产负债表!AR52-资产负债表!AQ52+资产负债表!AR53-资产负债表!AQ53)</f>
        <v>0</v>
      </c>
      <c r="AS30" s="495">
        <f>IF(ISERROR(资产负债表!AS52-资产负债表!AR52+资产负债表!AS53-资产负债表!AR53),"—",资产负债表!AS52-资产负债表!AR52+资产负债表!AS53-资产负债表!AR53)</f>
        <v>0</v>
      </c>
      <c r="AT30" s="495">
        <f>IF(ISERROR(资产负债表!AT52-资产负债表!AS52+资产负债表!AT53-资产负债表!AS53),"—",资产负债表!AT52-资产负债表!AS52+资产负债表!AT53-资产负债表!AS53)</f>
        <v>0</v>
      </c>
      <c r="AU30" s="388"/>
      <c r="AV30" s="388"/>
      <c r="AW30" s="388"/>
    </row>
    <row r="31" spans="2:49" ht="15" customHeight="1">
      <c r="C31" s="75" t="s">
        <v>495</v>
      </c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  <c r="AF31" s="495"/>
      <c r="AG31" s="495"/>
      <c r="AH31" s="495"/>
      <c r="AI31" s="495"/>
      <c r="AJ31" s="495"/>
      <c r="AK31" s="495">
        <f>IF(ISERROR(资产负债表!AK54-资产负债表!AG54),"—",资产负债表!AK54-资产负债表!AG54)</f>
        <v>0</v>
      </c>
      <c r="AL31" s="495">
        <f>IF(ISERROR(资产负债表!AL54-资产负债表!AK54),"—",资产负债表!AL54-资产负债表!AK54)</f>
        <v>0</v>
      </c>
      <c r="AM31" s="495">
        <f>IF(ISERROR(资产负债表!AM54-资产负债表!AL54),"—",资产负债表!AM54-资产负债表!AL54)</f>
        <v>0</v>
      </c>
      <c r="AN31" s="495">
        <f>IF(ISERROR(资产负债表!AN54-资产负债表!AM54),"—",资产负债表!AN54-资产负债表!AM54)</f>
        <v>0</v>
      </c>
      <c r="AO31" s="495">
        <f>IF(ISERROR(资产负债表!AO54-资产负债表!AN54),"—",资产负债表!AO54-资产负债表!AN54)</f>
        <v>0</v>
      </c>
      <c r="AP31" s="495">
        <f>IF(ISERROR(资产负债表!AP54-资产负债表!AO54),"—",资产负债表!AP54-资产负债表!AO54)</f>
        <v>0</v>
      </c>
      <c r="AQ31" s="495">
        <f>IF(ISERROR(资产负债表!AQ54-资产负债表!AP54),"—",资产负债表!AQ54-资产负债表!AP54)</f>
        <v>0</v>
      </c>
      <c r="AR31" s="495">
        <f>IF(ISERROR(资产负债表!AR54-资产负债表!AQ54),"—",资产负债表!AR54-资产负债表!AQ54)</f>
        <v>0</v>
      </c>
      <c r="AS31" s="495">
        <f>IF(ISERROR(资产负债表!AS54-资产负债表!AR54),"—",资产负债表!AS54-资产负债表!AR54)</f>
        <v>0</v>
      </c>
      <c r="AT31" s="495">
        <f>IF(ISERROR(资产负债表!AT54-资产负债表!AS54),"—",资产负债表!AT54-资产负债表!AS54)</f>
        <v>0</v>
      </c>
      <c r="AU31" s="388"/>
      <c r="AV31" s="388"/>
      <c r="AW31" s="388"/>
    </row>
    <row r="32" spans="2:49" ht="15" customHeight="1">
      <c r="C32" s="75" t="s">
        <v>496</v>
      </c>
      <c r="E32" s="495"/>
      <c r="F32" s="495"/>
      <c r="G32" s="495"/>
      <c r="H32" s="495"/>
      <c r="I32" s="495"/>
      <c r="J32" s="495"/>
      <c r="K32" s="495"/>
      <c r="L32" s="495"/>
      <c r="M32" s="495"/>
      <c r="N32" s="495"/>
      <c r="O32" s="495"/>
      <c r="P32" s="495"/>
      <c r="Q32" s="495"/>
      <c r="R32" s="495"/>
      <c r="S32" s="495"/>
      <c r="T32" s="495"/>
      <c r="U32" s="495"/>
      <c r="V32" s="495"/>
      <c r="W32" s="495"/>
      <c r="X32" s="495"/>
      <c r="Y32" s="495"/>
      <c r="Z32" s="495"/>
      <c r="AA32" s="495"/>
      <c r="AB32" s="495"/>
      <c r="AC32" s="495"/>
      <c r="AD32" s="495"/>
      <c r="AE32" s="495"/>
      <c r="AF32" s="495"/>
      <c r="AG32" s="495"/>
      <c r="AH32" s="495"/>
      <c r="AI32" s="495"/>
      <c r="AJ32" s="495"/>
      <c r="AK32" s="495">
        <f>IF(ISERROR(资产负债表!AK56-资产负债表!AG56),"—",资产负债表!AK56-资产负债表!AG56)</f>
        <v>0</v>
      </c>
      <c r="AL32" s="495">
        <f>IF(ISERROR(资产负债表!AL56-资产负债表!AK56),"—",资产负债表!AL56-资产负债表!AK56)</f>
        <v>0</v>
      </c>
      <c r="AM32" s="495">
        <f>IF(ISERROR(资产负债表!AM56-资产负债表!AL56),"—",资产负债表!AM56-资产负债表!AL56)</f>
        <v>0</v>
      </c>
      <c r="AN32" s="495">
        <f>IF(ISERROR(资产负债表!AN56-资产负债表!AM56),"—",资产负债表!AN56-资产负债表!AM56)</f>
        <v>0</v>
      </c>
      <c r="AO32" s="495">
        <f>IF(ISERROR(资产负债表!AO56-资产负债表!AN56),"—",资产负债表!AO56-资产负债表!AN56)</f>
        <v>0</v>
      </c>
      <c r="AP32" s="495">
        <f>IF(ISERROR(资产负债表!AP56-资产负债表!AO56),"—",资产负债表!AP56-资产负债表!AO56)</f>
        <v>0</v>
      </c>
      <c r="AQ32" s="495">
        <f>IF(ISERROR(资产负债表!AQ56-资产负债表!AP56),"—",资产负债表!AQ56-资产负债表!AP56)</f>
        <v>0</v>
      </c>
      <c r="AR32" s="495">
        <f>IF(ISERROR(资产负债表!AR56-资产负债表!AQ56),"—",资产负债表!AR56-资产负债表!AQ56)</f>
        <v>0</v>
      </c>
      <c r="AS32" s="495">
        <f>IF(ISERROR(资产负债表!AS56-资产负债表!AR56),"—",资产负债表!AS56-资产负债表!AR56)</f>
        <v>0</v>
      </c>
      <c r="AT32" s="495">
        <f>IF(ISERROR(资产负债表!AT56-资产负债表!AS56),"—",资产负债表!AT56-资产负债表!AS56)</f>
        <v>0</v>
      </c>
      <c r="AU32" s="388"/>
      <c r="AV32" s="388"/>
      <c r="AW32" s="388"/>
    </row>
    <row r="33" spans="2:50" ht="15" customHeight="1">
      <c r="C33" s="384" t="s">
        <v>497</v>
      </c>
      <c r="E33" s="495"/>
      <c r="F33" s="495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495"/>
      <c r="U33" s="495"/>
      <c r="V33" s="495"/>
      <c r="W33" s="495"/>
      <c r="X33" s="495"/>
      <c r="Y33" s="495"/>
      <c r="Z33" s="495"/>
      <c r="AA33" s="495"/>
      <c r="AB33" s="495"/>
      <c r="AC33" s="495"/>
      <c r="AD33" s="495"/>
      <c r="AE33" s="495"/>
      <c r="AF33" s="495"/>
      <c r="AG33" s="495"/>
      <c r="AH33" s="495"/>
      <c r="AI33" s="495"/>
      <c r="AJ33" s="495"/>
      <c r="AK33" s="9">
        <f>IF(ISERROR(资产负债表!AK57-资产负债表!AG57),"—",资产负债表!AK57-资产负债表!AG57)</f>
        <v>0</v>
      </c>
      <c r="AL33" s="495">
        <f>IF(ISERROR(资产负债表!AL57-资产负债表!AK57),"—",资产负债表!AL57-资产负债表!AK57)</f>
        <v>0</v>
      </c>
      <c r="AM33" s="495">
        <f>IF(ISERROR(资产负债表!AM57-资产负债表!AL57),"—",资产负债表!AM57-资产负债表!AL57)</f>
        <v>0</v>
      </c>
      <c r="AN33" s="495">
        <f>IF(ISERROR(资产负债表!AN57-资产负债表!AM57),"—",资产负债表!AN57-资产负债表!AM57)</f>
        <v>0</v>
      </c>
      <c r="AO33" s="495">
        <f>IF(ISERROR(资产负债表!AO57-资产负债表!AN57),"—",资产负债表!AO57-资产负债表!AN57)</f>
        <v>0</v>
      </c>
      <c r="AP33" s="495">
        <f>IF(ISERROR(资产负债表!AP57-资产负债表!AO57),"—",资产负债表!AP57-资产负债表!AO57)</f>
        <v>0</v>
      </c>
      <c r="AQ33" s="495">
        <f>IF(ISERROR(资产负债表!AQ57-资产负债表!AP57),"—",资产负债表!AQ57-资产负债表!AP57)</f>
        <v>0</v>
      </c>
      <c r="AR33" s="495">
        <f>IF(ISERROR(资产负债表!AR57-资产负债表!AQ57),"—",资产负债表!AR57-资产负债表!AQ57)</f>
        <v>0</v>
      </c>
      <c r="AS33" s="495">
        <f>IF(ISERROR(资产负债表!AS57-资产负债表!AR57),"—",资产负债表!AS57-资产负债表!AR57)</f>
        <v>0</v>
      </c>
      <c r="AT33" s="495">
        <f>IF(ISERROR(资产负债表!AT57-资产负债表!AS57),"—",资产负债表!AT57-资产负债表!AS57)</f>
        <v>0</v>
      </c>
      <c r="AU33" s="388"/>
      <c r="AV33" s="388"/>
      <c r="AW33" s="388"/>
    </row>
    <row r="34" spans="2:50" ht="15" customHeight="1">
      <c r="C34" s="384" t="s">
        <v>498</v>
      </c>
      <c r="E34" s="495"/>
      <c r="F34" s="495"/>
      <c r="G34" s="495"/>
      <c r="H34" s="495"/>
      <c r="I34" s="495"/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495"/>
      <c r="U34" s="495"/>
      <c r="V34" s="495"/>
      <c r="W34" s="495"/>
      <c r="X34" s="495"/>
      <c r="Y34" s="495"/>
      <c r="Z34" s="495"/>
      <c r="AA34" s="495"/>
      <c r="AB34" s="495"/>
      <c r="AC34" s="495"/>
      <c r="AD34" s="495"/>
      <c r="AE34" s="495"/>
      <c r="AF34" s="495"/>
      <c r="AG34" s="495"/>
      <c r="AH34" s="495"/>
      <c r="AI34" s="495"/>
      <c r="AJ34" s="495"/>
      <c r="AK34" s="9">
        <f>IF(ISERROR(资产负债表!AK55-资产负债表!AG55),"—",资产负债表!AK55-资产负债表!AG55)</f>
        <v>0</v>
      </c>
      <c r="AL34" s="495">
        <f>IF(ISERROR(资产负债表!AL55-资产负债表!AK55),"—",资产负债表!AL55-资产负债表!AK55)</f>
        <v>0</v>
      </c>
      <c r="AM34" s="495">
        <f>IF(ISERROR(资产负债表!AM55-资产负债表!AL55),"—",资产负债表!AM55-资产负债表!AL55)</f>
        <v>0</v>
      </c>
      <c r="AN34" s="495">
        <f>IF(ISERROR(资产负债表!AN55-资产负债表!AM55),"—",资产负债表!AN55-资产负债表!AM55)</f>
        <v>0</v>
      </c>
      <c r="AO34" s="495">
        <f>IF(ISERROR(资产负债表!AO55-资产负债表!AN55),"—",资产负债表!AO55-资产负债表!AN55)</f>
        <v>0</v>
      </c>
      <c r="AP34" s="495">
        <f>IF(ISERROR(资产负债表!AP55-资产负债表!AO55),"—",资产负债表!AP55-资产负债表!AO55)</f>
        <v>0</v>
      </c>
      <c r="AQ34" s="495">
        <f>IF(ISERROR(资产负债表!AQ55-资产负债表!AP55),"—",资产负债表!AQ55-资产负债表!AP55)</f>
        <v>0</v>
      </c>
      <c r="AR34" s="495">
        <f>IF(ISERROR(资产负债表!AR55-资产负债表!AQ55),"—",资产负债表!AR55-资产负债表!AQ55)</f>
        <v>0</v>
      </c>
      <c r="AS34" s="495">
        <f>IF(ISERROR(资产负债表!AS55-资产负债表!AR55),"—",资产负债表!AS55-资产负债表!AR55)</f>
        <v>0</v>
      </c>
      <c r="AT34" s="495">
        <f>IF(ISERROR(资产负债表!AT55-资产负债表!AS55),"—",资产负债表!AT55-资产负债表!AS55)</f>
        <v>0</v>
      </c>
      <c r="AU34" s="388"/>
      <c r="AV34" s="388"/>
      <c r="AW34" s="388"/>
    </row>
    <row r="35" spans="2:50" ht="15" customHeight="1">
      <c r="B35" s="380"/>
      <c r="C35" s="97" t="s">
        <v>189</v>
      </c>
      <c r="E35" s="495">
        <f>财务基础数据!J269*目录!$D$6</f>
        <v>0</v>
      </c>
      <c r="F35" s="495">
        <f>财务基础数据!K269*目录!$D$6</f>
        <v>0</v>
      </c>
      <c r="G35" s="495">
        <f>财务基础数据!L269*目录!$D$6</f>
        <v>0</v>
      </c>
      <c r="H35" s="495">
        <f>财务基础数据!M269*目录!$D$6</f>
        <v>0</v>
      </c>
      <c r="I35" s="495">
        <f>财务基础数据!N269*目录!$D$6</f>
        <v>0</v>
      </c>
      <c r="J35" s="495">
        <f>财务基础数据!O269*目录!$D$6</f>
        <v>0</v>
      </c>
      <c r="K35" s="495">
        <f>财务基础数据!P269*目录!$D$6</f>
        <v>0</v>
      </c>
      <c r="L35" s="495">
        <f>财务基础数据!Q269*目录!$D$6</f>
        <v>0</v>
      </c>
      <c r="M35" s="495">
        <f>财务基础数据!R269*目录!$D$6</f>
        <v>0</v>
      </c>
      <c r="N35" s="495">
        <f>财务基础数据!S269*目录!$D$6</f>
        <v>0</v>
      </c>
      <c r="O35" s="495">
        <f>财务基础数据!T269*目录!$D$6</f>
        <v>0</v>
      </c>
      <c r="P35" s="495">
        <f>财务基础数据!U269*目录!$D$6</f>
        <v>0</v>
      </c>
      <c r="Q35" s="495">
        <f>财务基础数据!V269*目录!$D$6</f>
        <v>0</v>
      </c>
      <c r="R35" s="495">
        <f>财务基础数据!W269*目录!$D$6</f>
        <v>0</v>
      </c>
      <c r="S35" s="495">
        <f>财务基础数据!X269*目录!$D$6</f>
        <v>0</v>
      </c>
      <c r="T35" s="495">
        <f>财务基础数据!Y269*目录!$D$6</f>
        <v>0</v>
      </c>
      <c r="U35" s="495">
        <f>财务基础数据!Z269*目录!$D$6</f>
        <v>0</v>
      </c>
      <c r="V35" s="495">
        <f>财务基础数据!AA269*目录!$D$6</f>
        <v>0</v>
      </c>
      <c r="W35" s="495">
        <f>财务基础数据!AB269*目录!$D$6</f>
        <v>0</v>
      </c>
      <c r="X35" s="495">
        <f>财务基础数据!AC269*目录!$D$6</f>
        <v>0</v>
      </c>
      <c r="Y35" s="495">
        <f>财务基础数据!AD269*目录!$D$6</f>
        <v>0</v>
      </c>
      <c r="Z35" s="495">
        <f>财务基础数据!AE269*目录!$D$6</f>
        <v>0</v>
      </c>
      <c r="AA35" s="495">
        <f>财务基础数据!AF269*目录!$D$6</f>
        <v>0</v>
      </c>
      <c r="AB35" s="495">
        <f>财务基础数据!AG269*目录!$D$6</f>
        <v>0</v>
      </c>
      <c r="AC35" s="495">
        <f>财务基础数据!AH269*目录!$D$6</f>
        <v>0</v>
      </c>
      <c r="AD35" s="495">
        <f>财务基础数据!AI269*目录!$D$6</f>
        <v>0</v>
      </c>
      <c r="AE35" s="495">
        <f>财务基础数据!AJ269*目录!$D$6</f>
        <v>0</v>
      </c>
      <c r="AF35" s="495">
        <f>财务基础数据!AK269*目录!$D$6</f>
        <v>0</v>
      </c>
      <c r="AG35" s="495">
        <f>财务基础数据!AL269*目录!$D$6</f>
        <v>0</v>
      </c>
      <c r="AH35" s="495">
        <f>财务基础数据!AM269*目录!$D$6</f>
        <v>0</v>
      </c>
      <c r="AI35" s="495">
        <f>财务基础数据!AN269*目录!$D$6</f>
        <v>0</v>
      </c>
      <c r="AJ35" s="495">
        <f>财务基础数据!AO269*目录!$D$6</f>
        <v>0</v>
      </c>
      <c r="AK35" s="9">
        <f>IF(ISERROR(资产负债表!AG18-资产负债表!AK18+资产负债表!AK59-资产负债表!AG59-资产预测!L80+资产预测!L81+资产预测!L92-资产预测!L93+资产负债表!AG15-资产负债表!AK15+投资与减值!L179+资产负债表!AK58-资产负债表!AG58),"—",资产负债表!AG18-资产负债表!AK18+资产负债表!AK59-资产负债表!AG59-资产预测!L80+资产预测!L81+资产预测!L92-资产预测!L93+资产负债表!AG15-资产负债表!AK15+投资与减值!L179+资产负债表!AK58-资产负债表!AG58)</f>
        <v>0</v>
      </c>
      <c r="AL35" s="495">
        <f>IF(ISERROR(资产负债表!AK18-资产负债表!AL18+资产负债表!AL59-资产负债表!AK59-资产预测!M80+资产预测!M81+资产预测!M92-资产预测!M93+资产负债表!AK15-资产负债表!AL15+投资与减值!M179+资产负债表!AL58-资产负债表!AK58),"—",资产负债表!AK18-资产负债表!AL18+资产负债表!AL59-资产负债表!AK59-资产预测!M80+资产预测!M81+资产预测!M92-资产预测!M93+资产负债表!AK15-资产负债表!AL15+投资与减值!M179+资产负债表!AL58-资产负债表!AK58)</f>
        <v>0</v>
      </c>
      <c r="AM35" s="495">
        <f>IF(ISERROR(资产负债表!AL18-资产负债表!AM18+资产负债表!AM59-资产负债表!AL59-资产预测!N80+资产预测!N81+资产预测!N92-资产预测!N93+资产负债表!AL15-资产负债表!AM15+投资与减值!N179+资产负债表!AM58-资产负债表!AL58),"—",资产负债表!AL18-资产负债表!AM18+资产负债表!AM59-资产负债表!AL59-资产预测!N80+资产预测!N81+资产预测!N92-资产预测!N93+资产负债表!AL15-资产负债表!AM15+投资与减值!N179+资产负债表!AM58-资产负债表!AL58)</f>
        <v>0</v>
      </c>
      <c r="AN35" s="495">
        <f>IF(ISERROR(资产负债表!AM18-资产负债表!AN18+资产负债表!AN59-资产负债表!AM59-资产预测!O80+资产预测!O81+资产预测!O92-资产预测!O93+资产负债表!AM15-资产负债表!AN15+投资与减值!O179+资产负债表!AN58-资产负债表!AM58),"—",资产负债表!AM18-资产负债表!AN18+资产负债表!AN59-资产负债表!AM59-资产预测!O80+资产预测!O81+资产预测!O92-资产预测!O93+资产负债表!AM15-资产负债表!AN15+投资与减值!O179+资产负债表!AN58-资产负债表!AM58)</f>
        <v>0</v>
      </c>
      <c r="AO35" s="495">
        <f>IF(ISERROR(资产负债表!AN18-资产负债表!AO18+资产负债表!AO59-资产负债表!AN59-资产预测!P80+资产预测!P81+资产预测!P92-资产预测!P93+资产负债表!AN15-资产负债表!AO15+投资与减值!P179+资产负债表!AO58-资产负债表!AN58),"—",资产负债表!AN18-资产负债表!AO18+资产负债表!AO59-资产负债表!AN59-资产预测!P80+资产预测!P81+资产预测!P92-资产预测!P93+资产负债表!AN15-资产负债表!AO15+投资与减值!P179+资产负债表!AO58-资产负债表!AN58)</f>
        <v>0</v>
      </c>
      <c r="AP35" s="495">
        <f>IF(ISERROR(资产负债表!AO18-资产负债表!AP18+资产负债表!AP59-资产负债表!AO59-资产预测!Q80+资产预测!Q81+资产预测!Q92-资产预测!Q93+资产负债表!AO15-资产负债表!AP15+投资与减值!Q179+资产负债表!AP58-资产负债表!AO58),"—",资产负债表!AO18-资产负债表!AP18+资产负债表!AP59-资产负债表!AO59-资产预测!Q80+资产预测!Q81+资产预测!Q92-资产预测!Q93+资产负债表!AO15-资产负债表!AP15+投资与减值!Q179+资产负债表!AP58-资产负债表!AO58)</f>
        <v>0</v>
      </c>
      <c r="AQ35" s="495">
        <f>IF(ISERROR(资产负债表!AP18-资产负债表!AQ18+资产负债表!AQ59-资产负债表!AP59-资产预测!R80+资产预测!R81+资产预测!R92-资产预测!R93+资产负债表!AP15-资产负债表!AQ15+投资与减值!R179+资产负债表!AQ58-资产负债表!AP58),"—",资产负债表!AP18-资产负债表!AQ18+资产负债表!AQ59-资产负债表!AP59-资产预测!R80+资产预测!R81+资产预测!R92-资产预测!R93+资产负债表!AP15-资产负债表!AQ15+投资与减值!R179+资产负债表!AQ58-资产负债表!AP58)</f>
        <v>0</v>
      </c>
      <c r="AR35" s="495">
        <f>IF(ISERROR(资产负债表!AQ18-资产负债表!AR18+资产负债表!AR59-资产负债表!AQ59-资产预测!S80+资产预测!S81+资产预测!S92-资产预测!S93+资产负债表!AQ15-资产负债表!AR15+投资与减值!S179+资产负债表!AR58-资产负债表!AQ58),"—",资产负债表!AQ18-资产负债表!AR18+资产负债表!AR59-资产负债表!AQ59-资产预测!S80+资产预测!S81+资产预测!S92-资产预测!S93+资产负债表!AQ15-资产负债表!AR15+投资与减值!S179+资产负债表!AR58-资产负债表!AQ58)</f>
        <v>0</v>
      </c>
      <c r="AS35" s="495">
        <f>IF(ISERROR(资产负债表!AR18-资产负债表!AS18+资产负债表!AS59-资产负债表!AR59-资产预测!T80+资产预测!T81+资产预测!T92-资产预测!T93+资产负债表!AR15-资产负债表!AS15+投资与减值!T179+资产负债表!AS58-资产负债表!AR58),"—",资产负债表!AR18-资产负债表!AS18+资产负债表!AS59-资产负债表!AR59-资产预测!T80+资产预测!T81+资产预测!T92-资产预测!T93+资产负债表!AR15-资产负债表!AS15+投资与减值!T179+资产负债表!AS58-资产负债表!AR58)</f>
        <v>0</v>
      </c>
      <c r="AT35" s="495">
        <f>IF(ISERROR(资产负债表!AS18-资产负债表!AT18+资产负债表!AT59-资产负债表!AS59-资产预测!U80+资产预测!U81+资产预测!U92-资产预测!U93+资产负债表!AS15-资产负债表!AT15+投资与减值!U179+资产负债表!AT58-资产负债表!AS58),"—",资产负债表!AS18-资产负债表!AT18+资产负债表!AT59-资产负债表!AS59-资产预测!U80+资产预测!U81+资产预测!U92-资产预测!U93+资产负债表!AS15-资产负债表!AT15+投资与减值!U179+资产负债表!AT58-资产负债表!AS58)</f>
        <v>0</v>
      </c>
      <c r="AU35" s="388"/>
      <c r="AV35" s="388"/>
      <c r="AW35" s="388"/>
    </row>
    <row r="36" spans="2:50" ht="15" customHeight="1">
      <c r="B36" s="385" t="s">
        <v>499</v>
      </c>
      <c r="C36" s="386"/>
      <c r="D36" s="385"/>
      <c r="E36" s="1112">
        <f>财务基础数据!J196*目录!$D$6</f>
        <v>0</v>
      </c>
      <c r="F36" s="1112">
        <f>财务基础数据!K196*目录!$D$6</f>
        <v>0</v>
      </c>
      <c r="G36" s="1112">
        <f>财务基础数据!L196*目录!$D$6</f>
        <v>0</v>
      </c>
      <c r="H36" s="1112">
        <f>财务基础数据!M196*目录!$D$6</f>
        <v>0</v>
      </c>
      <c r="I36" s="1112">
        <f>财务基础数据!N196*目录!$D$6</f>
        <v>0</v>
      </c>
      <c r="J36" s="1112">
        <f>财务基础数据!O196*目录!$D$6</f>
        <v>0</v>
      </c>
      <c r="K36" s="1112">
        <f>财务基础数据!P196*目录!$D$6</f>
        <v>0</v>
      </c>
      <c r="L36" s="1112">
        <f>财务基础数据!Q196*目录!$D$6</f>
        <v>0</v>
      </c>
      <c r="M36" s="1112">
        <f>财务基础数据!R196*目录!$D$6</f>
        <v>0</v>
      </c>
      <c r="N36" s="1112">
        <f>财务基础数据!S196*目录!$D$6</f>
        <v>0</v>
      </c>
      <c r="O36" s="1112">
        <f>财务基础数据!T196*目录!$D$6</f>
        <v>0</v>
      </c>
      <c r="P36" s="1112">
        <f>财务基础数据!U196*目录!$D$6</f>
        <v>0</v>
      </c>
      <c r="Q36" s="1112">
        <f>财务基础数据!V196*目录!$D$6</f>
        <v>0</v>
      </c>
      <c r="R36" s="1112">
        <f>财务基础数据!W196*目录!$D$6</f>
        <v>0</v>
      </c>
      <c r="S36" s="1112">
        <f>财务基础数据!X196*目录!$D$6</f>
        <v>0</v>
      </c>
      <c r="T36" s="1112">
        <f>财务基础数据!Y196*目录!$D$6</f>
        <v>0</v>
      </c>
      <c r="U36" s="1112">
        <f>财务基础数据!Z196*目录!$D$6</f>
        <v>0</v>
      </c>
      <c r="V36" s="1112">
        <f>财务基础数据!AA196*目录!$D$6</f>
        <v>0</v>
      </c>
      <c r="W36" s="1112">
        <f>财务基础数据!AB196*目录!$D$6</f>
        <v>0</v>
      </c>
      <c r="X36" s="1112">
        <f>财务基础数据!AC196*目录!$D$6</f>
        <v>0</v>
      </c>
      <c r="Y36" s="1112">
        <f>财务基础数据!AD196*目录!$D$6</f>
        <v>0</v>
      </c>
      <c r="Z36" s="1112">
        <f>财务基础数据!AE196*目录!$D$6</f>
        <v>0</v>
      </c>
      <c r="AA36" s="1112">
        <f>财务基础数据!AF196*目录!$D$6</f>
        <v>0</v>
      </c>
      <c r="AB36" s="1112">
        <f>财务基础数据!AG196*目录!$D$6</f>
        <v>0</v>
      </c>
      <c r="AC36" s="1112">
        <f>财务基础数据!AH196*目录!$D$6</f>
        <v>0</v>
      </c>
      <c r="AD36" s="1112">
        <f>财务基础数据!AI196*目录!$D$6</f>
        <v>0</v>
      </c>
      <c r="AE36" s="1112">
        <f>财务基础数据!AJ196*目录!$D$6</f>
        <v>0</v>
      </c>
      <c r="AF36" s="1112">
        <f>财务基础数据!AK196*目录!$D$6</f>
        <v>0</v>
      </c>
      <c r="AG36" s="1112">
        <f>财务基础数据!AL196*目录!$D$6</f>
        <v>0</v>
      </c>
      <c r="AH36" s="1112">
        <f>财务基础数据!AM196*目录!$D$6</f>
        <v>0</v>
      </c>
      <c r="AI36" s="1112">
        <f>财务基础数据!AN196*目录!$D$6</f>
        <v>0</v>
      </c>
      <c r="AJ36" s="1112">
        <f>财务基础数据!AO196*目录!$D$6</f>
        <v>0</v>
      </c>
      <c r="AK36" s="1113">
        <f>IF(ISERROR(AK7+AK9+AK16+AK23),"—",AK7+AK9+AK16+AK23)</f>
        <v>0</v>
      </c>
      <c r="AL36" s="1112">
        <f t="shared" ref="AL36:AT36" si="10">IF(ISERROR(AL7+AL9+AL16+AL23),"—",AL7+AL9+AL16+AL23)</f>
        <v>0</v>
      </c>
      <c r="AM36" s="1112">
        <f t="shared" si="10"/>
        <v>0</v>
      </c>
      <c r="AN36" s="1112">
        <f t="shared" si="10"/>
        <v>0</v>
      </c>
      <c r="AO36" s="1112">
        <f t="shared" si="10"/>
        <v>0</v>
      </c>
      <c r="AP36" s="1112">
        <f t="shared" si="10"/>
        <v>0</v>
      </c>
      <c r="AQ36" s="1112">
        <f t="shared" si="10"/>
        <v>0</v>
      </c>
      <c r="AR36" s="1112">
        <f t="shared" si="10"/>
        <v>0</v>
      </c>
      <c r="AS36" s="1112">
        <f t="shared" si="10"/>
        <v>0</v>
      </c>
      <c r="AT36" s="1112">
        <f t="shared" si="10"/>
        <v>0</v>
      </c>
      <c r="AU36" s="388"/>
      <c r="AV36" s="388"/>
      <c r="AW36" s="388"/>
    </row>
    <row r="37" spans="2:50" s="161" customFormat="1" ht="15" customHeight="1">
      <c r="B37" s="162"/>
      <c r="C37" s="162"/>
      <c r="D37" s="380"/>
      <c r="E37" s="1114"/>
      <c r="F37" s="1114"/>
      <c r="G37" s="1114"/>
      <c r="H37" s="1114"/>
      <c r="I37" s="1114"/>
      <c r="J37" s="1114"/>
      <c r="K37" s="1114"/>
      <c r="L37" s="1114"/>
      <c r="M37" s="1114"/>
      <c r="N37" s="1114"/>
      <c r="O37" s="1114"/>
      <c r="P37" s="1114"/>
      <c r="Q37" s="1114"/>
      <c r="R37" s="1114"/>
      <c r="S37" s="1114"/>
      <c r="T37" s="1114"/>
      <c r="U37" s="1114"/>
      <c r="V37" s="1114"/>
      <c r="W37" s="1114"/>
      <c r="X37" s="1114"/>
      <c r="Y37" s="1114"/>
      <c r="Z37" s="1114"/>
      <c r="AA37" s="1114"/>
      <c r="AB37" s="1114"/>
      <c r="AC37" s="1114"/>
      <c r="AD37" s="1114"/>
      <c r="AE37" s="1114"/>
      <c r="AF37" s="1114"/>
      <c r="AG37" s="1114"/>
      <c r="AH37" s="1114"/>
      <c r="AI37" s="1114"/>
      <c r="AJ37" s="1114"/>
      <c r="AK37" s="1096"/>
      <c r="AL37" s="1114"/>
      <c r="AM37" s="1114"/>
      <c r="AN37" s="1115"/>
      <c r="AO37" s="1114"/>
      <c r="AP37" s="1114"/>
      <c r="AQ37" s="1114"/>
      <c r="AR37" s="1114"/>
      <c r="AS37" s="1114"/>
      <c r="AT37" s="1114"/>
      <c r="AU37" s="389"/>
      <c r="AV37" s="389"/>
      <c r="AW37" s="389"/>
    </row>
    <row r="38" spans="2:50" ht="15" customHeight="1">
      <c r="B38" s="373" t="s">
        <v>500</v>
      </c>
      <c r="C38" s="97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573"/>
      <c r="S38" s="573"/>
      <c r="T38" s="573"/>
      <c r="U38" s="573"/>
      <c r="V38" s="573"/>
      <c r="W38" s="573"/>
      <c r="X38" s="573"/>
      <c r="Y38" s="573"/>
      <c r="Z38" s="573"/>
      <c r="AA38" s="573"/>
      <c r="AB38" s="573"/>
      <c r="AC38" s="573"/>
      <c r="AD38" s="573"/>
      <c r="AE38" s="573"/>
      <c r="AF38" s="573"/>
      <c r="AG38" s="573"/>
      <c r="AH38" s="573"/>
      <c r="AI38" s="573"/>
      <c r="AJ38" s="573"/>
      <c r="AK38" s="637"/>
      <c r="AL38" s="573"/>
      <c r="AM38" s="573"/>
      <c r="AN38" s="495"/>
      <c r="AO38" s="573"/>
      <c r="AP38" s="573"/>
      <c r="AQ38" s="573"/>
      <c r="AR38" s="573"/>
      <c r="AS38" s="573"/>
      <c r="AT38" s="573"/>
      <c r="AU38" s="388"/>
      <c r="AV38" s="388"/>
      <c r="AW38" s="388"/>
    </row>
    <row r="39" spans="2:50" ht="15" customHeight="1">
      <c r="B39" s="380"/>
      <c r="C39" s="97" t="s">
        <v>374</v>
      </c>
      <c r="E39" s="495">
        <f>(财务基础数据!J198+财务基础数据!J203-财务基础数据!J207-财务基础数据!J208-财务基础数据!J209-财务基础数据!J210)*目录!$D$6</f>
        <v>0</v>
      </c>
      <c r="F39" s="495">
        <f>(财务基础数据!K198+财务基础数据!K203-财务基础数据!K207-财务基础数据!K208-财务基础数据!K209-财务基础数据!K210)*目录!$D$6</f>
        <v>0</v>
      </c>
      <c r="G39" s="495">
        <f>(财务基础数据!L198+财务基础数据!L203-财务基础数据!L207-财务基础数据!L208-财务基础数据!L209-财务基础数据!L210)*目录!$D$6</f>
        <v>0</v>
      </c>
      <c r="H39" s="495">
        <f>(财务基础数据!M198+财务基础数据!M203-财务基础数据!M207-财务基础数据!M208-财务基础数据!M209-财务基础数据!M210)*目录!$D$6</f>
        <v>0</v>
      </c>
      <c r="I39" s="495">
        <f>(财务基础数据!N198+财务基础数据!N203-财务基础数据!N207-财务基础数据!N208-财务基础数据!N209-财务基础数据!N210)*目录!$D$6</f>
        <v>0</v>
      </c>
      <c r="J39" s="495">
        <f>(财务基础数据!O198+财务基础数据!O203-财务基础数据!O207-财务基础数据!O208-财务基础数据!O209-财务基础数据!O210)*目录!$D$6</f>
        <v>0</v>
      </c>
      <c r="K39" s="495">
        <f>(财务基础数据!P198+财务基础数据!P203-财务基础数据!P207-财务基础数据!P208-财务基础数据!P209-财务基础数据!P210)*目录!$D$6</f>
        <v>0</v>
      </c>
      <c r="L39" s="495">
        <f>(财务基础数据!Q198+财务基础数据!Q203-财务基础数据!Q207-财务基础数据!Q208-财务基础数据!Q209-财务基础数据!Q210)*目录!$D$6</f>
        <v>0</v>
      </c>
      <c r="M39" s="495">
        <f>(财务基础数据!R198+财务基础数据!R203-财务基础数据!R207-财务基础数据!R208-财务基础数据!R209-财务基础数据!R210)*目录!$D$6</f>
        <v>0</v>
      </c>
      <c r="N39" s="495">
        <f>(财务基础数据!S198+财务基础数据!S203-财务基础数据!S207-财务基础数据!S208-财务基础数据!S209-财务基础数据!S210)*目录!$D$6</f>
        <v>0</v>
      </c>
      <c r="O39" s="495">
        <f>(财务基础数据!T198+财务基础数据!T203-财务基础数据!T207-财务基础数据!T208-财务基础数据!T209-财务基础数据!T210)*目录!$D$6</f>
        <v>0</v>
      </c>
      <c r="P39" s="495">
        <f>(财务基础数据!U198+财务基础数据!U203-财务基础数据!U207-财务基础数据!U208-财务基础数据!U209-财务基础数据!U210)*目录!$D$6</f>
        <v>0</v>
      </c>
      <c r="Q39" s="495">
        <f>(财务基础数据!V198+财务基础数据!V203-财务基础数据!V207-财务基础数据!V208-财务基础数据!V209-财务基础数据!V210)*目录!$D$6</f>
        <v>0</v>
      </c>
      <c r="R39" s="495">
        <f>(财务基础数据!W198+财务基础数据!W203-财务基础数据!W207-财务基础数据!W208-财务基础数据!W209-财务基础数据!W210)*目录!$D$6</f>
        <v>0</v>
      </c>
      <c r="S39" s="495">
        <f>(财务基础数据!X198+财务基础数据!X203-财务基础数据!X207-财务基础数据!X208-财务基础数据!X209-财务基础数据!X210)*目录!$D$6</f>
        <v>0</v>
      </c>
      <c r="T39" s="495">
        <f>(财务基础数据!Y198+财务基础数据!Y203-财务基础数据!Y207-财务基础数据!Y208-财务基础数据!Y209-财务基础数据!Y210)*目录!$D$6</f>
        <v>0</v>
      </c>
      <c r="U39" s="495">
        <f>(财务基础数据!Z198+财务基础数据!Z203-财务基础数据!Z207-财务基础数据!Z208-财务基础数据!Z209-财务基础数据!Z210)*目录!$D$6</f>
        <v>0</v>
      </c>
      <c r="V39" s="495">
        <f>(财务基础数据!AA198+财务基础数据!AA203-财务基础数据!AA207-财务基础数据!AA208-财务基础数据!AA209-财务基础数据!AA210)*目录!$D$6</f>
        <v>0</v>
      </c>
      <c r="W39" s="495">
        <f>(财务基础数据!AB198+财务基础数据!AB203-财务基础数据!AB207-财务基础数据!AB208-财务基础数据!AB209-财务基础数据!AB210)*目录!$D$6</f>
        <v>0</v>
      </c>
      <c r="X39" s="495">
        <f>(财务基础数据!AC198+财务基础数据!AC203-财务基础数据!AC207-财务基础数据!AC208-财务基础数据!AC209-财务基础数据!AC210)*目录!$D$6</f>
        <v>0</v>
      </c>
      <c r="Y39" s="495">
        <f>(财务基础数据!AD198+财务基础数据!AD203-财务基础数据!AD207-财务基础数据!AD208-财务基础数据!AD209-财务基础数据!AD210)*目录!$D$6</f>
        <v>0</v>
      </c>
      <c r="Z39" s="495">
        <f>(财务基础数据!AE198+财务基础数据!AE203-财务基础数据!AE207-财务基础数据!AE208-财务基础数据!AE209-财务基础数据!AE210)*目录!$D$6</f>
        <v>0</v>
      </c>
      <c r="AA39" s="495">
        <f>(财务基础数据!AF198+财务基础数据!AF203-财务基础数据!AF207-财务基础数据!AF208-财务基础数据!AF209-财务基础数据!AF210)*目录!$D$6</f>
        <v>0</v>
      </c>
      <c r="AB39" s="495">
        <f>(财务基础数据!AG198+财务基础数据!AG203-财务基础数据!AG207-财务基础数据!AG208-财务基础数据!AG209-财务基础数据!AG210)*目录!$D$6</f>
        <v>0</v>
      </c>
      <c r="AC39" s="495">
        <f>(财务基础数据!AH198+财务基础数据!AH203-财务基础数据!AH207-财务基础数据!AH208-财务基础数据!AH209-财务基础数据!AH210)*目录!$D$6</f>
        <v>0</v>
      </c>
      <c r="AD39" s="495">
        <f>(财务基础数据!AI198+财务基础数据!AI203-财务基础数据!AI207-财务基础数据!AI208-财务基础数据!AI209-财务基础数据!AI210)*目录!$D$6</f>
        <v>0</v>
      </c>
      <c r="AE39" s="495">
        <f>(财务基础数据!AJ198+财务基础数据!AJ203-财务基础数据!AJ207-财务基础数据!AJ208-财务基础数据!AJ209-财务基础数据!AJ210)*目录!$D$6</f>
        <v>0</v>
      </c>
      <c r="AF39" s="495">
        <f>(财务基础数据!AK198+财务基础数据!AK203-财务基础数据!AK207-财务基础数据!AK208-财务基础数据!AK209-财务基础数据!AK210)*目录!$D$6</f>
        <v>0</v>
      </c>
      <c r="AG39" s="495">
        <f>(财务基础数据!AL198+财务基础数据!AL203-财务基础数据!AL207-财务基础数据!AL208-财务基础数据!AL209-财务基础数据!AL210)*目录!$D$6</f>
        <v>0</v>
      </c>
      <c r="AH39" s="495">
        <f>(财务基础数据!AM198+财务基础数据!AM203-财务基础数据!AM207-财务基础数据!AM208-财务基础数据!AM209-财务基础数据!AM210)*目录!$D$6</f>
        <v>0</v>
      </c>
      <c r="AI39" s="495">
        <f>(财务基础数据!AN198+财务基础数据!AN203-财务基础数据!AN207-财务基础数据!AN208-财务基础数据!AN209-财务基础数据!AN210)*目录!$D$6</f>
        <v>0</v>
      </c>
      <c r="AJ39" s="495">
        <f>(财务基础数据!AO198+财务基础数据!AO203-财务基础数据!AO207-财务基础数据!AO208-财务基础数据!AO209-财务基础数据!AO210)*目录!$D$6</f>
        <v>0</v>
      </c>
      <c r="AK39" s="9">
        <f>SUM(AK40:AK46)</f>
        <v>0</v>
      </c>
      <c r="AL39" s="9">
        <f t="shared" ref="AL39:AT39" si="11">SUM(AL40:AL46)</f>
        <v>0</v>
      </c>
      <c r="AM39" s="9">
        <f t="shared" si="11"/>
        <v>0</v>
      </c>
      <c r="AN39" s="9">
        <f t="shared" si="11"/>
        <v>0</v>
      </c>
      <c r="AO39" s="9">
        <f t="shared" si="11"/>
        <v>0</v>
      </c>
      <c r="AP39" s="9">
        <f t="shared" si="11"/>
        <v>0</v>
      </c>
      <c r="AQ39" s="9">
        <f t="shared" si="11"/>
        <v>0</v>
      </c>
      <c r="AR39" s="9">
        <f t="shared" si="11"/>
        <v>0</v>
      </c>
      <c r="AS39" s="9">
        <f t="shared" si="11"/>
        <v>0</v>
      </c>
      <c r="AT39" s="9">
        <f t="shared" si="11"/>
        <v>0</v>
      </c>
      <c r="AU39" s="388"/>
      <c r="AV39" s="388"/>
      <c r="AW39" s="388"/>
    </row>
    <row r="40" spans="2:50" ht="15" customHeight="1">
      <c r="C40" s="150" t="s">
        <v>501</v>
      </c>
      <c r="D40" s="38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>
        <f>IF(ISERROR(-(资产预测!L72+资产预测!L76+资产预测!L112)),"—",-(资产预测!L72+资产预测!L76+资产预测!L112))</f>
        <v>0</v>
      </c>
      <c r="AL40" s="9">
        <f>IF(ISERROR(-(资产预测!M72+资产预测!M76+资产预测!M112)),"—",-(资产预测!M72+资产预测!M76+资产预测!M112))</f>
        <v>0</v>
      </c>
      <c r="AM40" s="9">
        <f>IF(ISERROR(-(资产预测!N72+资产预测!N76+资产预测!N112)),"—",-(资产预测!N72+资产预测!N76+资产预测!N112))</f>
        <v>0</v>
      </c>
      <c r="AN40" s="9">
        <f>IF(ISERROR(-(资产预测!O72+资产预测!O76+资产预测!O112)),"—",-(资产预测!O72+资产预测!O76+资产预测!O112))</f>
        <v>0</v>
      </c>
      <c r="AO40" s="9">
        <f>IF(ISERROR(-(资产预测!P72+资产预测!P76+资产预测!P112)),"—",-(资产预测!P72+资产预测!P76+资产预测!P112))</f>
        <v>0</v>
      </c>
      <c r="AP40" s="9">
        <f>IF(ISERROR(-(资产预测!Q72+资产预测!Q76+资产预测!Q112)),"—",-(资产预测!Q72+资产预测!Q76+资产预测!Q112))</f>
        <v>0</v>
      </c>
      <c r="AQ40" s="9">
        <f>IF(ISERROR(-(资产预测!R72+资产预测!R76+资产预测!R112)),"—",-(资产预测!R72+资产预测!R76+资产预测!R112))</f>
        <v>0</v>
      </c>
      <c r="AR40" s="9">
        <f>IF(ISERROR(-(资产预测!S72+资产预测!S76+资产预测!S112)),"—",-(资产预测!S72+资产预测!S76+资产预测!S112))</f>
        <v>0</v>
      </c>
      <c r="AS40" s="9">
        <f>IF(ISERROR(-(资产预测!T72+资产预测!T76+资产预测!T112)),"—",-(资产预测!T72+资产预测!T76+资产预测!T112))</f>
        <v>0</v>
      </c>
      <c r="AT40" s="9">
        <f>IF(ISERROR(-(资产预测!U72+资产预测!U76+资产预测!U112)),"—",-(资产预测!U72+资产预测!U76+资产预测!U112))</f>
        <v>0</v>
      </c>
      <c r="AU40" s="9"/>
      <c r="AV40" s="388"/>
      <c r="AW40" s="388"/>
    </row>
    <row r="41" spans="2:50" ht="15" customHeight="1">
      <c r="C41" s="75" t="s">
        <v>502</v>
      </c>
      <c r="D41" s="15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>
        <f>IF(ISERROR(资产负债表!AG25-资产负债表!AK25+投资与减值!L182),"—",资产负债表!AG25-资产负债表!AK25+投资与减值!L182)</f>
        <v>0</v>
      </c>
      <c r="AL41" s="9">
        <f>IF(ISERROR(资产负债表!AK25-资产负债表!AL25+投资与减值!M182),"—",资产负债表!AK25-资产负债表!AL25+投资与减值!M182)</f>
        <v>0</v>
      </c>
      <c r="AM41" s="9">
        <f>IF(ISERROR(资产负债表!AL25-资产负债表!AM25+投资与减值!N182),"—",资产负债表!AL25-资产负债表!AM25+投资与减值!N182)</f>
        <v>0</v>
      </c>
      <c r="AN41" s="9">
        <f>IF(ISERROR(资产负债表!AM25-资产负债表!AN25+投资与减值!O182),"—",资产负债表!AM25-资产负债表!AN25+投资与减值!O182)</f>
        <v>0</v>
      </c>
      <c r="AO41" s="9">
        <f>IF(ISERROR(资产负债表!AN25-资产负债表!AO25+投资与减值!P182),"—",资产负债表!AN25-资产负债表!AO25+投资与减值!P182)</f>
        <v>0</v>
      </c>
      <c r="AP41" s="9">
        <f>IF(ISERROR(资产负债表!AO25-资产负债表!AP25+投资与减值!Q182),"—",资产负债表!AO25-资产负债表!AP25+投资与减值!Q182)</f>
        <v>0</v>
      </c>
      <c r="AQ41" s="9">
        <f>IF(ISERROR(资产负债表!AP25-资产负债表!AQ25+投资与减值!R182),"—",资产负债表!AP25-资产负债表!AQ25+投资与减值!R182)</f>
        <v>0</v>
      </c>
      <c r="AR41" s="9">
        <f>IF(ISERROR(资产负债表!AQ25-资产负债表!AR25+投资与减值!S182),"—",资产负债表!AQ25-资产负债表!AR25+投资与减值!S182)</f>
        <v>0</v>
      </c>
      <c r="AS41" s="9">
        <f>IF(ISERROR(资产负债表!AR25-资产负债表!AS25+投资与减值!T182),"—",资产负债表!AR25-资产负债表!AS25+投资与减值!T182)</f>
        <v>0</v>
      </c>
      <c r="AT41" s="9">
        <f>IF(ISERROR(资产负债表!AS25-资产负债表!AT25+投资与减值!U182),"—",资产负债表!AS25-资产负债表!AT25+投资与减值!U182)</f>
        <v>0</v>
      </c>
      <c r="AU41" s="9"/>
      <c r="AV41" s="388"/>
      <c r="AW41" s="388"/>
    </row>
    <row r="42" spans="2:50" ht="15" customHeight="1">
      <c r="C42" s="75" t="s">
        <v>503</v>
      </c>
      <c r="D42" s="381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>
        <f>IF(ISERROR(资产负债表!AG26-资产负债表!AK26+投资与减值!L180),"—",资产负债表!AG26-资产负债表!AK26+投资与减值!L180)</f>
        <v>0</v>
      </c>
      <c r="AL42" s="9">
        <f>IF(ISERROR(资产负债表!AK26-资产负债表!AL26+投资与减值!M180),"—",资产负债表!AK26-资产负债表!AL26+投资与减值!M180)</f>
        <v>0</v>
      </c>
      <c r="AM42" s="9">
        <f>IF(ISERROR(资产负债表!AL26-资产负债表!AM26+投资与减值!N180),"—",资产负债表!AL26-资产负债表!AM26+投资与减值!N180)</f>
        <v>0</v>
      </c>
      <c r="AN42" s="9">
        <f>IF(ISERROR(资产负债表!AM26-资产负债表!AN26+投资与减值!O180),"—",资产负债表!AM26-资产负债表!AN26+投资与减值!O180)</f>
        <v>0</v>
      </c>
      <c r="AO42" s="9">
        <f>IF(ISERROR(资产负债表!AN26-资产负债表!AO26+投资与减值!P180),"—",资产负债表!AN26-资产负债表!AO26+投资与减值!P180)</f>
        <v>0</v>
      </c>
      <c r="AP42" s="9">
        <f>IF(ISERROR(资产负债表!AO26-资产负债表!AP26+投资与减值!Q180),"—",资产负债表!AO26-资产负债表!AP26+投资与减值!Q180)</f>
        <v>0</v>
      </c>
      <c r="AQ42" s="9">
        <f>IF(ISERROR(资产负债表!AP26-资产负债表!AQ26+投资与减值!R180),"—",资产负债表!AP26-资产负债表!AQ26+投资与减值!R180)</f>
        <v>0</v>
      </c>
      <c r="AR42" s="9">
        <f>IF(ISERROR(资产负债表!AQ26-资产负债表!AR26+投资与减值!S180),"—",资产负债表!AQ26-资产负债表!AR26+投资与减值!S180)</f>
        <v>0</v>
      </c>
      <c r="AS42" s="9">
        <f>IF(ISERROR(资产负债表!AR26-资产负债表!AS26+投资与减值!T180),"—",资产负债表!AR26-资产负债表!AS26+投资与减值!T180)</f>
        <v>0</v>
      </c>
      <c r="AT42" s="9">
        <f>IF(ISERROR(资产负债表!AS26-资产负债表!AT26+投资与减值!U180),"—",资产负债表!AS26-资产负债表!AT26+投资与减值!U180)</f>
        <v>0</v>
      </c>
      <c r="AU42" s="391"/>
      <c r="AV42" s="388"/>
      <c r="AW42" s="388"/>
    </row>
    <row r="43" spans="2:50" ht="15" customHeight="1">
      <c r="C43" s="75" t="s">
        <v>504</v>
      </c>
      <c r="D43" s="38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>
        <f>IF(ISERROR(-投资与减值!L88),"—",-投资与减值!L88)</f>
        <v>0</v>
      </c>
      <c r="AL43" s="9">
        <f>IF(ISERROR(-投资与减值!M88),"—",-投资与减值!M88)</f>
        <v>0</v>
      </c>
      <c r="AM43" s="9">
        <f>IF(ISERROR(-投资与减值!N88),"—",-投资与减值!N88)</f>
        <v>0</v>
      </c>
      <c r="AN43" s="9">
        <f>IF(ISERROR(-投资与减值!O88),"—",-投资与减值!O88)</f>
        <v>0</v>
      </c>
      <c r="AO43" s="9">
        <f>IF(ISERROR(-投资与减值!P88),"—",-投资与减值!P88)</f>
        <v>0</v>
      </c>
      <c r="AP43" s="9">
        <f>IF(ISERROR(-投资与减值!Q88),"—",-投资与减值!Q88)</f>
        <v>0</v>
      </c>
      <c r="AQ43" s="9">
        <f>IF(ISERROR(-投资与减值!R88),"—",-投资与减值!R88)</f>
        <v>0</v>
      </c>
      <c r="AR43" s="9">
        <f>IF(ISERROR(-投资与减值!S88),"—",-投资与减值!S88)</f>
        <v>0</v>
      </c>
      <c r="AS43" s="9">
        <f>IF(ISERROR(-投资与减值!T88),"—",-投资与减值!T88)</f>
        <v>0</v>
      </c>
      <c r="AT43" s="9">
        <f>IF(ISERROR(-投资与减值!U88),"—",-投资与减值!U88)</f>
        <v>0</v>
      </c>
      <c r="AU43" s="391"/>
      <c r="AV43" s="388"/>
      <c r="AW43" s="388"/>
    </row>
    <row r="44" spans="2:50" s="30" customFormat="1" ht="15" customHeight="1">
      <c r="B44" s="381"/>
      <c r="C44" s="75" t="s">
        <v>505</v>
      </c>
      <c r="D44" s="15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>
        <f>IF(ISERROR(-投资与减值!L95-投资与减值!L98),"—",-投资与减值!L95-投资与减值!L98)</f>
        <v>0</v>
      </c>
      <c r="AL44" s="9">
        <f>IF(ISERROR(-投资与减值!M95-投资与减值!M98),"—",-投资与减值!M95-投资与减值!M98)</f>
        <v>0</v>
      </c>
      <c r="AM44" s="9">
        <f>IF(ISERROR(-投资与减值!N95-投资与减值!N98),"—",-投资与减值!N95-投资与减值!N98)</f>
        <v>0</v>
      </c>
      <c r="AN44" s="9">
        <f>IF(ISERROR(-投资与减值!O95-投资与减值!O98),"—",-投资与减值!O95-投资与减值!O98)</f>
        <v>0</v>
      </c>
      <c r="AO44" s="9">
        <f>IF(ISERROR(-投资与减值!P95-投资与减值!P98),"—",-投资与减值!P95-投资与减值!P98)</f>
        <v>0</v>
      </c>
      <c r="AP44" s="9">
        <f>IF(ISERROR(-投资与减值!Q95-投资与减值!Q98),"—",-投资与减值!Q95-投资与减值!Q98)</f>
        <v>0</v>
      </c>
      <c r="AQ44" s="9">
        <f>IF(ISERROR(-投资与减值!R95-投资与减值!R98),"—",-投资与减值!R95-投资与减值!R98)</f>
        <v>0</v>
      </c>
      <c r="AR44" s="9">
        <f>IF(ISERROR(-投资与减值!S95-投资与减值!S98),"—",-投资与减值!S95-投资与减值!S98)</f>
        <v>0</v>
      </c>
      <c r="AS44" s="9">
        <f>IF(ISERROR(-投资与减值!T95-投资与减值!T98),"—",-投资与减值!T95-投资与减值!T98)</f>
        <v>0</v>
      </c>
      <c r="AT44" s="9">
        <f>IF(ISERROR(-投资与减值!U95-投资与减值!U98),"—",-投资与减值!U95-投资与减值!U98)</f>
        <v>0</v>
      </c>
      <c r="AU44" s="1116"/>
      <c r="AV44" s="391"/>
      <c r="AW44" s="391"/>
    </row>
    <row r="45" spans="2:50" ht="15" customHeight="1">
      <c r="C45" s="75" t="s">
        <v>506</v>
      </c>
      <c r="D45" s="15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>
        <f>IF(ISERROR(资产负债表!AG24-资产负债表!AK24+投资与减值!L181),"—",资产负债表!AG24-资产负债表!AK24+投资与减值!L181)</f>
        <v>0</v>
      </c>
      <c r="AL45" s="9">
        <f>IF(ISERROR(资产负债表!AK24-资产负债表!AL24+投资与减值!M181),"—",资产负债表!AK24-资产负债表!AL24+投资与减值!M181)</f>
        <v>0</v>
      </c>
      <c r="AM45" s="9">
        <f>IF(ISERROR(资产负债表!AL24-资产负债表!AM24+投资与减值!N181),"—",资产负债表!AL24-资产负债表!AM24+投资与减值!N181)</f>
        <v>0</v>
      </c>
      <c r="AN45" s="9">
        <f>IF(ISERROR(资产负债表!AM24-资产负债表!AN24+投资与减值!O181),"—",资产负债表!AM24-资产负债表!AN24+投资与减值!O181)</f>
        <v>0</v>
      </c>
      <c r="AO45" s="9">
        <f>IF(ISERROR(资产负债表!AN24-资产负债表!AO24+投资与减值!P181),"—",资产负债表!AN24-资产负债表!AO24+投资与减值!P181)</f>
        <v>0</v>
      </c>
      <c r="AP45" s="9">
        <f>IF(ISERROR(资产负债表!AO24-资产负债表!AP24+投资与减值!Q181),"—",资产负债表!AO24-资产负债表!AP24+投资与减值!Q181)</f>
        <v>0</v>
      </c>
      <c r="AQ45" s="9">
        <f>IF(ISERROR(资产负债表!AP24-资产负债表!AQ24+投资与减值!R181),"—",资产负债表!AP24-资产负债表!AQ24+投资与减值!R181)</f>
        <v>0</v>
      </c>
      <c r="AR45" s="9">
        <f>IF(ISERROR(资产负债表!AQ24-资产负债表!AR24+投资与减值!S181),"—",资产负债表!AQ24-资产负债表!AR24+投资与减值!S181)</f>
        <v>0</v>
      </c>
      <c r="AS45" s="9">
        <f>IF(ISERROR(资产负债表!AR24-资产负债表!AS24+投资与减值!T181),"—",资产负债表!AR24-资产负债表!AS24+投资与减值!T181)</f>
        <v>0</v>
      </c>
      <c r="AT45" s="9">
        <f>IF(ISERROR(资产负债表!AS24-资产负债表!AT24+投资与减值!U181),"—",资产负债表!AS24-资产负债表!AT24+投资与减值!U181)</f>
        <v>0</v>
      </c>
      <c r="AU45" s="9"/>
      <c r="AV45" s="388"/>
      <c r="AW45" s="388"/>
    </row>
    <row r="46" spans="2:50" ht="15" customHeight="1">
      <c r="C46" s="75" t="s">
        <v>507</v>
      </c>
      <c r="D46" s="15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>
        <f>IF(ISERROR(-资产预测!L109),"—",-资产预测!L109)</f>
        <v>0</v>
      </c>
      <c r="AL46" s="9">
        <f>IF(ISERROR(-资产预测!M109),"—",-资产预测!M109)</f>
        <v>0</v>
      </c>
      <c r="AM46" s="9">
        <f>IF(ISERROR(-资产预测!N109),"—",-资产预测!N109)</f>
        <v>0</v>
      </c>
      <c r="AN46" s="9">
        <f>IF(ISERROR(-资产预测!O109),"—",-资产预测!O109)</f>
        <v>0</v>
      </c>
      <c r="AO46" s="9">
        <f>IF(ISERROR(-资产预测!P109),"—",-资产预测!P109)</f>
        <v>0</v>
      </c>
      <c r="AP46" s="9">
        <f>IF(ISERROR(-资产预测!Q109),"—",-资产预测!Q109)</f>
        <v>0</v>
      </c>
      <c r="AQ46" s="9">
        <f>IF(ISERROR(-资产预测!R109),"—",-资产预测!R109)</f>
        <v>0</v>
      </c>
      <c r="AR46" s="9">
        <f>IF(ISERROR(-资产预测!S109),"—",-资产预测!S109)</f>
        <v>0</v>
      </c>
      <c r="AS46" s="9">
        <f>IF(ISERROR(-资产预测!T109),"—",-资产预测!T109)</f>
        <v>0</v>
      </c>
      <c r="AT46" s="9">
        <f>IF(ISERROR(-资产预测!U109),"—",-资产预测!U109)</f>
        <v>0</v>
      </c>
      <c r="AU46" s="9"/>
      <c r="AV46" s="388"/>
      <c r="AW46" s="388"/>
    </row>
    <row r="47" spans="2:50" ht="15" customHeight="1">
      <c r="C47" s="130" t="s">
        <v>508</v>
      </c>
      <c r="D47" s="150"/>
      <c r="E47" s="9">
        <f>(财务基础数据!J202-财务基础数据!J206)*目录!$D$6</f>
        <v>0</v>
      </c>
      <c r="F47" s="9">
        <f>(财务基础数据!K202-财务基础数据!K206)*目录!$D$6</f>
        <v>0</v>
      </c>
      <c r="G47" s="9">
        <f>(财务基础数据!L202-财务基础数据!L206)*目录!$D$6</f>
        <v>0</v>
      </c>
      <c r="H47" s="9">
        <f>(财务基础数据!M202-财务基础数据!M206)*目录!$D$6</f>
        <v>0</v>
      </c>
      <c r="I47" s="9">
        <f>(财务基础数据!N202-财务基础数据!N206)*目录!$D$6</f>
        <v>0</v>
      </c>
      <c r="J47" s="9">
        <f>(财务基础数据!O202-财务基础数据!O206)*目录!$D$6</f>
        <v>0</v>
      </c>
      <c r="K47" s="9">
        <f>(财务基础数据!P202-财务基础数据!P206)*目录!$D$6</f>
        <v>0</v>
      </c>
      <c r="L47" s="9">
        <f>(财务基础数据!Q202-财务基础数据!Q206)*目录!$D$6</f>
        <v>0</v>
      </c>
      <c r="M47" s="9">
        <f>(财务基础数据!R202-财务基础数据!R206)*目录!$D$6</f>
        <v>0</v>
      </c>
      <c r="N47" s="9">
        <f>(财务基础数据!S202-财务基础数据!S206)*目录!$D$6</f>
        <v>0</v>
      </c>
      <c r="O47" s="9">
        <f>(财务基础数据!T202-财务基础数据!T206)*目录!$D$6</f>
        <v>0</v>
      </c>
      <c r="P47" s="9">
        <f>(财务基础数据!U202-财务基础数据!U206)*目录!$D$6</f>
        <v>0</v>
      </c>
      <c r="Q47" s="9">
        <f>(财务基础数据!V202-财务基础数据!V206)*目录!$D$6</f>
        <v>0</v>
      </c>
      <c r="R47" s="9">
        <f>(财务基础数据!W202-财务基础数据!W206)*目录!$D$6</f>
        <v>0</v>
      </c>
      <c r="S47" s="9">
        <f>(财务基础数据!X202-财务基础数据!X206)*目录!$D$6</f>
        <v>0</v>
      </c>
      <c r="T47" s="9">
        <f>(财务基础数据!Y202-财务基础数据!Y206)*目录!$D$6</f>
        <v>0</v>
      </c>
      <c r="U47" s="9">
        <f>(财务基础数据!Z202-财务基础数据!Z206)*目录!$D$6</f>
        <v>0</v>
      </c>
      <c r="V47" s="9">
        <f>(财务基础数据!AA202-财务基础数据!AA206)*目录!$D$6</f>
        <v>0</v>
      </c>
      <c r="W47" s="9">
        <f>(财务基础数据!AB202-财务基础数据!AB206)*目录!$D$6</f>
        <v>0</v>
      </c>
      <c r="X47" s="9">
        <f>(财务基础数据!AC202-财务基础数据!AC206)*目录!$D$6</f>
        <v>0</v>
      </c>
      <c r="Y47" s="9">
        <f>(财务基础数据!AD202-财务基础数据!AD206)*目录!$D$6</f>
        <v>0</v>
      </c>
      <c r="Z47" s="9">
        <f>(财务基础数据!AE202-财务基础数据!AE206)*目录!$D$6</f>
        <v>0</v>
      </c>
      <c r="AA47" s="9">
        <f>(财务基础数据!AF202-财务基础数据!AF206)*目录!$D$6</f>
        <v>0</v>
      </c>
      <c r="AB47" s="9">
        <f>(财务基础数据!AG202-财务基础数据!AG206)*目录!$D$6</f>
        <v>0</v>
      </c>
      <c r="AC47" s="9">
        <f>(财务基础数据!AH202-财务基础数据!AH206)*目录!$D$6</f>
        <v>0</v>
      </c>
      <c r="AD47" s="9">
        <f>(财务基础数据!AI202-财务基础数据!AI206)*目录!$D$6</f>
        <v>0</v>
      </c>
      <c r="AE47" s="9">
        <f>(财务基础数据!AJ202-财务基础数据!AJ206)*目录!$D$6</f>
        <v>0</v>
      </c>
      <c r="AF47" s="9">
        <f>(财务基础数据!AK202-财务基础数据!AK206)*目录!$D$6</f>
        <v>0</v>
      </c>
      <c r="AG47" s="9">
        <f>(财务基础数据!AL202-财务基础数据!AL206)*目录!$D$6</f>
        <v>0</v>
      </c>
      <c r="AH47" s="9">
        <f>(财务基础数据!AM202-财务基础数据!AM206)*目录!$D$6</f>
        <v>0</v>
      </c>
      <c r="AI47" s="9">
        <f>(财务基础数据!AN202-财务基础数据!AN206)*目录!$D$6</f>
        <v>0</v>
      </c>
      <c r="AJ47" s="9">
        <f>(财务基础数据!AO202-财务基础数据!AO206)*目录!$D$6</f>
        <v>0</v>
      </c>
      <c r="AK47" s="9">
        <f>SUM(AK48:AK55)</f>
        <v>0</v>
      </c>
      <c r="AL47" s="9">
        <f t="shared" ref="AL47:AT47" si="12">SUM(AL48:AL55)</f>
        <v>0</v>
      </c>
      <c r="AM47" s="9">
        <f t="shared" si="12"/>
        <v>0</v>
      </c>
      <c r="AN47" s="9">
        <f t="shared" si="12"/>
        <v>0</v>
      </c>
      <c r="AO47" s="9">
        <f t="shared" si="12"/>
        <v>0</v>
      </c>
      <c r="AP47" s="9">
        <f t="shared" si="12"/>
        <v>0</v>
      </c>
      <c r="AQ47" s="9">
        <f t="shared" si="12"/>
        <v>0</v>
      </c>
      <c r="AR47" s="9">
        <f t="shared" si="12"/>
        <v>0</v>
      </c>
      <c r="AS47" s="9">
        <f t="shared" si="12"/>
        <v>0</v>
      </c>
      <c r="AT47" s="9">
        <f t="shared" si="12"/>
        <v>0</v>
      </c>
      <c r="AU47" s="9"/>
      <c r="AV47" s="379"/>
      <c r="AW47" s="379"/>
      <c r="AX47" s="379"/>
    </row>
    <row r="48" spans="2:50" ht="15" customHeight="1">
      <c r="C48" s="150" t="s">
        <v>509</v>
      </c>
      <c r="D48" s="15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>
        <f>IF(ISERROR(-投资与减值!L11),"—",-投资与减值!L11)</f>
        <v>0</v>
      </c>
      <c r="AL48" s="9">
        <f>IF(ISERROR(-投资与减值!M11),"—",-投资与减值!M11)</f>
        <v>0</v>
      </c>
      <c r="AM48" s="9">
        <f>IF(ISERROR(-投资与减值!N11),"—",-投资与减值!N11)</f>
        <v>0</v>
      </c>
      <c r="AN48" s="9">
        <f>IF(ISERROR(-投资与减值!O11),"—",-投资与减值!O11)</f>
        <v>0</v>
      </c>
      <c r="AO48" s="9">
        <f>IF(ISERROR(-投资与减值!P11),"—",-投资与减值!P11)</f>
        <v>0</v>
      </c>
      <c r="AP48" s="9">
        <f>IF(ISERROR(-投资与减值!Q11),"—",-投资与减值!Q11)</f>
        <v>0</v>
      </c>
      <c r="AQ48" s="9">
        <f>IF(ISERROR(-投资与减值!R11),"—",-投资与减值!R11)</f>
        <v>0</v>
      </c>
      <c r="AR48" s="9">
        <f>IF(ISERROR(-投资与减值!S11),"—",-投资与减值!S11)</f>
        <v>0</v>
      </c>
      <c r="AS48" s="9">
        <f>IF(ISERROR(-投资与减值!T11),"—",-投资与减值!T11)</f>
        <v>0</v>
      </c>
      <c r="AT48" s="9">
        <f>IF(ISERROR(-投资与减值!U11),"—",-投资与减值!U11)</f>
        <v>0</v>
      </c>
      <c r="AU48" s="391"/>
      <c r="AV48" s="388"/>
      <c r="AW48" s="388"/>
    </row>
    <row r="49" spans="2:49" ht="15" customHeight="1">
      <c r="C49" s="75" t="s">
        <v>325</v>
      </c>
      <c r="D49" s="97"/>
      <c r="E49" s="495"/>
      <c r="F49" s="495"/>
      <c r="G49" s="495"/>
      <c r="H49" s="495"/>
      <c r="I49" s="495"/>
      <c r="J49" s="495"/>
      <c r="K49" s="495"/>
      <c r="L49" s="495"/>
      <c r="M49" s="495"/>
      <c r="N49" s="495"/>
      <c r="O49" s="495"/>
      <c r="P49" s="495"/>
      <c r="Q49" s="495"/>
      <c r="R49" s="495"/>
      <c r="S49" s="495"/>
      <c r="T49" s="495"/>
      <c r="U49" s="495"/>
      <c r="V49" s="495"/>
      <c r="W49" s="495"/>
      <c r="X49" s="495"/>
      <c r="Y49" s="495"/>
      <c r="Z49" s="495"/>
      <c r="AA49" s="495"/>
      <c r="AB49" s="495"/>
      <c r="AC49" s="495"/>
      <c r="AD49" s="495"/>
      <c r="AE49" s="495"/>
      <c r="AF49" s="495"/>
      <c r="AG49" s="495"/>
      <c r="AH49" s="495"/>
      <c r="AI49" s="495"/>
      <c r="AJ49" s="495"/>
      <c r="AK49" s="9">
        <f>IF(ISERROR(-投资与减值!L43),"—",-投资与减值!L43)</f>
        <v>0</v>
      </c>
      <c r="AL49" s="9">
        <f>IF(ISERROR(-投资与减值!M43),"—",-投资与减值!M43)</f>
        <v>0</v>
      </c>
      <c r="AM49" s="9">
        <f>IF(ISERROR(-投资与减值!N43),"—",-投资与减值!N43)</f>
        <v>0</v>
      </c>
      <c r="AN49" s="9">
        <f>IF(ISERROR(-投资与减值!O43),"—",-投资与减值!O43)</f>
        <v>0</v>
      </c>
      <c r="AO49" s="9">
        <f>IF(ISERROR(-投资与减值!P43),"—",-投资与减值!P43)</f>
        <v>0</v>
      </c>
      <c r="AP49" s="9">
        <f>IF(ISERROR(-投资与减值!Q43),"—",-投资与减值!Q43)</f>
        <v>0</v>
      </c>
      <c r="AQ49" s="9">
        <f>IF(ISERROR(-投资与减值!R43),"—",-投资与减值!R43)</f>
        <v>0</v>
      </c>
      <c r="AR49" s="9">
        <f>IF(ISERROR(-投资与减值!S43),"—",-投资与减值!S43)</f>
        <v>0</v>
      </c>
      <c r="AS49" s="9">
        <f>IF(ISERROR(-投资与减值!T43),"—",-投资与减值!T43)</f>
        <v>0</v>
      </c>
      <c r="AT49" s="9">
        <f>IF(ISERROR(-投资与减值!U43),"—",-投资与减值!U43)</f>
        <v>0</v>
      </c>
      <c r="AU49" s="388"/>
      <c r="AV49" s="388"/>
      <c r="AW49" s="388"/>
    </row>
    <row r="50" spans="2:49" s="30" customFormat="1" ht="15" customHeight="1">
      <c r="B50" s="381"/>
      <c r="C50" s="75" t="s">
        <v>510</v>
      </c>
      <c r="D50" s="15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>
        <f>IF(ISERROR(-投资与减值!L138-投资与减值!L141-投资与减值!L148),"—",-投资与减值!L138-投资与减值!L141-投资与减值!L148)</f>
        <v>0</v>
      </c>
      <c r="AL50" s="9">
        <f>IF(ISERROR(-投资与减值!M138-投资与减值!M141-投资与减值!M148),"—",-投资与减值!M138-投资与减值!M141-投资与减值!M148)</f>
        <v>0</v>
      </c>
      <c r="AM50" s="9">
        <f>IF(ISERROR(-投资与减值!N138-投资与减值!N141-投资与减值!N148),"—",-投资与减值!N138-投资与减值!N141-投资与减值!N148)</f>
        <v>0</v>
      </c>
      <c r="AN50" s="9">
        <f>IF(ISERROR(-投资与减值!O138-投资与减值!O141-投资与减值!O148),"—",-投资与减值!O138-投资与减值!O141-投资与减值!O148)</f>
        <v>0</v>
      </c>
      <c r="AO50" s="9">
        <f>IF(ISERROR(-投资与减值!P138-投资与减值!P141-投资与减值!P148),"—",-投资与减值!P138-投资与减值!P141-投资与减值!P148)</f>
        <v>0</v>
      </c>
      <c r="AP50" s="9">
        <f>IF(ISERROR(-投资与减值!Q138-投资与减值!Q141-投资与减值!Q148),"—",-投资与减值!Q138-投资与减值!Q141-投资与减值!Q148)</f>
        <v>0</v>
      </c>
      <c r="AQ50" s="9">
        <f>IF(ISERROR(-投资与减值!R138-投资与减值!R141-投资与减值!R148),"—",-投资与减值!R138-投资与减值!R141-投资与减值!R148)</f>
        <v>0</v>
      </c>
      <c r="AR50" s="9">
        <f>IF(ISERROR(-投资与减值!S138-投资与减值!S141-投资与减值!S148),"—",-投资与减值!S138-投资与减值!S141-投资与减值!S148)</f>
        <v>0</v>
      </c>
      <c r="AS50" s="9">
        <f>IF(ISERROR(-投资与减值!T138-投资与减值!T141-投资与减值!T148),"—",-投资与减值!T138-投资与减值!T141-投资与减值!T148)</f>
        <v>0</v>
      </c>
      <c r="AT50" s="9">
        <f>IF(ISERROR(-投资与减值!U138-投资与减值!U141-投资与减值!U148),"—",-投资与减值!U138-投资与减值!U141-投资与减值!U148)</f>
        <v>0</v>
      </c>
      <c r="AU50" s="1116"/>
      <c r="AV50" s="391"/>
      <c r="AW50" s="391"/>
    </row>
    <row r="51" spans="2:49" ht="15" customHeight="1">
      <c r="C51" s="75" t="s">
        <v>511</v>
      </c>
      <c r="D51" s="97"/>
      <c r="E51" s="495"/>
      <c r="F51" s="495"/>
      <c r="G51" s="495"/>
      <c r="H51" s="495"/>
      <c r="I51" s="495"/>
      <c r="J51" s="495"/>
      <c r="K51" s="495"/>
      <c r="L51" s="495"/>
      <c r="M51" s="495"/>
      <c r="N51" s="495"/>
      <c r="O51" s="495"/>
      <c r="P51" s="495"/>
      <c r="Q51" s="495"/>
      <c r="R51" s="495"/>
      <c r="S51" s="495"/>
      <c r="T51" s="495"/>
      <c r="U51" s="495"/>
      <c r="V51" s="495"/>
      <c r="W51" s="495"/>
      <c r="X51" s="495"/>
      <c r="Y51" s="495"/>
      <c r="Z51" s="495"/>
      <c r="AA51" s="495"/>
      <c r="AB51" s="495"/>
      <c r="AC51" s="495"/>
      <c r="AD51" s="495"/>
      <c r="AE51" s="495"/>
      <c r="AF51" s="495"/>
      <c r="AG51" s="495"/>
      <c r="AH51" s="495"/>
      <c r="AI51" s="495"/>
      <c r="AJ51" s="495"/>
      <c r="AK51" s="9">
        <f>IF(ISERROR(-投资与减值!L52),"—",-投资与减值!L52)</f>
        <v>0</v>
      </c>
      <c r="AL51" s="9">
        <f>IF(ISERROR(-投资与减值!M52),"—",-投资与减值!M52)</f>
        <v>0</v>
      </c>
      <c r="AM51" s="9">
        <f>IF(ISERROR(-投资与减值!N52),"—",-投资与减值!N52)</f>
        <v>0</v>
      </c>
      <c r="AN51" s="9">
        <f>IF(ISERROR(-投资与减值!O52),"—",-投资与减值!O52)</f>
        <v>0</v>
      </c>
      <c r="AO51" s="9">
        <f>IF(ISERROR(-投资与减值!P52),"—",-投资与减值!P52)</f>
        <v>0</v>
      </c>
      <c r="AP51" s="9">
        <f>IF(ISERROR(-投资与减值!Q52),"—",-投资与减值!Q52)</f>
        <v>0</v>
      </c>
      <c r="AQ51" s="9">
        <f>IF(ISERROR(-投资与减值!R52),"—",-投资与减值!R52)</f>
        <v>0</v>
      </c>
      <c r="AR51" s="9">
        <f>IF(ISERROR(-投资与减值!S52),"—",-投资与减值!S52)</f>
        <v>0</v>
      </c>
      <c r="AS51" s="9">
        <f>IF(ISERROR(-投资与减值!T52),"—",-投资与减值!T52)</f>
        <v>0</v>
      </c>
      <c r="AT51" s="9">
        <f>IF(ISERROR(-投资与减值!U52),"—",-投资与减值!U52)</f>
        <v>0</v>
      </c>
      <c r="AU51" s="388"/>
      <c r="AV51" s="388"/>
      <c r="AW51" s="388"/>
    </row>
    <row r="52" spans="2:49" ht="15" customHeight="1">
      <c r="C52" s="75" t="s">
        <v>404</v>
      </c>
      <c r="D52" s="97"/>
      <c r="E52" s="495"/>
      <c r="F52" s="495"/>
      <c r="G52" s="495"/>
      <c r="H52" s="495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5"/>
      <c r="W52" s="495"/>
      <c r="X52" s="495"/>
      <c r="Y52" s="495"/>
      <c r="Z52" s="495"/>
      <c r="AA52" s="495"/>
      <c r="AB52" s="495"/>
      <c r="AC52" s="495"/>
      <c r="AD52" s="495"/>
      <c r="AE52" s="495"/>
      <c r="AF52" s="495"/>
      <c r="AG52" s="495"/>
      <c r="AH52" s="495"/>
      <c r="AI52" s="495"/>
      <c r="AJ52" s="495"/>
      <c r="AK52" s="9">
        <f>IF(ISERROR(资产负债表!AG37-资产负债表!AK37),"—",资产负债表!AG37-资产负债表!AK37)</f>
        <v>0</v>
      </c>
      <c r="AL52" s="9">
        <f>IF(ISERROR(资产负债表!AK37-资产负债表!AL37),"—",资产负债表!AK37-资产负债表!AL37)</f>
        <v>0</v>
      </c>
      <c r="AM52" s="9">
        <f>IF(ISERROR(资产负债表!AL37-资产负债表!AM37),"—",资产负债表!AL37-资产负债表!AM37)</f>
        <v>0</v>
      </c>
      <c r="AN52" s="9">
        <f>IF(ISERROR(资产负债表!AM37-资产负债表!AN37),"—",资产负债表!AM37-资产负债表!AN37)</f>
        <v>0</v>
      </c>
      <c r="AO52" s="9">
        <f>IF(ISERROR(资产负债表!AN37-资产负债表!AO37),"—",资产负债表!AN37-资产负债表!AO37)</f>
        <v>0</v>
      </c>
      <c r="AP52" s="9">
        <f>IF(ISERROR(资产负债表!AO37-资产负债表!AP37),"—",资产负债表!AO37-资产负债表!AP37)</f>
        <v>0</v>
      </c>
      <c r="AQ52" s="9">
        <f>IF(ISERROR(资产负债表!AP37-资产负债表!AQ37),"—",资产负债表!AP37-资产负债表!AQ37)</f>
        <v>0</v>
      </c>
      <c r="AR52" s="9">
        <f>IF(ISERROR(资产负债表!AQ37-资产负债表!AR37),"—",资产负债表!AQ37-资产负债表!AR37)</f>
        <v>0</v>
      </c>
      <c r="AS52" s="9">
        <f>IF(ISERROR(资产负债表!AR37-资产负债表!AS37),"—",资产负债表!AR37-资产负债表!AS37)</f>
        <v>0</v>
      </c>
      <c r="AT52" s="9">
        <f>IF(ISERROR(资产负债表!AS37-资产负债表!AT37),"—",资产负债表!AS37-资产负债表!AT37)</f>
        <v>0</v>
      </c>
      <c r="AU52" s="388"/>
      <c r="AV52" s="388"/>
      <c r="AW52" s="388"/>
    </row>
    <row r="53" spans="2:49" ht="15" customHeight="1">
      <c r="C53" s="75" t="s">
        <v>403</v>
      </c>
      <c r="D53" s="97"/>
      <c r="E53" s="495"/>
      <c r="F53" s="495"/>
      <c r="G53" s="495"/>
      <c r="H53" s="495"/>
      <c r="I53" s="495"/>
      <c r="J53" s="495"/>
      <c r="K53" s="495"/>
      <c r="L53" s="495"/>
      <c r="M53" s="495"/>
      <c r="N53" s="495"/>
      <c r="O53" s="495"/>
      <c r="P53" s="495"/>
      <c r="Q53" s="495"/>
      <c r="R53" s="495"/>
      <c r="S53" s="495"/>
      <c r="T53" s="495"/>
      <c r="U53" s="495"/>
      <c r="V53" s="495"/>
      <c r="W53" s="495"/>
      <c r="X53" s="495"/>
      <c r="Y53" s="495"/>
      <c r="Z53" s="495"/>
      <c r="AA53" s="495"/>
      <c r="AB53" s="495"/>
      <c r="AC53" s="495"/>
      <c r="AD53" s="495"/>
      <c r="AE53" s="495"/>
      <c r="AF53" s="495"/>
      <c r="AG53" s="495"/>
      <c r="AH53" s="495"/>
      <c r="AI53" s="495"/>
      <c r="AJ53" s="495"/>
      <c r="AK53" s="9">
        <f>IF(ISERROR(-投资与减值!L107),"—",-投资与减值!L107)</f>
        <v>0</v>
      </c>
      <c r="AL53" s="9">
        <f>IF(ISERROR(-投资与减值!M107),"—",-投资与减值!M107)</f>
        <v>0</v>
      </c>
      <c r="AM53" s="9">
        <f>IF(ISERROR(-投资与减值!N107),"—",-投资与减值!N107)</f>
        <v>0</v>
      </c>
      <c r="AN53" s="9">
        <f>IF(ISERROR(-投资与减值!O107),"—",-投资与减值!O107)</f>
        <v>0</v>
      </c>
      <c r="AO53" s="9">
        <f>IF(ISERROR(-投资与减值!P107),"—",-投资与减值!P107)</f>
        <v>0</v>
      </c>
      <c r="AP53" s="9">
        <f>IF(ISERROR(-投资与减值!Q107),"—",-投资与减值!Q107)</f>
        <v>0</v>
      </c>
      <c r="AQ53" s="9">
        <f>IF(ISERROR(-投资与减值!R107),"—",-投资与减值!R107)</f>
        <v>0</v>
      </c>
      <c r="AR53" s="9">
        <f>IF(ISERROR(-投资与减值!S107),"—",-投资与减值!S107)</f>
        <v>0</v>
      </c>
      <c r="AS53" s="9">
        <f>IF(ISERROR(-投资与减值!T107),"—",-投资与减值!T107)</f>
        <v>0</v>
      </c>
      <c r="AT53" s="9">
        <f>IF(ISERROR(-投资与减值!U107),"—",-投资与减值!U107)</f>
        <v>0</v>
      </c>
      <c r="AU53" s="388"/>
      <c r="AV53" s="388"/>
      <c r="AW53" s="388"/>
    </row>
    <row r="54" spans="2:49" ht="15" customHeight="1">
      <c r="C54" s="75" t="s">
        <v>327</v>
      </c>
      <c r="D54" s="97"/>
      <c r="E54" s="495"/>
      <c r="F54" s="495"/>
      <c r="G54" s="495"/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5"/>
      <c r="AB54" s="495"/>
      <c r="AC54" s="495"/>
      <c r="AD54" s="495"/>
      <c r="AE54" s="495"/>
      <c r="AF54" s="495"/>
      <c r="AG54" s="495"/>
      <c r="AH54" s="495"/>
      <c r="AI54" s="495"/>
      <c r="AJ54" s="495"/>
      <c r="AK54" s="9">
        <f>IF(ISERROR(-投资与减值!L81),"—",-投资与减值!L81)</f>
        <v>0</v>
      </c>
      <c r="AL54" s="9">
        <f>IF(ISERROR(-投资与减值!M81),"—",-投资与减值!M81)</f>
        <v>0</v>
      </c>
      <c r="AM54" s="9">
        <f>IF(ISERROR(-投资与减值!N81),"—",-投资与减值!N81)</f>
        <v>0</v>
      </c>
      <c r="AN54" s="9">
        <f>IF(ISERROR(-投资与减值!O81),"—",-投资与减值!O81)</f>
        <v>0</v>
      </c>
      <c r="AO54" s="9">
        <f>IF(ISERROR(-投资与减值!P81),"—",-投资与减值!P81)</f>
        <v>0</v>
      </c>
      <c r="AP54" s="9">
        <f>IF(ISERROR(-投资与减值!Q81),"—",-投资与减值!Q81)</f>
        <v>0</v>
      </c>
      <c r="AQ54" s="9">
        <f>IF(ISERROR(-投资与减值!R81),"—",-投资与减值!R81)</f>
        <v>0</v>
      </c>
      <c r="AR54" s="9">
        <f>IF(ISERROR(-投资与减值!S81),"—",-投资与减值!S81)</f>
        <v>0</v>
      </c>
      <c r="AS54" s="9">
        <f>IF(ISERROR(-投资与减值!T81),"—",-投资与减值!T81)</f>
        <v>0</v>
      </c>
      <c r="AT54" s="9">
        <f>IF(ISERROR(-投资与减值!U81),"—",-投资与减值!U81)</f>
        <v>0</v>
      </c>
      <c r="AU54" s="388"/>
      <c r="AV54" s="388"/>
      <c r="AW54" s="388"/>
    </row>
    <row r="55" spans="2:49" ht="15" customHeight="1">
      <c r="C55" s="384" t="s">
        <v>512</v>
      </c>
      <c r="D55" s="97"/>
      <c r="E55" s="495"/>
      <c r="F55" s="495"/>
      <c r="G55" s="495"/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5"/>
      <c r="AB55" s="495"/>
      <c r="AC55" s="495"/>
      <c r="AD55" s="495"/>
      <c r="AE55" s="495"/>
      <c r="AF55" s="495"/>
      <c r="AG55" s="495"/>
      <c r="AH55" s="495"/>
      <c r="AI55" s="495"/>
      <c r="AJ55" s="495"/>
      <c r="AK55" s="9">
        <f>IF(ISERROR(利润表!AK66+利润表!AK81-销售预测!L45),"—",利润表!AK66+利润表!AK81-销售预测!L45)</f>
        <v>0</v>
      </c>
      <c r="AL55" s="9">
        <f>IF(ISERROR(利润表!AL66+利润表!AL81-销售预测!M45),"—",利润表!AL66+利润表!AL81-销售预测!M45)</f>
        <v>0</v>
      </c>
      <c r="AM55" s="9">
        <f>IF(ISERROR(利润表!AM66+利润表!AM81-销售预测!N45),"—",利润表!AM66+利润表!AM81-销售预测!N45)</f>
        <v>0</v>
      </c>
      <c r="AN55" s="9">
        <f>IF(ISERROR(利润表!AN66+利润表!AN81-销售预测!O45),"—",利润表!AN66+利润表!AN81-销售预测!O45)</f>
        <v>0</v>
      </c>
      <c r="AO55" s="9">
        <f>IF(ISERROR(利润表!AO66+利润表!AO81-销售预测!P45),"—",利润表!AO66+利润表!AO81-销售预测!P45)</f>
        <v>0</v>
      </c>
      <c r="AP55" s="9">
        <f>IF(ISERROR(利润表!AP66+利润表!AP81-销售预测!Q45),"—",利润表!AP66+利润表!AP81-销售预测!Q45)</f>
        <v>0</v>
      </c>
      <c r="AQ55" s="9">
        <f>IF(ISERROR(利润表!AQ66+利润表!AQ81-销售预测!R45),"—",利润表!AQ66+利润表!AQ81-销售预测!R45)</f>
        <v>0</v>
      </c>
      <c r="AR55" s="9">
        <f>IF(ISERROR(利润表!AR66+利润表!AR81-销售预测!S45),"—",利润表!AR66+利润表!AR81-销售预测!S45)</f>
        <v>0</v>
      </c>
      <c r="AS55" s="9">
        <f>IF(ISERROR(利润表!AS66+利润表!AS81-销售预测!T45),"—",利润表!AS66+利润表!AS81-销售预测!T45)</f>
        <v>0</v>
      </c>
      <c r="AT55" s="9">
        <f>IF(ISERROR(利润表!AT66+利润表!AT81-销售预测!U45),"—",利润表!AT66+利润表!AT81-销售预测!U45)</f>
        <v>0</v>
      </c>
      <c r="AU55" s="388"/>
      <c r="AV55" s="388"/>
      <c r="AW55" s="388"/>
    </row>
    <row r="56" spans="2:49" ht="15" customHeight="1">
      <c r="C56" s="117" t="s">
        <v>513</v>
      </c>
      <c r="E56" s="495">
        <f>(财务基础数据!J199+财务基础数据!J200+财务基础数据!J201)*目录!$D$6</f>
        <v>0</v>
      </c>
      <c r="F56" s="495">
        <f>(财务基础数据!K199+财务基础数据!K200+财务基础数据!K201)*目录!$D$6</f>
        <v>0</v>
      </c>
      <c r="G56" s="495">
        <f>(财务基础数据!L199+财务基础数据!L200+财务基础数据!L201)*目录!$D$6</f>
        <v>0</v>
      </c>
      <c r="H56" s="495">
        <f>(财务基础数据!M199+财务基础数据!M200+财务基础数据!M201)*目录!$D$6</f>
        <v>0</v>
      </c>
      <c r="I56" s="495">
        <f>(财务基础数据!N199+财务基础数据!N200+财务基础数据!N201)*目录!$D$6</f>
        <v>0</v>
      </c>
      <c r="J56" s="495">
        <f>(财务基础数据!O199+财务基础数据!O200+财务基础数据!O201)*目录!$D$6</f>
        <v>0</v>
      </c>
      <c r="K56" s="495">
        <f>(财务基础数据!P199+财务基础数据!P200+财务基础数据!P201)*目录!$D$6</f>
        <v>0</v>
      </c>
      <c r="L56" s="495">
        <f>(财务基础数据!Q199+财务基础数据!Q200+财务基础数据!Q201)*目录!$D$6</f>
        <v>0</v>
      </c>
      <c r="M56" s="495">
        <f>(财务基础数据!R199+财务基础数据!R200+财务基础数据!R201)*目录!$D$6</f>
        <v>0</v>
      </c>
      <c r="N56" s="495">
        <f>(财务基础数据!S199+财务基础数据!S200+财务基础数据!S201)*目录!$D$6</f>
        <v>0</v>
      </c>
      <c r="O56" s="495">
        <f>(财务基础数据!T199+财务基础数据!T200+财务基础数据!T201)*目录!$D$6</f>
        <v>0</v>
      </c>
      <c r="P56" s="495">
        <f>(财务基础数据!U199+财务基础数据!U200+财务基础数据!U201)*目录!$D$6</f>
        <v>0</v>
      </c>
      <c r="Q56" s="495">
        <f>(财务基础数据!V199+财务基础数据!V200+财务基础数据!V201)*目录!$D$6</f>
        <v>0</v>
      </c>
      <c r="R56" s="495">
        <f>(财务基础数据!W199+财务基础数据!W200+财务基础数据!W201)*目录!$D$6</f>
        <v>0</v>
      </c>
      <c r="S56" s="495">
        <f>(财务基础数据!X199+财务基础数据!X200+财务基础数据!X201)*目录!$D$6</f>
        <v>0</v>
      </c>
      <c r="T56" s="495">
        <f>(财务基础数据!Y199+财务基础数据!Y200+财务基础数据!Y201)*目录!$D$6</f>
        <v>0</v>
      </c>
      <c r="U56" s="495">
        <f>(财务基础数据!Z199+财务基础数据!Z200+财务基础数据!Z201)*目录!$D$6</f>
        <v>0</v>
      </c>
      <c r="V56" s="495">
        <f>(财务基础数据!AA199+财务基础数据!AA200+财务基础数据!AA201)*目录!$D$6</f>
        <v>0</v>
      </c>
      <c r="W56" s="495">
        <f>(财务基础数据!AB199+财务基础数据!AB200+财务基础数据!AB201)*目录!$D$6</f>
        <v>0</v>
      </c>
      <c r="X56" s="495">
        <f>(财务基础数据!AC199+财务基础数据!AC200+财务基础数据!AC201)*目录!$D$6</f>
        <v>0</v>
      </c>
      <c r="Y56" s="495">
        <f>(财务基础数据!AD199+财务基础数据!AD200+财务基础数据!AD201)*目录!$D$6</f>
        <v>0</v>
      </c>
      <c r="Z56" s="495">
        <f>(财务基础数据!AE199+财务基础数据!AE200+财务基础数据!AE201)*目录!$D$6</f>
        <v>0</v>
      </c>
      <c r="AA56" s="495">
        <f>(财务基础数据!AF199+财务基础数据!AF200+财务基础数据!AF201)*目录!$D$6</f>
        <v>0</v>
      </c>
      <c r="AB56" s="495">
        <f>(财务基础数据!AG199+财务基础数据!AG200+财务基础数据!AG201)*目录!$D$6</f>
        <v>0</v>
      </c>
      <c r="AC56" s="495">
        <f>(财务基础数据!AH199+财务基础数据!AH200+财务基础数据!AH201)*目录!$D$6</f>
        <v>0</v>
      </c>
      <c r="AD56" s="495">
        <f>(财务基础数据!AI199+财务基础数据!AI200+财务基础数据!AI201)*目录!$D$6</f>
        <v>0</v>
      </c>
      <c r="AE56" s="495">
        <f>(财务基础数据!AJ199+财务基础数据!AJ200+财务基础数据!AJ201)*目录!$D$6</f>
        <v>0</v>
      </c>
      <c r="AF56" s="495">
        <f>(财务基础数据!AK199+财务基础数据!AK200+财务基础数据!AK201)*目录!$D$6</f>
        <v>0</v>
      </c>
      <c r="AG56" s="495">
        <f>(财务基础数据!AL199+财务基础数据!AL200+财务基础数据!AL201)*目录!$D$6</f>
        <v>0</v>
      </c>
      <c r="AH56" s="495">
        <f>(财务基础数据!AM199+财务基础数据!AM200+财务基础数据!AM201)*目录!$D$6</f>
        <v>0</v>
      </c>
      <c r="AI56" s="495">
        <f>(财务基础数据!AN199+财务基础数据!AN200+财务基础数据!AN201)*目录!$D$6</f>
        <v>0</v>
      </c>
      <c r="AJ56" s="495">
        <f>(财务基础数据!AO199+财务基础数据!AO200+财务基础数据!AO201)*目录!$D$6</f>
        <v>0</v>
      </c>
      <c r="AK56" s="9">
        <f>IF(ISERROR(利润表!AK51-投资与减值!L87),"—",利润表!AK51-投资与减值!L87)</f>
        <v>0</v>
      </c>
      <c r="AL56" s="9">
        <f>IF(ISERROR(利润表!AL51-投资与减值!M87),"—",利润表!AL51-投资与减值!M87)</f>
        <v>0</v>
      </c>
      <c r="AM56" s="9">
        <f>IF(ISERROR(利润表!AM51-投资与减值!N87),"—",利润表!AM51-投资与减值!N87)</f>
        <v>0</v>
      </c>
      <c r="AN56" s="9">
        <f>IF(ISERROR(利润表!AN51-投资与减值!O87),"—",利润表!AN51-投资与减值!O87)</f>
        <v>0</v>
      </c>
      <c r="AO56" s="9">
        <f>IF(ISERROR(利润表!AO51-投资与减值!P87),"—",利润表!AO51-投资与减值!P87)</f>
        <v>0</v>
      </c>
      <c r="AP56" s="9">
        <f>IF(ISERROR(利润表!AP51-投资与减值!Q87),"—",利润表!AP51-投资与减值!Q87)</f>
        <v>0</v>
      </c>
      <c r="AQ56" s="9">
        <f>IF(ISERROR(利润表!AQ51-投资与减值!R87),"—",利润表!AQ51-投资与减值!R87)</f>
        <v>0</v>
      </c>
      <c r="AR56" s="9">
        <f>IF(ISERROR(利润表!AR51-投资与减值!S87),"—",利润表!AR51-投资与减值!S87)</f>
        <v>0</v>
      </c>
      <c r="AS56" s="9">
        <f>IF(ISERROR(利润表!AS51-投资与减值!T87),"—",利润表!AS51-投资与减值!T87)</f>
        <v>0</v>
      </c>
      <c r="AT56" s="9">
        <f>IF(ISERROR(利润表!AT51-投资与减值!U87),"—",利润表!AT51-投资与减值!U87)</f>
        <v>0</v>
      </c>
      <c r="AU56" s="388"/>
      <c r="AV56" s="388"/>
      <c r="AW56" s="388"/>
    </row>
    <row r="57" spans="2:49" s="30" customFormat="1" ht="15" customHeight="1">
      <c r="B57" s="381"/>
      <c r="C57" s="150" t="s">
        <v>514</v>
      </c>
      <c r="D57" s="150"/>
      <c r="E57" s="9">
        <f>(财务基础数据!J204-财务基础数据!J211)*目录!$D$6</f>
        <v>0</v>
      </c>
      <c r="F57" s="9">
        <f>(财务基础数据!K204-财务基础数据!K211)*目录!$D$6</f>
        <v>0</v>
      </c>
      <c r="G57" s="9">
        <f>(财务基础数据!L204-财务基础数据!L211)*目录!$D$6</f>
        <v>0</v>
      </c>
      <c r="H57" s="9">
        <f>(财务基础数据!M204-财务基础数据!M211)*目录!$D$6</f>
        <v>0</v>
      </c>
      <c r="I57" s="9">
        <f>(财务基础数据!N204-财务基础数据!N211)*目录!$D$6</f>
        <v>0</v>
      </c>
      <c r="J57" s="9">
        <f>(财务基础数据!O204-财务基础数据!O211)*目录!$D$6</f>
        <v>0</v>
      </c>
      <c r="K57" s="9">
        <f>(财务基础数据!P204-财务基础数据!P211)*目录!$D$6</f>
        <v>0</v>
      </c>
      <c r="L57" s="9">
        <f>(财务基础数据!Q204-财务基础数据!Q211)*目录!$D$6</f>
        <v>0</v>
      </c>
      <c r="M57" s="9">
        <f>(财务基础数据!R204-财务基础数据!R211)*目录!$D$6</f>
        <v>0</v>
      </c>
      <c r="N57" s="9">
        <f>(财务基础数据!S204-财务基础数据!S211)*目录!$D$6</f>
        <v>0</v>
      </c>
      <c r="O57" s="9">
        <f>(财务基础数据!T204-财务基础数据!T211)*目录!$D$6</f>
        <v>0</v>
      </c>
      <c r="P57" s="9">
        <f>(财务基础数据!U204-财务基础数据!U211)*目录!$D$6</f>
        <v>0</v>
      </c>
      <c r="Q57" s="9">
        <f>(财务基础数据!V204-财务基础数据!V211)*目录!$D$6</f>
        <v>0</v>
      </c>
      <c r="R57" s="9">
        <f>(财务基础数据!W204-财务基础数据!W211)*目录!$D$6</f>
        <v>0</v>
      </c>
      <c r="S57" s="9">
        <f>(财务基础数据!X204-财务基础数据!X211)*目录!$D$6</f>
        <v>0</v>
      </c>
      <c r="T57" s="9">
        <f>(财务基础数据!Y204-财务基础数据!Y211)*目录!$D$6</f>
        <v>0</v>
      </c>
      <c r="U57" s="9">
        <f>(财务基础数据!Z204-财务基础数据!Z211)*目录!$D$6</f>
        <v>0</v>
      </c>
      <c r="V57" s="9">
        <f>(财务基础数据!AA204-财务基础数据!AA211)*目录!$D$6</f>
        <v>0</v>
      </c>
      <c r="W57" s="9">
        <f>(财务基础数据!AB204-财务基础数据!AB211)*目录!$D$6</f>
        <v>0</v>
      </c>
      <c r="X57" s="9">
        <f>(财务基础数据!AC204-财务基础数据!AC211)*目录!$D$6</f>
        <v>0</v>
      </c>
      <c r="Y57" s="9">
        <f>(财务基础数据!AD204-财务基础数据!AD211)*目录!$D$6</f>
        <v>0</v>
      </c>
      <c r="Z57" s="9">
        <f>(财务基础数据!AE204-财务基础数据!AE211)*目录!$D$6</f>
        <v>0</v>
      </c>
      <c r="AA57" s="9">
        <f>(财务基础数据!AF204-财务基础数据!AF211)*目录!$D$6</f>
        <v>0</v>
      </c>
      <c r="AB57" s="9">
        <f>(财务基础数据!AG204-财务基础数据!AG211)*目录!$D$6</f>
        <v>0</v>
      </c>
      <c r="AC57" s="9">
        <f>(财务基础数据!AH204-财务基础数据!AH211)*目录!$D$6</f>
        <v>0</v>
      </c>
      <c r="AD57" s="9">
        <f>(财务基础数据!AI204-财务基础数据!AI211)*目录!$D$6</f>
        <v>0</v>
      </c>
      <c r="AE57" s="9">
        <f>(财务基础数据!AJ204-财务基础数据!AJ211)*目录!$D$6</f>
        <v>0</v>
      </c>
      <c r="AF57" s="9">
        <f>(财务基础数据!AK204-财务基础数据!AK211)*目录!$D$6</f>
        <v>0</v>
      </c>
      <c r="AG57" s="9">
        <f>(财务基础数据!AL204-财务基础数据!AL211)*目录!$D$6</f>
        <v>0</v>
      </c>
      <c r="AH57" s="9">
        <f>(财务基础数据!AM204-财务基础数据!AM211)*目录!$D$6</f>
        <v>0</v>
      </c>
      <c r="AI57" s="9">
        <f>(财务基础数据!AN204-财务基础数据!AN211)*目录!$D$6</f>
        <v>0</v>
      </c>
      <c r="AJ57" s="9">
        <f>(财务基础数据!AO204-财务基础数据!AO211)*目录!$D$6</f>
        <v>0</v>
      </c>
      <c r="AK57" s="9">
        <f>IF(ISERROR(-资产预测!L116+资产负债表!AG41-资产负债表!AK41+资产负债表!AG19-资产负债表!AK19-资产预测!L81),"—",-资产预测!L116+资产负债表!AG41-资产负债表!AK41+资产负债表!AG19-资产负债表!AK19-资产预测!L81)</f>
        <v>0</v>
      </c>
      <c r="AL57" s="9">
        <f>IF(ISERROR(-资产预测!M116+资产负债表!AK41-资产负债表!AL41+资产负债表!AK19-资产负债表!AL19-资产预测!M81),"—",-资产预测!M116+资产负债表!AK41-资产负债表!AL41+资产负债表!AK19-资产负债表!AL19-资产预测!M81)</f>
        <v>0</v>
      </c>
      <c r="AM57" s="9">
        <f>IF(ISERROR(-资产预测!N116+资产负债表!AL41-资产负债表!AM41+资产负债表!AL19-资产负债表!AM19-资产预测!N81),"—",-资产预测!N116+资产负债表!AL41-资产负债表!AM41+资产负债表!AL19-资产负债表!AM19-资产预测!N81)</f>
        <v>0</v>
      </c>
      <c r="AN57" s="9">
        <f>IF(ISERROR(-资产预测!O116+资产负债表!AM41-资产负债表!AN41+资产负债表!AM19-资产负债表!AN19-资产预测!O81),"—",-资产预测!O116+资产负债表!AM41-资产负债表!AN41+资产负债表!AM19-资产负债表!AN19-资产预测!O81)</f>
        <v>0</v>
      </c>
      <c r="AO57" s="9">
        <f>IF(ISERROR(-资产预测!P116+资产负债表!AN41-资产负债表!AO41+资产负债表!AN19-资产负债表!AO19-资产预测!P81),"—",-资产预测!P116+资产负债表!AN41-资产负债表!AO41+资产负债表!AN19-资产负债表!AO19-资产预测!P81)</f>
        <v>0</v>
      </c>
      <c r="AP57" s="9">
        <f>IF(ISERROR(-资产预测!Q116+资产负债表!AO41-资产负债表!AP41+资产负债表!AO19-资产负债表!AP19-资产预测!Q81),"—",-资产预测!Q116+资产负债表!AO41-资产负债表!AP41+资产负债表!AO19-资产负债表!AP19-资产预测!Q81)</f>
        <v>0</v>
      </c>
      <c r="AQ57" s="9">
        <f>IF(ISERROR(-资产预测!R116+资产负债表!AP41-资产负债表!AQ41+资产负债表!AP19-资产负债表!AQ19-资产预测!R81),"—",-资产预测!R116+资产负债表!AP41-资产负债表!AQ41+资产负债表!AP19-资产负债表!AQ19-资产预测!R81)</f>
        <v>0</v>
      </c>
      <c r="AR57" s="9">
        <f>IF(ISERROR(-资产预测!S116+资产负债表!AQ41-资产负债表!AR41+资产负债表!AQ19-资产负债表!AR19-资产预测!S81),"—",-资产预测!S116+资产负债表!AQ41-资产负债表!AR41+资产负债表!AQ19-资产负债表!AR19-资产预测!S81)</f>
        <v>0</v>
      </c>
      <c r="AS57" s="9">
        <f>IF(ISERROR(-资产预测!T116+资产负债表!AR41-资产负债表!AS41+资产负债表!AR19-资产负债表!AS19-资产预测!T81),"—",-资产预测!T116+资产负债表!AR41-资产负债表!AS41+资产负债表!AR19-资产负债表!AS19-资产预测!T81)</f>
        <v>0</v>
      </c>
      <c r="AT57" s="9">
        <f>IF(ISERROR(-资产预测!U116+资产负债表!AS41-资产负债表!AT41+资产负债表!AS19-资产负债表!AT19-资产预测!U81),"—",-资产预测!U116+资产负债表!AS41-资产负债表!AT41+资产负债表!AS19-资产负债表!AT19-资产预测!U81)</f>
        <v>0</v>
      </c>
      <c r="AU57" s="9"/>
      <c r="AV57" s="391"/>
      <c r="AW57" s="391"/>
    </row>
    <row r="58" spans="2:49" ht="15" customHeight="1">
      <c r="B58" s="385" t="s">
        <v>515</v>
      </c>
      <c r="C58" s="386"/>
      <c r="D58" s="385"/>
      <c r="E58" s="1113">
        <f>(财务基础数据!J213)*目录!$D$6</f>
        <v>0</v>
      </c>
      <c r="F58" s="1113">
        <f>(财务基础数据!K213)*目录!$D$6</f>
        <v>0</v>
      </c>
      <c r="G58" s="1113">
        <f>(财务基础数据!L213)*目录!$D$6</f>
        <v>0</v>
      </c>
      <c r="H58" s="1113">
        <f>(财务基础数据!M213)*目录!$D$6</f>
        <v>0</v>
      </c>
      <c r="I58" s="1113">
        <f>(财务基础数据!N213)*目录!$D$6</f>
        <v>0</v>
      </c>
      <c r="J58" s="1113">
        <f>(财务基础数据!O213)*目录!$D$6</f>
        <v>0</v>
      </c>
      <c r="K58" s="1113">
        <f>(财务基础数据!P213)*目录!$D$6</f>
        <v>0</v>
      </c>
      <c r="L58" s="1113">
        <f>(财务基础数据!Q213)*目录!$D$6</f>
        <v>0</v>
      </c>
      <c r="M58" s="1113">
        <f>(财务基础数据!R213)*目录!$D$6</f>
        <v>0</v>
      </c>
      <c r="N58" s="1113">
        <f>(财务基础数据!S213)*目录!$D$6</f>
        <v>0</v>
      </c>
      <c r="O58" s="1113">
        <f>(财务基础数据!T213)*目录!$D$6</f>
        <v>0</v>
      </c>
      <c r="P58" s="1113">
        <f>(财务基础数据!U213)*目录!$D$6</f>
        <v>0</v>
      </c>
      <c r="Q58" s="1113">
        <f>(财务基础数据!V213)*目录!$D$6</f>
        <v>0</v>
      </c>
      <c r="R58" s="1113">
        <f>(财务基础数据!W213)*目录!$D$6</f>
        <v>0</v>
      </c>
      <c r="S58" s="1113">
        <f>(财务基础数据!X213)*目录!$D$6</f>
        <v>0</v>
      </c>
      <c r="T58" s="1113">
        <f>(财务基础数据!Y213)*目录!$D$6</f>
        <v>0</v>
      </c>
      <c r="U58" s="1113">
        <f>(财务基础数据!Z213)*目录!$D$6</f>
        <v>0</v>
      </c>
      <c r="V58" s="1113">
        <f>(财务基础数据!AA213)*目录!$D$6</f>
        <v>0</v>
      </c>
      <c r="W58" s="1113">
        <f>(财务基础数据!AB213)*目录!$D$6</f>
        <v>0</v>
      </c>
      <c r="X58" s="1113">
        <f>(财务基础数据!AC213)*目录!$D$6</f>
        <v>0</v>
      </c>
      <c r="Y58" s="1113">
        <f>(财务基础数据!AD213)*目录!$D$6</f>
        <v>0</v>
      </c>
      <c r="Z58" s="1113">
        <f>(财务基础数据!AE213)*目录!$D$6</f>
        <v>0</v>
      </c>
      <c r="AA58" s="1113">
        <f>(财务基础数据!AF213)*目录!$D$6</f>
        <v>0</v>
      </c>
      <c r="AB58" s="1113">
        <f>(财务基础数据!AG213)*目录!$D$6</f>
        <v>0</v>
      </c>
      <c r="AC58" s="1113">
        <f>(财务基础数据!AH213)*目录!$D$6</f>
        <v>0</v>
      </c>
      <c r="AD58" s="1113">
        <f>(财务基础数据!AI213)*目录!$D$6</f>
        <v>0</v>
      </c>
      <c r="AE58" s="1113">
        <f>(财务基础数据!AJ213)*目录!$D$6</f>
        <v>0</v>
      </c>
      <c r="AF58" s="1113">
        <f>(财务基础数据!AK213)*目录!$D$6</f>
        <v>0</v>
      </c>
      <c r="AG58" s="1113">
        <f>(财务基础数据!AL213)*目录!$D$6</f>
        <v>0</v>
      </c>
      <c r="AH58" s="1113">
        <f>(财务基础数据!AM213)*目录!$D$6</f>
        <v>0</v>
      </c>
      <c r="AI58" s="1113">
        <f>(财务基础数据!AN213)*目录!$D$6</f>
        <v>0</v>
      </c>
      <c r="AJ58" s="1113">
        <f>(财务基础数据!AO213)*目录!$D$6</f>
        <v>0</v>
      </c>
      <c r="AK58" s="1113">
        <f>IF(ISERROR(AK39+AK47+AK56+AK57),"—",AK39+AK47+AK56+AK57)</f>
        <v>0</v>
      </c>
      <c r="AL58" s="1113">
        <f>IF(ISERROR(AL39+AL47+AL56+AL57),"—",AL39+AL47+AL56+AL57)</f>
        <v>0</v>
      </c>
      <c r="AM58" s="1113">
        <f t="shared" ref="AM58:AT58" si="13">IF(ISERROR(AM39+AM47+AM56+AM57),"—",AM39+AM47+AM56+AM57)</f>
        <v>0</v>
      </c>
      <c r="AN58" s="1113">
        <f t="shared" si="13"/>
        <v>0</v>
      </c>
      <c r="AO58" s="1113">
        <f t="shared" si="13"/>
        <v>0</v>
      </c>
      <c r="AP58" s="1113">
        <f t="shared" si="13"/>
        <v>0</v>
      </c>
      <c r="AQ58" s="1113">
        <f t="shared" si="13"/>
        <v>0</v>
      </c>
      <c r="AR58" s="1113">
        <f t="shared" si="13"/>
        <v>0</v>
      </c>
      <c r="AS58" s="1113">
        <f t="shared" si="13"/>
        <v>0</v>
      </c>
      <c r="AT58" s="1113">
        <f t="shared" si="13"/>
        <v>0</v>
      </c>
      <c r="AU58" s="388"/>
      <c r="AV58" s="388"/>
      <c r="AW58" s="388"/>
    </row>
    <row r="59" spans="2:49" s="30" customFormat="1" ht="15" customHeight="1">
      <c r="B59" s="381"/>
      <c r="C59" s="150"/>
      <c r="D59" s="381"/>
      <c r="E59" s="637"/>
      <c r="F59" s="637"/>
      <c r="G59" s="637"/>
      <c r="H59" s="637"/>
      <c r="I59" s="637"/>
      <c r="J59" s="637"/>
      <c r="K59" s="637"/>
      <c r="L59" s="637"/>
      <c r="M59" s="637"/>
      <c r="N59" s="637"/>
      <c r="O59" s="637"/>
      <c r="P59" s="637"/>
      <c r="Q59" s="637"/>
      <c r="R59" s="637"/>
      <c r="S59" s="637"/>
      <c r="T59" s="637"/>
      <c r="U59" s="637"/>
      <c r="V59" s="637"/>
      <c r="W59" s="637"/>
      <c r="X59" s="637"/>
      <c r="Y59" s="637"/>
      <c r="Z59" s="637"/>
      <c r="AA59" s="637"/>
      <c r="AB59" s="637"/>
      <c r="AC59" s="637"/>
      <c r="AD59" s="637"/>
      <c r="AE59" s="637"/>
      <c r="AF59" s="637"/>
      <c r="AG59" s="637"/>
      <c r="AH59" s="637"/>
      <c r="AI59" s="637"/>
      <c r="AJ59" s="637"/>
      <c r="AK59" s="637"/>
      <c r="AL59" s="637"/>
      <c r="AM59" s="637"/>
      <c r="AN59" s="9"/>
      <c r="AO59" s="637"/>
      <c r="AP59" s="637"/>
      <c r="AQ59" s="637"/>
      <c r="AR59" s="637"/>
      <c r="AS59" s="637"/>
      <c r="AT59" s="637"/>
      <c r="AU59" s="391"/>
      <c r="AV59" s="391"/>
      <c r="AW59" s="391"/>
    </row>
    <row r="60" spans="2:49" ht="15" customHeight="1">
      <c r="B60" s="373" t="s">
        <v>516</v>
      </c>
      <c r="C60" s="150"/>
      <c r="E60" s="573"/>
      <c r="F60" s="573"/>
      <c r="G60" s="573"/>
      <c r="H60" s="573"/>
      <c r="I60" s="573"/>
      <c r="J60" s="573"/>
      <c r="K60" s="573"/>
      <c r="L60" s="573"/>
      <c r="M60" s="573"/>
      <c r="N60" s="573"/>
      <c r="O60" s="573"/>
      <c r="P60" s="573"/>
      <c r="Q60" s="573"/>
      <c r="R60" s="573"/>
      <c r="S60" s="573"/>
      <c r="T60" s="573"/>
      <c r="U60" s="573"/>
      <c r="V60" s="573"/>
      <c r="W60" s="573"/>
      <c r="X60" s="573"/>
      <c r="Y60" s="573"/>
      <c r="Z60" s="573"/>
      <c r="AA60" s="573"/>
      <c r="AB60" s="573"/>
      <c r="AC60" s="573"/>
      <c r="AD60" s="573"/>
      <c r="AE60" s="573"/>
      <c r="AF60" s="573"/>
      <c r="AG60" s="573"/>
      <c r="AH60" s="573"/>
      <c r="AI60" s="573"/>
      <c r="AJ60" s="573"/>
      <c r="AK60" s="573"/>
      <c r="AL60" s="573"/>
      <c r="AM60" s="573"/>
      <c r="AN60" s="495"/>
      <c r="AO60" s="573"/>
      <c r="AP60" s="573"/>
      <c r="AQ60" s="573"/>
      <c r="AR60" s="573"/>
      <c r="AS60" s="573"/>
      <c r="AT60" s="573"/>
      <c r="AU60" s="388"/>
      <c r="AV60" s="388"/>
      <c r="AW60" s="388"/>
    </row>
    <row r="61" spans="2:49" ht="15" customHeight="1">
      <c r="C61" s="150" t="s">
        <v>380</v>
      </c>
      <c r="E61" s="495">
        <f>(财务基础数据!J215+财务基础数据!J217-财务基础数据!J224-财务基础数据!J230)*目录!$D$6</f>
        <v>0</v>
      </c>
      <c r="F61" s="495">
        <f>(财务基础数据!K215+财务基础数据!K217-财务基础数据!K224-财务基础数据!K230)*目录!$D$6</f>
        <v>0</v>
      </c>
      <c r="G61" s="495">
        <f>(财务基础数据!L215+财务基础数据!L217-财务基础数据!L224-财务基础数据!L230)*目录!$D$6</f>
        <v>0</v>
      </c>
      <c r="H61" s="495">
        <f>(财务基础数据!M215+财务基础数据!M217-财务基础数据!M224-财务基础数据!M230)*目录!$D$6</f>
        <v>0</v>
      </c>
      <c r="I61" s="495">
        <f>(财务基础数据!N215+财务基础数据!N217-财务基础数据!N224-财务基础数据!N230)*目录!$D$6</f>
        <v>0</v>
      </c>
      <c r="J61" s="495">
        <f>(财务基础数据!O215+财务基础数据!O217-财务基础数据!O224-财务基础数据!O230)*目录!$D$6</f>
        <v>0</v>
      </c>
      <c r="K61" s="495">
        <f>(财务基础数据!P215+财务基础数据!P217-财务基础数据!P224-财务基础数据!P230)*目录!$D$6</f>
        <v>0</v>
      </c>
      <c r="L61" s="495">
        <f>(财务基础数据!Q215+财务基础数据!Q217-财务基础数据!Q224-财务基础数据!Q230)*目录!$D$6</f>
        <v>0</v>
      </c>
      <c r="M61" s="495">
        <f>(财务基础数据!R215+财务基础数据!R217-财务基础数据!R224-财务基础数据!R230)*目录!$D$6</f>
        <v>0</v>
      </c>
      <c r="N61" s="495">
        <f>(财务基础数据!S215+财务基础数据!S217-财务基础数据!S224-财务基础数据!S230)*目录!$D$6</f>
        <v>0</v>
      </c>
      <c r="O61" s="495">
        <f>(财务基础数据!T215+财务基础数据!T217-财务基础数据!T224-财务基础数据!T230)*目录!$D$6</f>
        <v>0</v>
      </c>
      <c r="P61" s="495">
        <f>(财务基础数据!U215+财务基础数据!U217-财务基础数据!U224-财务基础数据!U230)*目录!$D$6</f>
        <v>0</v>
      </c>
      <c r="Q61" s="495">
        <f>(财务基础数据!V215+财务基础数据!V217-财务基础数据!V224-财务基础数据!V230)*目录!$D$6</f>
        <v>0</v>
      </c>
      <c r="R61" s="495">
        <f>(财务基础数据!W215+财务基础数据!W217-财务基础数据!W224-财务基础数据!W230)*目录!$D$6</f>
        <v>0</v>
      </c>
      <c r="S61" s="495">
        <f>(财务基础数据!X215+财务基础数据!X217-财务基础数据!X224-财务基础数据!X230)*目录!$D$6</f>
        <v>0</v>
      </c>
      <c r="T61" s="495">
        <f>(财务基础数据!Y215+财务基础数据!Y217-财务基础数据!Y224-财务基础数据!Y230)*目录!$D$6</f>
        <v>0</v>
      </c>
      <c r="U61" s="495">
        <f>(财务基础数据!Z215+财务基础数据!Z217-财务基础数据!Z224-财务基础数据!Z230)*目录!$D$6</f>
        <v>0</v>
      </c>
      <c r="V61" s="495">
        <f>(财务基础数据!AA215+财务基础数据!AA217-财务基础数据!AA224-财务基础数据!AA230)*目录!$D$6</f>
        <v>0</v>
      </c>
      <c r="W61" s="495">
        <f>(财务基础数据!AB215+财务基础数据!AB217-财务基础数据!AB224-财务基础数据!AB230)*目录!$D$6</f>
        <v>0</v>
      </c>
      <c r="X61" s="495">
        <f>(财务基础数据!AC215+财务基础数据!AC217-财务基础数据!AC224-财务基础数据!AC230)*目录!$D$6</f>
        <v>0</v>
      </c>
      <c r="Y61" s="495">
        <f>(财务基础数据!AD215+财务基础数据!AD217-财务基础数据!AD224-财务基础数据!AD230)*目录!$D$6</f>
        <v>0</v>
      </c>
      <c r="Z61" s="495">
        <f>(财务基础数据!AE215+财务基础数据!AE217-财务基础数据!AE224-财务基础数据!AE230)*目录!$D$6</f>
        <v>0</v>
      </c>
      <c r="AA61" s="495">
        <f>(财务基础数据!AF215+财务基础数据!AF217-财务基础数据!AF224-财务基础数据!AF230)*目录!$D$6</f>
        <v>0</v>
      </c>
      <c r="AB61" s="495">
        <f>(财务基础数据!AG215+财务基础数据!AG217-财务基础数据!AG224-财务基础数据!AG230)*目录!$D$6</f>
        <v>0</v>
      </c>
      <c r="AC61" s="495">
        <f>(财务基础数据!AH215+财务基础数据!AH217-财务基础数据!AH224-财务基础数据!AH230)*目录!$D$6</f>
        <v>0</v>
      </c>
      <c r="AD61" s="495">
        <f>(财务基础数据!AI215+财务基础数据!AI217-财务基础数据!AI224-财务基础数据!AI230)*目录!$D$6</f>
        <v>0</v>
      </c>
      <c r="AE61" s="495">
        <f>(财务基础数据!AJ215+财务基础数据!AJ217-财务基础数据!AJ224-财务基础数据!AJ230)*目录!$D$6</f>
        <v>0</v>
      </c>
      <c r="AF61" s="495">
        <f>(财务基础数据!AK215+财务基础数据!AK217-财务基础数据!AK224-财务基础数据!AK230)*目录!$D$6</f>
        <v>0</v>
      </c>
      <c r="AG61" s="495">
        <f>(财务基础数据!AL215+财务基础数据!AL217-财务基础数据!AL224-财务基础数据!AL230)*目录!$D$6</f>
        <v>0</v>
      </c>
      <c r="AH61" s="495">
        <f>(财务基础数据!AM215+财务基础数据!AM217-财务基础数据!AM224-财务基础数据!AM230)*目录!$D$6</f>
        <v>0</v>
      </c>
      <c r="AI61" s="495">
        <f>(财务基础数据!AN215+财务基础数据!AN217-财务基础数据!AN224-财务基础数据!AN230)*目录!$D$6</f>
        <v>0</v>
      </c>
      <c r="AJ61" s="495">
        <f>(财务基础数据!AO215+财务基础数据!AO217-财务基础数据!AO224-财务基础数据!AO230)*目录!$D$6</f>
        <v>0</v>
      </c>
      <c r="AK61" s="9">
        <f>IF(ISERROR(资产负债表!AK78-资产负债表!AG78+资产负债表!AK82-资产负债表!AG82+资产预测!L159-资产预测!L149),"—",资产负债表!AK78-资产负债表!AG78+资产负债表!AK82-资产负债表!AG82+资产预测!L159-资产预测!L149)-资产预测!L183+资产预测!L149+资产预测!L147+资产预测!L148</f>
        <v>0</v>
      </c>
      <c r="AL61" s="495">
        <f>IF(ISERROR(资产负债表!AL78-资产负债表!AK78+资产负债表!AL82-资产负债表!AK82+资产预测!M159-资产预测!M149),"—",资产负债表!AL78-资产负债表!AK78+资产负债表!AL82-资产负债表!AK82+资产预测!M159-资产预测!M149)-资产预测!M183+资产预测!M149+资产预测!M147+资产预测!M148</f>
        <v>0</v>
      </c>
      <c r="AM61" s="495">
        <f>IF(ISERROR(资产负债表!AM78-资产负债表!AL78+资产负债表!AM82-资产负债表!AL82+资产预测!N159-资产预测!N149),"—",资产负债表!AM78-资产负债表!AL78+资产负债表!AM82-资产负债表!AL82+资产预测!N159-资产预测!N149)-资产预测!N183+资产预测!N149+资产预测!N147+资产预测!N148</f>
        <v>0</v>
      </c>
      <c r="AN61" s="495">
        <f>IF(ISERROR(资产负债表!AN78-资产负债表!AM78+资产负债表!AN82-资产负债表!AM82+资产预测!O159-资产预测!O149),"—",资产负债表!AN78-资产负债表!AM78+资产负债表!AN82-资产负债表!AM82+资产预测!O159-资产预测!O149)-资产预测!O183+资产预测!O149+资产预测!O147+资产预测!O148</f>
        <v>0</v>
      </c>
      <c r="AO61" s="495">
        <f>IF(ISERROR(资产负债表!AO78-资产负债表!AN78+资产负债表!AO82-资产负债表!AN82+资产预测!P159-资产预测!P149),"—",资产负债表!AO78-资产负债表!AN78+资产负债表!AO82-资产负债表!AN82+资产预测!P159-资产预测!P149)-资产预测!P183+资产预测!P149+资产预测!P147+资产预测!P148</f>
        <v>0</v>
      </c>
      <c r="AP61" s="495">
        <f>IF(ISERROR(资产负债表!AP78-资产负债表!AO78+资产负债表!AP82-资产负债表!AO82+资产预测!Q159-资产预测!Q149),"—",资产负债表!AP78-资产负债表!AO78+资产负债表!AP82-资产负债表!AO82+资产预测!Q159-资产预测!Q149)-资产预测!Q183+资产预测!Q149+资产预测!Q147+资产预测!Q148</f>
        <v>0</v>
      </c>
      <c r="AQ61" s="495">
        <f>IF(ISERROR(资产负债表!AQ78-资产负债表!AP78+资产负债表!AQ82-资产负债表!AP82+资产预测!R159-资产预测!R149),"—",资产负债表!AQ78-资产负债表!AP78+资产负债表!AQ82-资产负债表!AP82+资产预测!R159-资产预测!R149)-资产预测!R183+资产预测!R149+资产预测!R147+资产预测!R148</f>
        <v>0</v>
      </c>
      <c r="AR61" s="495">
        <f>IF(ISERROR(资产负债表!AR78-资产负债表!AQ78+资产负债表!AR82-资产负债表!AQ82+资产预测!S159-资产预测!S149),"—",资产负债表!AR78-资产负债表!AQ78+资产负债表!AR82-资产负债表!AQ82+资产预测!S159-资产预测!S149)-资产预测!S183+资产预测!S149+资产预测!S147+资产预测!S148</f>
        <v>0</v>
      </c>
      <c r="AS61" s="495">
        <f>IF(ISERROR(资产负债表!AS78-资产负债表!AR78+资产负债表!AS82-资产负债表!AR82+资产预测!T159-资产预测!T149),"—",资产负债表!AS78-资产负债表!AR78+资产负债表!AS82-资产负债表!AR82+资产预测!T159-资产预测!T149)-资产预测!T183+资产预测!T149+资产预测!T147+资产预测!T148</f>
        <v>0</v>
      </c>
      <c r="AT61" s="495">
        <f>IF(ISERROR(资产负债表!AT78-资产负债表!AS78+资产负债表!AT82-资产负债表!AS82+资产预测!U159-资产预测!U149),"—",资产负债表!AT78-资产负债表!AS78+资产负债表!AT82-资产负债表!AS82+资产预测!U159-资产预测!U149)-资产预测!U183+资产预测!U149+资产预测!U147+资产预测!U148</f>
        <v>0</v>
      </c>
      <c r="AU61" s="495"/>
      <c r="AV61" s="388"/>
      <c r="AW61" s="388"/>
    </row>
    <row r="62" spans="2:49" ht="15" customHeight="1">
      <c r="C62" s="150" t="s">
        <v>382</v>
      </c>
      <c r="E62" s="495">
        <f>(财务基础数据!J220+财务基础数据!J219-财务基础数据!J223-财务基础数据!J229)*目录!$D$6</f>
        <v>0</v>
      </c>
      <c r="F62" s="495">
        <f>(财务基础数据!K220+财务基础数据!K219-财务基础数据!K223-财务基础数据!K229)*目录!$D$6</f>
        <v>0</v>
      </c>
      <c r="G62" s="495">
        <f>(财务基础数据!L220+财务基础数据!L219-财务基础数据!L223-财务基础数据!L229)*目录!$D$6</f>
        <v>0</v>
      </c>
      <c r="H62" s="495">
        <f>(财务基础数据!M220+财务基础数据!M219-财务基础数据!M223-财务基础数据!M229)*目录!$D$6</f>
        <v>0</v>
      </c>
      <c r="I62" s="495">
        <f>(财务基础数据!N220+财务基础数据!N219-财务基础数据!N223-财务基础数据!N229)*目录!$D$6</f>
        <v>0</v>
      </c>
      <c r="J62" s="495">
        <f>(财务基础数据!O220+财务基础数据!O219-财务基础数据!O223-财务基础数据!O229)*目录!$D$6</f>
        <v>0</v>
      </c>
      <c r="K62" s="495">
        <f>(财务基础数据!P220+财务基础数据!P219-财务基础数据!P223-财务基础数据!P229)*目录!$D$6</f>
        <v>0</v>
      </c>
      <c r="L62" s="495">
        <f>(财务基础数据!Q220+财务基础数据!Q219-财务基础数据!Q223-财务基础数据!Q229)*目录!$D$6</f>
        <v>0</v>
      </c>
      <c r="M62" s="495">
        <f>(财务基础数据!R220+财务基础数据!R219-财务基础数据!R223-财务基础数据!R229)*目录!$D$6</f>
        <v>0</v>
      </c>
      <c r="N62" s="495">
        <f>(财务基础数据!S220+财务基础数据!S219-财务基础数据!S223-财务基础数据!S229)*目录!$D$6</f>
        <v>0</v>
      </c>
      <c r="O62" s="495">
        <f>(财务基础数据!T220+财务基础数据!T219-财务基础数据!T223-财务基础数据!T229)*目录!$D$6</f>
        <v>0</v>
      </c>
      <c r="P62" s="495">
        <f>(财务基础数据!U220+财务基础数据!U219-财务基础数据!U223-财务基础数据!U229)*目录!$D$6</f>
        <v>0</v>
      </c>
      <c r="Q62" s="495">
        <f>(财务基础数据!V220+财务基础数据!V219-财务基础数据!V223-财务基础数据!V229)*目录!$D$6</f>
        <v>0</v>
      </c>
      <c r="R62" s="495">
        <f>(财务基础数据!W220+财务基础数据!W219-财务基础数据!W223-财务基础数据!W229)*目录!$D$6</f>
        <v>0</v>
      </c>
      <c r="S62" s="495">
        <f>(财务基础数据!X220+财务基础数据!X219-财务基础数据!X223-财务基础数据!X229)*目录!$D$6</f>
        <v>0</v>
      </c>
      <c r="T62" s="495">
        <f>(财务基础数据!Y220+财务基础数据!Y219-财务基础数据!Y223-财务基础数据!Y229)*目录!$D$6</f>
        <v>0</v>
      </c>
      <c r="U62" s="495">
        <f>(财务基础数据!Z220+财务基础数据!Z219-财务基础数据!Z223-财务基础数据!Z229)*目录!$D$6</f>
        <v>0</v>
      </c>
      <c r="V62" s="495">
        <f>(财务基础数据!AA220+财务基础数据!AA219-财务基础数据!AA223-财务基础数据!AA229)*目录!$D$6</f>
        <v>0</v>
      </c>
      <c r="W62" s="495">
        <f>(财务基础数据!AB220+财务基础数据!AB219-财务基础数据!AB223-财务基础数据!AB229)*目录!$D$6</f>
        <v>0</v>
      </c>
      <c r="X62" s="495">
        <f>(财务基础数据!AC220+财务基础数据!AC219-财务基础数据!AC223-财务基础数据!AC229)*目录!$D$6</f>
        <v>0</v>
      </c>
      <c r="Y62" s="495">
        <f>(财务基础数据!AD220+财务基础数据!AD219-财务基础数据!AD223-财务基础数据!AD229)*目录!$D$6</f>
        <v>0</v>
      </c>
      <c r="Z62" s="495">
        <f>(财务基础数据!AE220+财务基础数据!AE219-财务基础数据!AE223-财务基础数据!AE229)*目录!$D$6</f>
        <v>0</v>
      </c>
      <c r="AA62" s="495">
        <f>(财务基础数据!AF220+财务基础数据!AF219-财务基础数据!AF223-财务基础数据!AF229)*目录!$D$6</f>
        <v>0</v>
      </c>
      <c r="AB62" s="495">
        <f>(财务基础数据!AG220+财务基础数据!AG219-财务基础数据!AG223-财务基础数据!AG229)*目录!$D$6</f>
        <v>0</v>
      </c>
      <c r="AC62" s="495">
        <f>(财务基础数据!AH220+财务基础数据!AH219-财务基础数据!AH223-财务基础数据!AH229)*目录!$D$6</f>
        <v>0</v>
      </c>
      <c r="AD62" s="495">
        <f>(财务基础数据!AI220+财务基础数据!AI219-财务基础数据!AI223-财务基础数据!AI229)*目录!$D$6</f>
        <v>0</v>
      </c>
      <c r="AE62" s="495">
        <f>(财务基础数据!AJ220+财务基础数据!AJ219-财务基础数据!AJ223-财务基础数据!AJ229)*目录!$D$6</f>
        <v>0</v>
      </c>
      <c r="AF62" s="495">
        <f>(财务基础数据!AK220+财务基础数据!AK219-财务基础数据!AK223-财务基础数据!AK229)*目录!$D$6</f>
        <v>0</v>
      </c>
      <c r="AG62" s="495">
        <f>(财务基础数据!AL220+财务基础数据!AL219-财务基础数据!AL223-财务基础数据!AL229)*目录!$D$6</f>
        <v>0</v>
      </c>
      <c r="AH62" s="495">
        <f>(财务基础数据!AM220+财务基础数据!AM219-财务基础数据!AM223-财务基础数据!AM229)*目录!$D$6</f>
        <v>0</v>
      </c>
      <c r="AI62" s="495">
        <f>(财务基础数据!AN220+财务基础数据!AN219-财务基础数据!AN223-财务基础数据!AN229)*目录!$D$6</f>
        <v>0</v>
      </c>
      <c r="AJ62" s="495">
        <f>(财务基础数据!AO220+财务基础数据!AO219-财务基础数据!AO223-财务基础数据!AO229)*目录!$D$6</f>
        <v>0</v>
      </c>
      <c r="AK62" s="495">
        <f>SUM(AK63:AK69)</f>
        <v>0</v>
      </c>
      <c r="AL62" s="9">
        <f>SUM(AL63:AL69)</f>
        <v>0</v>
      </c>
      <c r="AM62" s="495">
        <f t="shared" ref="AM62:AT62" si="14">SUM(AM63:AM69)</f>
        <v>0</v>
      </c>
      <c r="AN62" s="495">
        <f t="shared" si="14"/>
        <v>0</v>
      </c>
      <c r="AO62" s="495">
        <f t="shared" si="14"/>
        <v>0</v>
      </c>
      <c r="AP62" s="495">
        <f t="shared" si="14"/>
        <v>0</v>
      </c>
      <c r="AQ62" s="495">
        <f t="shared" si="14"/>
        <v>0</v>
      </c>
      <c r="AR62" s="495">
        <f t="shared" si="14"/>
        <v>0</v>
      </c>
      <c r="AS62" s="495">
        <f t="shared" si="14"/>
        <v>0</v>
      </c>
      <c r="AT62" s="495">
        <f t="shared" si="14"/>
        <v>0</v>
      </c>
      <c r="AU62" s="388"/>
      <c r="AV62" s="388"/>
      <c r="AW62" s="388"/>
    </row>
    <row r="63" spans="2:49" ht="15" customHeight="1">
      <c r="B63" s="117"/>
      <c r="C63" s="130" t="s">
        <v>517</v>
      </c>
      <c r="E63" s="495"/>
      <c r="F63" s="495"/>
      <c r="G63" s="495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5"/>
      <c r="AB63" s="495"/>
      <c r="AC63" s="495"/>
      <c r="AD63" s="495"/>
      <c r="AE63" s="495"/>
      <c r="AF63" s="495"/>
      <c r="AG63" s="495"/>
      <c r="AH63" s="495"/>
      <c r="AI63" s="495"/>
      <c r="AJ63" s="495"/>
      <c r="AK63" s="495">
        <f>IF(ISERROR(资产预测!L84+资产预测!L88),"—",资产预测!L84+资产预测!L88)</f>
        <v>0</v>
      </c>
      <c r="AL63" s="495">
        <f>IF(ISERROR(资产预测!M84+资产预测!M88),"—",资产预测!M84+资产预测!M88)</f>
        <v>0</v>
      </c>
      <c r="AM63" s="495">
        <f>IF(ISERROR(资产预测!N84+资产预测!N88),"—",资产预测!N84+资产预测!N88)</f>
        <v>0</v>
      </c>
      <c r="AN63" s="495">
        <f>IF(ISERROR(资产预测!O84+资产预测!O88),"—",资产预测!O84+资产预测!O88)</f>
        <v>0</v>
      </c>
      <c r="AO63" s="495">
        <f>IF(ISERROR(资产预测!P84+资产预测!P88),"—",资产预测!P84+资产预测!P88)</f>
        <v>0</v>
      </c>
      <c r="AP63" s="495">
        <f>IF(ISERROR(资产预测!Q84+资产预测!Q88),"—",资产预测!Q84+资产预测!Q88)</f>
        <v>0</v>
      </c>
      <c r="AQ63" s="495">
        <f>IF(ISERROR(资产预测!R84+资产预测!R88),"—",资产预测!R84+资产预测!R88)</f>
        <v>0</v>
      </c>
      <c r="AR63" s="495">
        <f>IF(ISERROR(资产预测!S84+资产预测!S88),"—",资产预测!S84+资产预测!S88)</f>
        <v>0</v>
      </c>
      <c r="AS63" s="495">
        <f>IF(ISERROR(资产预测!T84+资产预测!T88),"—",资产预测!T84+资产预测!T88)</f>
        <v>0</v>
      </c>
      <c r="AT63" s="495">
        <f>IF(ISERROR(资产预测!U84+资产预测!U88),"—",资产预测!U84+资产预测!U88)</f>
        <v>0</v>
      </c>
      <c r="AU63" s="388"/>
      <c r="AV63" s="388"/>
      <c r="AW63" s="388"/>
    </row>
    <row r="64" spans="2:49" ht="15" customHeight="1">
      <c r="C64" s="75" t="s">
        <v>518</v>
      </c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5"/>
      <c r="AB64" s="495"/>
      <c r="AC64" s="495"/>
      <c r="AD64" s="495"/>
      <c r="AE64" s="495"/>
      <c r="AF64" s="495"/>
      <c r="AG64" s="495"/>
      <c r="AH64" s="495"/>
      <c r="AI64" s="495"/>
      <c r="AJ64" s="495"/>
      <c r="AK64" s="495">
        <f>IF(ISERROR(资产负债表!AK60-资产负债表!AG60),"—",资产负债表!AK60-资产负债表!AG60)</f>
        <v>0</v>
      </c>
      <c r="AL64" s="495">
        <f>IF(ISERROR(资产负债表!AL60-资产负债表!AK60),"—",资产负债表!AL60-资产负债表!AK60)</f>
        <v>0</v>
      </c>
      <c r="AM64" s="495">
        <f>IF(ISERROR(资产负债表!AM60-资产负债表!AL60),"—",资产负债表!AM60-资产负债表!AL60)</f>
        <v>0</v>
      </c>
      <c r="AN64" s="495">
        <f>IF(ISERROR(资产负债表!AN60-资产负债表!AM60),"—",资产负债表!AN60-资产负债表!AM60)</f>
        <v>0</v>
      </c>
      <c r="AO64" s="495">
        <f>IF(ISERROR(资产负债表!AO60-资产负债表!AN60),"—",资产负债表!AO60-资产负债表!AN60)</f>
        <v>0</v>
      </c>
      <c r="AP64" s="495">
        <f>IF(ISERROR(资产负债表!AP60-资产负债表!AO60),"—",资产负债表!AP60-资产负债表!AO60)</f>
        <v>0</v>
      </c>
      <c r="AQ64" s="495">
        <f>IF(ISERROR(资产负债表!AQ60-资产负债表!AP60),"—",资产负债表!AQ60-资产负债表!AP60)</f>
        <v>0</v>
      </c>
      <c r="AR64" s="495">
        <f>IF(ISERROR(资产负债表!AR60-资产负债表!AQ60),"—",资产负债表!AR60-资产负债表!AQ60)</f>
        <v>0</v>
      </c>
      <c r="AS64" s="495">
        <f>IF(ISERROR(资产负债表!AS60-资产负债表!AR60),"—",资产负债表!AS60-资产负债表!AR60)</f>
        <v>0</v>
      </c>
      <c r="AT64" s="495">
        <f>IF(ISERROR(资产负债表!AT60-资产负债表!AS60),"—",资产负债表!AT60-资产负债表!AS60)</f>
        <v>0</v>
      </c>
      <c r="AU64" s="388"/>
      <c r="AV64" s="388"/>
      <c r="AW64" s="388"/>
    </row>
    <row r="65" spans="2:49" ht="15" customHeight="1">
      <c r="B65" s="380"/>
      <c r="C65" s="75" t="s">
        <v>519</v>
      </c>
      <c r="E65" s="495"/>
      <c r="F65" s="495"/>
      <c r="G65" s="495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5"/>
      <c r="AB65" s="495"/>
      <c r="AC65" s="495"/>
      <c r="AD65" s="495"/>
      <c r="AE65" s="495"/>
      <c r="AF65" s="495"/>
      <c r="AG65" s="495"/>
      <c r="AH65" s="495"/>
      <c r="AI65" s="495"/>
      <c r="AJ65" s="495"/>
      <c r="AK65" s="495">
        <f>IF(ISERROR(资产负债表!AK65-资产负债表!AG65),"—",资产负债表!AK65-资产负债表!AG65)</f>
        <v>0</v>
      </c>
      <c r="AL65" s="495">
        <f>IF(ISERROR(资产负债表!AL65-资产负债表!AK65),"—",资产负债表!AL65-资产负债表!AK65)</f>
        <v>0</v>
      </c>
      <c r="AM65" s="495">
        <f>IF(ISERROR(资产负债表!AM65-资产负债表!AL65),"—",资产负债表!AM65-资产负债表!AL65)</f>
        <v>0</v>
      </c>
      <c r="AN65" s="495">
        <f>IF(ISERROR(资产负债表!AN65-资产负债表!AM65),"—",资产负债表!AN65-资产负债表!AM65)</f>
        <v>0</v>
      </c>
      <c r="AO65" s="495">
        <f>IF(ISERROR(资产负债表!AO65-资产负债表!AN65),"—",资产负债表!AO65-资产负债表!AN65)</f>
        <v>0</v>
      </c>
      <c r="AP65" s="495">
        <f>IF(ISERROR(资产负债表!AP65-资产负债表!AO65),"—",资产负债表!AP65-资产负债表!AO65)</f>
        <v>0</v>
      </c>
      <c r="AQ65" s="495">
        <f>IF(ISERROR(资产负债表!AQ65-资产负债表!AP65),"—",资产负债表!AQ65-资产负债表!AP65)</f>
        <v>0</v>
      </c>
      <c r="AR65" s="495">
        <f>IF(ISERROR(资产负债表!AR65-资产负债表!AQ65),"—",资产负债表!AR65-资产负债表!AQ65)</f>
        <v>0</v>
      </c>
      <c r="AS65" s="495">
        <f>IF(ISERROR(资产负债表!AS65-资产负债表!AR65),"—",资产负债表!AS65-资产负债表!AR65)</f>
        <v>0</v>
      </c>
      <c r="AT65" s="495">
        <f>IF(ISERROR(资产负债表!AT65-资产负债表!AS65),"—",资产负债表!AT65-资产负债表!AS65)</f>
        <v>0</v>
      </c>
      <c r="AU65" s="388"/>
      <c r="AV65" s="388"/>
      <c r="AW65" s="388"/>
    </row>
    <row r="66" spans="2:49" ht="15" customHeight="1">
      <c r="B66" s="380"/>
      <c r="C66" s="75" t="s">
        <v>520</v>
      </c>
      <c r="E66" s="495"/>
      <c r="F66" s="495"/>
      <c r="G66" s="495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5"/>
      <c r="AB66" s="495"/>
      <c r="AC66" s="495"/>
      <c r="AD66" s="495"/>
      <c r="AE66" s="495"/>
      <c r="AF66" s="495"/>
      <c r="AG66" s="495"/>
      <c r="AH66" s="495"/>
      <c r="AI66" s="495"/>
      <c r="AJ66" s="495"/>
      <c r="AK66" s="9">
        <f>IF(ISERROR(资产负债表!AK66-资产负债表!AG66),"—",资产负债表!AK66-资产负债表!AG66)+资产预测!L183</f>
        <v>0</v>
      </c>
      <c r="AL66" s="495">
        <f>IF(ISERROR(资产负债表!AL66-资产负债表!AK66),"—",资产负债表!AL66-资产负债表!AK66)+资产预测!M183</f>
        <v>0</v>
      </c>
      <c r="AM66" s="495">
        <f>IF(ISERROR(资产负债表!AM66-资产负债表!AL66),"—",资产负债表!AM66-资产负债表!AL66)+资产预测!N183</f>
        <v>0</v>
      </c>
      <c r="AN66" s="495">
        <f>IF(ISERROR(资产负债表!AN66-资产负债表!AM66),"—",资产负债表!AN66-资产负债表!AM66)+资产预测!O183</f>
        <v>0</v>
      </c>
      <c r="AO66" s="495">
        <f>IF(ISERROR(资产负债表!AO66-资产负债表!AN66),"—",资产负债表!AO66-资产负债表!AN66)+资产预测!P183</f>
        <v>0</v>
      </c>
      <c r="AP66" s="495">
        <f>IF(ISERROR(资产负债表!AP66-资产负债表!AO66),"—",资产负债表!AP66-资产负债表!AO66)+资产预测!Q183</f>
        <v>0</v>
      </c>
      <c r="AQ66" s="495">
        <f>IF(ISERROR(资产负债表!AQ66-资产负债表!AP66),"—",资产负债表!AQ66-资产负债表!AP66)+资产预测!R183</f>
        <v>0</v>
      </c>
      <c r="AR66" s="495">
        <f>IF(ISERROR(资产负债表!AR66-资产负债表!AQ66),"—",资产负债表!AR66-资产负债表!AQ66)+资产预测!S183</f>
        <v>0</v>
      </c>
      <c r="AS66" s="495">
        <f>IF(ISERROR(资产负债表!AS66-资产负债表!AR66),"—",资产负债表!AS66-资产负债表!AR66)+资产预测!T183</f>
        <v>0</v>
      </c>
      <c r="AT66" s="495">
        <f>IF(ISERROR(资产负债表!AT66-资产负债表!AS66),"—",资产负债表!AT66-资产负债表!AS66)+资产预测!U183</f>
        <v>0</v>
      </c>
      <c r="AU66" s="495"/>
      <c r="AV66" s="388"/>
      <c r="AW66" s="388"/>
    </row>
    <row r="67" spans="2:49" ht="15" customHeight="1">
      <c r="B67" s="380"/>
      <c r="C67" s="75" t="s">
        <v>521</v>
      </c>
      <c r="E67" s="495"/>
      <c r="F67" s="495"/>
      <c r="G67" s="495"/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5"/>
      <c r="AB67" s="495"/>
      <c r="AC67" s="495"/>
      <c r="AD67" s="495"/>
      <c r="AE67" s="495"/>
      <c r="AF67" s="495"/>
      <c r="AG67" s="495"/>
      <c r="AH67" s="495"/>
      <c r="AI67" s="495"/>
      <c r="AJ67" s="495"/>
      <c r="AK67" s="495">
        <f>IF(ISERROR(资产负债表!AK67-资产负债表!AG67),"—",资产负债表!AK67-资产负债表!AG67)</f>
        <v>0</v>
      </c>
      <c r="AL67" s="495">
        <f>IF(ISERROR(资产负债表!AL67-资产负债表!AK67),"—",资产负债表!AL67-资产负债表!AK67)</f>
        <v>0</v>
      </c>
      <c r="AM67" s="495">
        <f>IF(ISERROR(资产负债表!AM67-资产负债表!AL67),"—",资产负债表!AM67-资产负债表!AL67)</f>
        <v>0</v>
      </c>
      <c r="AN67" s="495">
        <f>IF(ISERROR(资产负债表!AN67-资产负债表!AM67),"—",资产负债表!AN67-资产负债表!AM67)</f>
        <v>0</v>
      </c>
      <c r="AO67" s="495">
        <f>IF(ISERROR(资产负债表!AO67-资产负债表!AN67),"—",资产负债表!AO67-资产负债表!AN67)</f>
        <v>0</v>
      </c>
      <c r="AP67" s="495">
        <f>IF(ISERROR(资产负债表!AP67-资产负债表!AO67),"—",资产负债表!AP67-资产负债表!AO67)</f>
        <v>0</v>
      </c>
      <c r="AQ67" s="495">
        <f>IF(ISERROR(资产负债表!AQ67-资产负债表!AP67),"—",资产负债表!AQ67-资产负债表!AP67)</f>
        <v>0</v>
      </c>
      <c r="AR67" s="495">
        <f>IF(ISERROR(资产负债表!AR67-资产负债表!AQ67),"—",资产负债表!AR67-资产负债表!AQ67)</f>
        <v>0</v>
      </c>
      <c r="AS67" s="495">
        <f>IF(ISERROR(资产负债表!AS67-资产负债表!AR67),"—",资产负债表!AS67-资产负债表!AR67)</f>
        <v>0</v>
      </c>
      <c r="AT67" s="495">
        <f>IF(ISERROR(资产负债表!AT67-资产负债表!AS67),"—",资产负债表!AT67-资产负债表!AS67)</f>
        <v>0</v>
      </c>
      <c r="AU67" s="495"/>
      <c r="AV67" s="388"/>
      <c r="AW67" s="388"/>
    </row>
    <row r="68" spans="2:49" ht="15" customHeight="1">
      <c r="C68" s="75" t="s">
        <v>522</v>
      </c>
      <c r="E68" s="495"/>
      <c r="F68" s="495"/>
      <c r="G68" s="495"/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5"/>
      <c r="AB68" s="495"/>
      <c r="AC68" s="495"/>
      <c r="AD68" s="495"/>
      <c r="AE68" s="495"/>
      <c r="AF68" s="495"/>
      <c r="AG68" s="495"/>
      <c r="AH68" s="495"/>
      <c r="AI68" s="495"/>
      <c r="AJ68" s="495"/>
      <c r="AK68" s="495">
        <f>IF(ISERROR(资产负债表!AK68-资产负债表!AG68),"—",资产负债表!AK68-资产负债表!AG68)</f>
        <v>0</v>
      </c>
      <c r="AL68" s="495">
        <f>IF(ISERROR(资产负债表!AL68-资产负债表!AK68),"—",资产负债表!AL68-资产负债表!AK68)</f>
        <v>0</v>
      </c>
      <c r="AM68" s="495">
        <f>IF(ISERROR(资产负债表!AM68-资产负债表!AL68),"—",资产负债表!AM68-资产负债表!AL68)</f>
        <v>0</v>
      </c>
      <c r="AN68" s="495">
        <f>IF(ISERROR(资产负债表!AN68-资产负债表!AM68),"—",资产负债表!AN68-资产负债表!AM68)</f>
        <v>0</v>
      </c>
      <c r="AO68" s="495">
        <f>IF(ISERROR(资产负债表!AO68-资产负债表!AN68),"—",资产负债表!AO68-资产负债表!AN68)</f>
        <v>0</v>
      </c>
      <c r="AP68" s="495">
        <f>IF(ISERROR(资产负债表!AP68-资产负债表!AO68),"—",资产负债表!AP68-资产负债表!AO68)</f>
        <v>0</v>
      </c>
      <c r="AQ68" s="495">
        <f>IF(ISERROR(资产负债表!AQ68-资产负债表!AP68),"—",资产负债表!AQ68-资产负债表!AP68)</f>
        <v>0</v>
      </c>
      <c r="AR68" s="495">
        <f>IF(ISERROR(资产负债表!AR68-资产负债表!AQ68),"—",资产负债表!AR68-资产负债表!AQ68)</f>
        <v>0</v>
      </c>
      <c r="AS68" s="495">
        <f>IF(ISERROR(资产负债表!AS68-资产负债表!AR68),"—",资产负债表!AS68-资产负债表!AR68)</f>
        <v>0</v>
      </c>
      <c r="AT68" s="495">
        <f>IF(ISERROR(资产负债表!AT68-资产负债表!AS68),"—",资产负债表!AT68-资产负债表!AS68)</f>
        <v>0</v>
      </c>
      <c r="AU68" s="388"/>
      <c r="AV68" s="388"/>
      <c r="AW68" s="388"/>
    </row>
    <row r="69" spans="2:49" ht="15" customHeight="1">
      <c r="C69" s="75" t="s">
        <v>523</v>
      </c>
      <c r="E69" s="495"/>
      <c r="F69" s="495"/>
      <c r="G69" s="495"/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5"/>
      <c r="AB69" s="495"/>
      <c r="AC69" s="495"/>
      <c r="AD69" s="495"/>
      <c r="AE69" s="495"/>
      <c r="AF69" s="495"/>
      <c r="AG69" s="495"/>
      <c r="AH69" s="495"/>
      <c r="AI69" s="495"/>
      <c r="AJ69" s="495"/>
      <c r="AK69" s="495">
        <f>IF(ISERROR(资产预测!L203),"—",资产预测!L203)</f>
        <v>0</v>
      </c>
      <c r="AL69" s="495">
        <f>IF(ISERROR(资产预测!M203),"—",资产预测!M203)</f>
        <v>0</v>
      </c>
      <c r="AM69" s="495">
        <f>IF(ISERROR(资产预测!N203),"—",资产预测!N203)</f>
        <v>0</v>
      </c>
      <c r="AN69" s="495">
        <f>IF(ISERROR(资产预测!O203),"—",资产预测!O203)</f>
        <v>0</v>
      </c>
      <c r="AO69" s="495">
        <f>IF(ISERROR(资产预测!P203),"—",资产预测!P203)</f>
        <v>0</v>
      </c>
      <c r="AP69" s="495">
        <f>IF(ISERROR(资产预测!Q203),"—",资产预测!Q203)</f>
        <v>0</v>
      </c>
      <c r="AQ69" s="495">
        <f>IF(ISERROR(资产预测!R203),"—",资产预测!R203)</f>
        <v>0</v>
      </c>
      <c r="AR69" s="495">
        <f>IF(ISERROR(资产预测!S203),"—",资产预测!S203)</f>
        <v>0</v>
      </c>
      <c r="AS69" s="495">
        <f>IF(ISERROR(资产预测!T203),"—",资产预测!T203)</f>
        <v>0</v>
      </c>
      <c r="AT69" s="495">
        <f>IF(ISERROR(资产预测!U203),"—",资产预测!U203)</f>
        <v>0</v>
      </c>
      <c r="AU69" s="388"/>
      <c r="AV69" s="388"/>
      <c r="AW69" s="388"/>
    </row>
    <row r="70" spans="2:49" ht="15" customHeight="1">
      <c r="C70" s="150" t="s">
        <v>388</v>
      </c>
      <c r="E70" s="495">
        <f>-财务基础数据!J225*目录!$D$6</f>
        <v>0</v>
      </c>
      <c r="F70" s="495">
        <f>-财务基础数据!K225*目录!$D$6</f>
        <v>0</v>
      </c>
      <c r="G70" s="495">
        <f>-财务基础数据!L225*目录!$D$6</f>
        <v>0</v>
      </c>
      <c r="H70" s="495">
        <f>-财务基础数据!M225*目录!$D$6</f>
        <v>0</v>
      </c>
      <c r="I70" s="495">
        <f>-财务基础数据!N225*目录!$D$6</f>
        <v>0</v>
      </c>
      <c r="J70" s="495">
        <f>-财务基础数据!O225*目录!$D$6</f>
        <v>0</v>
      </c>
      <c r="K70" s="495">
        <f>-财务基础数据!P225*目录!$D$6</f>
        <v>0</v>
      </c>
      <c r="L70" s="495">
        <f>-财务基础数据!Q225*目录!$D$6</f>
        <v>0</v>
      </c>
      <c r="M70" s="495">
        <f>-财务基础数据!R225*目录!$D$6</f>
        <v>0</v>
      </c>
      <c r="N70" s="495">
        <f>-财务基础数据!S225*目录!$D$6</f>
        <v>0</v>
      </c>
      <c r="O70" s="495">
        <f>-财务基础数据!T225*目录!$D$6</f>
        <v>0</v>
      </c>
      <c r="P70" s="495">
        <f>-财务基础数据!U225*目录!$D$6</f>
        <v>0</v>
      </c>
      <c r="Q70" s="495">
        <f>-财务基础数据!V225*目录!$D$6</f>
        <v>0</v>
      </c>
      <c r="R70" s="495">
        <f>-财务基础数据!W225*目录!$D$6</f>
        <v>0</v>
      </c>
      <c r="S70" s="495">
        <f>-财务基础数据!X225*目录!$D$6</f>
        <v>0</v>
      </c>
      <c r="T70" s="495">
        <f>-财务基础数据!Y225*目录!$D$6</f>
        <v>0</v>
      </c>
      <c r="U70" s="495">
        <f>-财务基础数据!Z225*目录!$D$6</f>
        <v>0</v>
      </c>
      <c r="V70" s="495">
        <f>-财务基础数据!AA225*目录!$D$6</f>
        <v>0</v>
      </c>
      <c r="W70" s="495">
        <f>-财务基础数据!AB225*目录!$D$6</f>
        <v>0</v>
      </c>
      <c r="X70" s="495">
        <f>-财务基础数据!AC225*目录!$D$6</f>
        <v>0</v>
      </c>
      <c r="Y70" s="495">
        <f>-财务基础数据!AD225*目录!$D$6</f>
        <v>0</v>
      </c>
      <c r="Z70" s="495">
        <f>-财务基础数据!AE225*目录!$D$6</f>
        <v>0</v>
      </c>
      <c r="AA70" s="495">
        <f>-财务基础数据!AF225*目录!$D$6</f>
        <v>0</v>
      </c>
      <c r="AB70" s="495">
        <f>-财务基础数据!AG225*目录!$D$6</f>
        <v>0</v>
      </c>
      <c r="AC70" s="495">
        <f>-财务基础数据!AH225*目录!$D$6</f>
        <v>0</v>
      </c>
      <c r="AD70" s="495">
        <f>-财务基础数据!AI225*目录!$D$6</f>
        <v>0</v>
      </c>
      <c r="AE70" s="495">
        <f>-财务基础数据!AJ225*目录!$D$6</f>
        <v>0</v>
      </c>
      <c r="AF70" s="495">
        <f>-财务基础数据!AK225*目录!$D$6</f>
        <v>0</v>
      </c>
      <c r="AG70" s="495">
        <f>-财务基础数据!AL225*目录!$D$6</f>
        <v>0</v>
      </c>
      <c r="AH70" s="495">
        <f>-财务基础数据!AM225*目录!$D$6</f>
        <v>0</v>
      </c>
      <c r="AI70" s="495">
        <f>-财务基础数据!AN225*目录!$D$6</f>
        <v>0</v>
      </c>
      <c r="AJ70" s="495">
        <f>-财务基础数据!AO225*目录!$D$6</f>
        <v>0</v>
      </c>
      <c r="AK70" s="495">
        <f>IF(ISERROR(-资产预测!L163-利润表!AK38),0,-资产预测!L163-利润表!AK38)</f>
        <v>0</v>
      </c>
      <c r="AL70" s="495">
        <f>IF(ISERROR(-资产预测!M163-利润表!AL38),0,-资产预测!M163-利润表!AL38)</f>
        <v>0</v>
      </c>
      <c r="AM70" s="495">
        <f>IF(ISERROR(-资产预测!N163-利润表!AM38),0,-资产预测!N163-利润表!AM38)</f>
        <v>0</v>
      </c>
      <c r="AN70" s="495">
        <f>IF(ISERROR(-资产预测!O163-利润表!AN38),0,-资产预测!O163-利润表!AN38)</f>
        <v>0</v>
      </c>
      <c r="AO70" s="495">
        <f>IF(ISERROR(-资产预测!P163-利润表!AO38),0,-资产预测!P163-利润表!AO38)</f>
        <v>0</v>
      </c>
      <c r="AP70" s="495">
        <f>IF(ISERROR(-资产预测!Q163-利润表!AP38),0,-资产预测!Q163-利润表!AP38)</f>
        <v>0</v>
      </c>
      <c r="AQ70" s="495">
        <f>IF(ISERROR(-资产预测!R163-利润表!AQ38),0,-资产预测!R163-利润表!AQ38)</f>
        <v>0</v>
      </c>
      <c r="AR70" s="495">
        <f>IF(ISERROR(-资产预测!S163-利润表!AR38),0,-资产预测!S163-利润表!AR38)</f>
        <v>0</v>
      </c>
      <c r="AS70" s="495">
        <f>IF(ISERROR(-资产预测!T163-利润表!AS38),0,-资产预测!T163-利润表!AS38)</f>
        <v>0</v>
      </c>
      <c r="AT70" s="495">
        <f>IF(ISERROR(-资产预测!U163-利润表!AT38),0,-资产预测!U163-利润表!AT38)</f>
        <v>0</v>
      </c>
      <c r="AU70" s="388"/>
      <c r="AV70" s="388"/>
      <c r="AW70" s="388"/>
    </row>
    <row r="71" spans="2:49" ht="15" customHeight="1">
      <c r="C71" s="150" t="s">
        <v>514</v>
      </c>
      <c r="E71" s="495">
        <f>(财务基础数据!J221-财务基础数据!J233)*目录!$D$6</f>
        <v>0</v>
      </c>
      <c r="F71" s="495">
        <f>(财务基础数据!K221-财务基础数据!K233)*目录!$D$6</f>
        <v>0</v>
      </c>
      <c r="G71" s="495">
        <f>(财务基础数据!L221-财务基础数据!L233)*目录!$D$6</f>
        <v>0</v>
      </c>
      <c r="H71" s="495">
        <f>(财务基础数据!M221-财务基础数据!M233)*目录!$D$6</f>
        <v>0</v>
      </c>
      <c r="I71" s="495">
        <f>(财务基础数据!N221-财务基础数据!N233)*目录!$D$6</f>
        <v>0</v>
      </c>
      <c r="J71" s="495">
        <f>(财务基础数据!O221-财务基础数据!O233)*目录!$D$6</f>
        <v>0</v>
      </c>
      <c r="K71" s="495">
        <f>(财务基础数据!P221-财务基础数据!P233)*目录!$D$6</f>
        <v>0</v>
      </c>
      <c r="L71" s="495">
        <f>(财务基础数据!Q221-财务基础数据!Q233)*目录!$D$6</f>
        <v>0</v>
      </c>
      <c r="M71" s="495">
        <f>(财务基础数据!R221-财务基础数据!R233)*目录!$D$6</f>
        <v>0</v>
      </c>
      <c r="N71" s="495">
        <f>(财务基础数据!S221-财务基础数据!S233)*目录!$D$6</f>
        <v>0</v>
      </c>
      <c r="O71" s="495">
        <f>(财务基础数据!T221-财务基础数据!T233)*目录!$D$6</f>
        <v>0</v>
      </c>
      <c r="P71" s="495">
        <f>(财务基础数据!U221-财务基础数据!U233)*目录!$D$6</f>
        <v>0</v>
      </c>
      <c r="Q71" s="495">
        <f>(财务基础数据!V221-财务基础数据!V233)*目录!$D$6</f>
        <v>0</v>
      </c>
      <c r="R71" s="495">
        <f>(财务基础数据!W221-财务基础数据!W233)*目录!$D$6</f>
        <v>0</v>
      </c>
      <c r="S71" s="495">
        <f>(财务基础数据!X221-财务基础数据!X233)*目录!$D$6</f>
        <v>0</v>
      </c>
      <c r="T71" s="495">
        <f>(财务基础数据!Y221-财务基础数据!Y233)*目录!$D$6</f>
        <v>0</v>
      </c>
      <c r="U71" s="495">
        <f>(财务基础数据!Z221-财务基础数据!Z233)*目录!$D$6</f>
        <v>0</v>
      </c>
      <c r="V71" s="495">
        <f>(财务基础数据!AA221-财务基础数据!AA233)*目录!$D$6</f>
        <v>0</v>
      </c>
      <c r="W71" s="495">
        <f>(财务基础数据!AB221-财务基础数据!AB233)*目录!$D$6</f>
        <v>0</v>
      </c>
      <c r="X71" s="495">
        <f>(财务基础数据!AC221-财务基础数据!AC233)*目录!$D$6</f>
        <v>0</v>
      </c>
      <c r="Y71" s="495">
        <f>(财务基础数据!AD221-财务基础数据!AD233)*目录!$D$6</f>
        <v>0</v>
      </c>
      <c r="Z71" s="495">
        <f>(财务基础数据!AE221-财务基础数据!AE233)*目录!$D$6</f>
        <v>0</v>
      </c>
      <c r="AA71" s="495">
        <f>(财务基础数据!AF221-财务基础数据!AF233)*目录!$D$6</f>
        <v>0</v>
      </c>
      <c r="AB71" s="495">
        <f>(财务基础数据!AG221-财务基础数据!AG233)*目录!$D$6</f>
        <v>0</v>
      </c>
      <c r="AC71" s="495">
        <f>(财务基础数据!AH221-财务基础数据!AH233)*目录!$D$6</f>
        <v>0</v>
      </c>
      <c r="AD71" s="495">
        <f>(财务基础数据!AI221-财务基础数据!AI233)*目录!$D$6</f>
        <v>0</v>
      </c>
      <c r="AE71" s="495">
        <f>(财务基础数据!AJ221-财务基础数据!AJ233)*目录!$D$6</f>
        <v>0</v>
      </c>
      <c r="AF71" s="495">
        <f>(财务基础数据!AK221-财务基础数据!AK233)*目录!$D$6</f>
        <v>0</v>
      </c>
      <c r="AG71" s="495">
        <f>(财务基础数据!AL221-财务基础数据!AL233)*目录!$D$6</f>
        <v>0</v>
      </c>
      <c r="AH71" s="495">
        <f>(财务基础数据!AM221-财务基础数据!AM233)*目录!$D$6</f>
        <v>0</v>
      </c>
      <c r="AI71" s="495">
        <f>(财务基础数据!AN221-财务基础数据!AN233)*目录!$D$6</f>
        <v>0</v>
      </c>
      <c r="AJ71" s="495">
        <f>(财务基础数据!AO221-财务基础数据!AO233)*目录!$D$6</f>
        <v>0</v>
      </c>
      <c r="AK71" s="9">
        <f>IF(ISERROR(资产负债表!AK84-资产负债表!AG84+资产负债表!AK88-资产负债表!AG88+资产负债表!AK85-资产负债表!AG85+资产负债表!AK69-资产负债表!AG69+资产负债表!AK70-资产负债表!AG70+资产负债表!AK72-资产负债表!AG72+资产负债表!AK79-资产负债表!AG79+资产预测!L93),"—",资产负债表!AK84-资产负债表!AG84+资产负债表!AK88-资产负债表!AG88+资产负债表!AK85-资产负债表!AG85+资产负债表!AK69-资产负债表!AG69+资产负债表!AK70-资产负债表!AG70+资产负债表!AK72-资产负债表!AG72+资产负债表!AK79-资产负债表!AG79+资产预测!L93)-资产预测!L149-资产预测!L147-资产预测!L148</f>
        <v>0</v>
      </c>
      <c r="AL71" s="495">
        <f>IF(ISERROR(资产负债表!AL84-资产负债表!AK84+资产负债表!AL88-资产负债表!AK88+资产负债表!AL85-资产负债表!AK85+资产负债表!AL69-资产负债表!AK69+资产负债表!AL70-资产负债表!AK70+资产负债表!AL72-资产负债表!AK72+资产负债表!AL79-资产负债表!AK79+资产预测!M93),"—",资产负债表!AL84-资产负债表!AK84+资产负债表!AL88-资产负债表!AK88+资产负债表!AL85-资产负债表!AK85+资产负债表!AL69-资产负债表!AK69+资产负债表!AL70-资产负债表!AK70+资产负债表!AL72-资产负债表!AK72+资产负债表!AL79-资产负债表!AK79+资产预测!M93)-资产预测!M149-资产预测!M147-资产预测!M148</f>
        <v>0</v>
      </c>
      <c r="AM71" s="495">
        <f>IF(ISERROR(资产负债表!AM84-资产负债表!AL84+资产负债表!AM88-资产负债表!AL88+资产负债表!AM85-资产负债表!AL85+资产负债表!AM69-资产负债表!AL69+资产负债表!AM70-资产负债表!AL70+资产负债表!AM72-资产负债表!AL72+资产负债表!AM79-资产负债表!AL79+资产预测!N93),"—",资产负债表!AM84-资产负债表!AL84+资产负债表!AM88-资产负债表!AL88+资产负债表!AM85-资产负债表!AL85+资产负债表!AM69-资产负债表!AL69+资产负债表!AM70-资产负债表!AL70+资产负债表!AM72-资产负债表!AL72+资产负债表!AM79-资产负债表!AL79+资产预测!N93)-资产预测!N149-资产预测!N147-资产预测!N148</f>
        <v>0</v>
      </c>
      <c r="AN71" s="495">
        <f>IF(ISERROR(资产负债表!AN84-资产负债表!AM84+资产负债表!AN88-资产负债表!AM88+资产负债表!AN85-资产负债表!AM85+资产负债表!AN69-资产负债表!AM69+资产负债表!AN70-资产负债表!AM70+资产负债表!AN72-资产负债表!AM72+资产负债表!AN79-资产负债表!AM79+资产预测!O93),"—",资产负债表!AN84-资产负债表!AM84+资产负债表!AN88-资产负债表!AM88+资产负债表!AN85-资产负债表!AM85+资产负债表!AN69-资产负债表!AM69+资产负债表!AN70-资产负债表!AM70+资产负债表!AN72-资产负债表!AM72+资产负债表!AN79-资产负债表!AM79+资产预测!O93)-资产预测!O149-资产预测!O147-资产预测!O148</f>
        <v>0</v>
      </c>
      <c r="AO71" s="495">
        <f>IF(ISERROR(资产负债表!AO84-资产负债表!AN84+资产负债表!AO88-资产负债表!AN88+资产负债表!AO85-资产负债表!AN85+资产负债表!AO69-资产负债表!AN69+资产负债表!AO70-资产负债表!AN70+资产负债表!AO72-资产负债表!AN72+资产负债表!AO79-资产负债表!AN79+资产预测!P93),"—",资产负债表!AO84-资产负债表!AN84+资产负债表!AO88-资产负债表!AN88+资产负债表!AO85-资产负债表!AN85+资产负债表!AO69-资产负债表!AN69+资产负债表!AO70-资产负债表!AN70+资产负债表!AO72-资产负债表!AN72+资产负债表!AO79-资产负债表!AN79+资产预测!P93)-资产预测!P149-资产预测!P147-资产预测!P148</f>
        <v>0</v>
      </c>
      <c r="AP71" s="495">
        <f>IF(ISERROR(资产负债表!AP84-资产负债表!AO84+资产负债表!AP88-资产负债表!AO88+资产负债表!AP85-资产负债表!AO85+资产负债表!AP69-资产负债表!AO69+资产负债表!AP70-资产负债表!AO70+资产负债表!AP72-资产负债表!AO72+资产负债表!AP79-资产负债表!AO79+资产预测!Q93),"—",资产负债表!AP84-资产负债表!AO84+资产负债表!AP88-资产负债表!AO88+资产负债表!AP85-资产负债表!AO85+资产负债表!AP69-资产负债表!AO69+资产负债表!AP70-资产负债表!AO70+资产负债表!AP72-资产负债表!AO72+资产负债表!AP79-资产负债表!AO79+资产预测!Q93)-资产预测!Q149-资产预测!Q147-资产预测!Q148</f>
        <v>0</v>
      </c>
      <c r="AQ71" s="495">
        <f>IF(ISERROR(资产负债表!AQ84-资产负债表!AP84+资产负债表!AQ88-资产负债表!AP88+资产负债表!AQ85-资产负债表!AP85+资产负债表!AQ69-资产负债表!AP69+资产负债表!AQ70-资产负债表!AP70+资产负债表!AQ72-资产负债表!AP72+资产负债表!AQ79-资产负债表!AP79+资产预测!R93),"—",资产负债表!AQ84-资产负债表!AP84+资产负债表!AQ88-资产负债表!AP88+资产负债表!AQ85-资产负债表!AP85+资产负债表!AQ69-资产负债表!AP69+资产负债表!AQ70-资产负债表!AP70+资产负债表!AQ72-资产负债表!AP72+资产负债表!AQ79-资产负债表!AP79+资产预测!R93)-资产预测!R149-资产预测!R147-资产预测!R148</f>
        <v>0</v>
      </c>
      <c r="AR71" s="495">
        <f>IF(ISERROR(资产负债表!AR84-资产负债表!AQ84+资产负债表!AR88-资产负债表!AQ88+资产负债表!AR85-资产负债表!AQ85+资产负债表!AR69-资产负债表!AQ69+资产负债表!AR70-资产负债表!AQ70+资产负债表!AR72-资产负债表!AQ72+资产负债表!AR79-资产负债表!AQ79+资产预测!S93),"—",资产负债表!AR84-资产负债表!AQ84+资产负债表!AR88-资产负债表!AQ88+资产负债表!AR85-资产负债表!AQ85+资产负债表!AR69-资产负债表!AQ69+资产负债表!AR70-资产负债表!AQ70+资产负债表!AR72-资产负债表!AQ72+资产负债表!AR79-资产负债表!AQ79+资产预测!S93)-资产预测!S149-资产预测!S147-资产预测!S148</f>
        <v>0</v>
      </c>
      <c r="AS71" s="495">
        <f>IF(ISERROR(资产负债表!AS84-资产负债表!AR84+资产负债表!AS88-资产负债表!AR88+资产负债表!AS85-资产负债表!AR85+资产负债表!AS69-资产负债表!AR69+资产负债表!AS70-资产负债表!AR70+资产负债表!AS72-资产负债表!AR72+资产负债表!AS79-资产负债表!AR79+资产预测!T93),"—",资产负债表!AS84-资产负债表!AR84+资产负债表!AS88-资产负债表!AR88+资产负债表!AS85-资产负债表!AR85+资产负债表!AS69-资产负债表!AR69+资产负债表!AS70-资产负债表!AR70+资产负债表!AS72-资产负债表!AR72+资产负债表!AS79-资产负债表!AR79+资产预测!T93)-资产预测!T149-资产预测!T147-资产预测!T148</f>
        <v>0</v>
      </c>
      <c r="AT71" s="495">
        <f>IF(ISERROR(资产负债表!AT84-资产负债表!AS84+资产负债表!AT88-资产负债表!AS88+资产负债表!AT85-资产负债表!AS85+资产负债表!AT69-资产负债表!AS69+资产负债表!AT70-资产负债表!AS70+资产负债表!AT72-资产负债表!AS72+资产负债表!AT79-资产负债表!AS79+资产预测!U93),"—",资产负债表!AT84-资产负债表!AS84+资产负债表!AT88-资产负债表!AS88+资产负债表!AT85-资产负债表!AS85+资产负债表!AT69-资产负债表!AS69+资产负债表!AT70-资产负债表!AS70+资产负债表!AT72-资产负债表!AS72+资产负债表!AT79-资产负债表!AS79+资产预测!U93)-资产预测!U149-资产预测!U147-资产预测!U148</f>
        <v>0</v>
      </c>
      <c r="AU71" s="495"/>
      <c r="AV71" s="388"/>
      <c r="AW71" s="388"/>
    </row>
    <row r="72" spans="2:49" ht="15" customHeight="1">
      <c r="B72" s="385" t="s">
        <v>524</v>
      </c>
      <c r="C72" s="392"/>
      <c r="D72" s="385"/>
      <c r="E72" s="1112">
        <f>(财务基础数据!J235)*目录!$D$6</f>
        <v>0</v>
      </c>
      <c r="F72" s="1112">
        <f>(财务基础数据!K235)*目录!$D$6</f>
        <v>0</v>
      </c>
      <c r="G72" s="1112">
        <f>(财务基础数据!L235)*目录!$D$6</f>
        <v>0</v>
      </c>
      <c r="H72" s="1112">
        <f>(财务基础数据!M235)*目录!$D$6</f>
        <v>0</v>
      </c>
      <c r="I72" s="1112">
        <f>(财务基础数据!N235)*目录!$D$6</f>
        <v>0</v>
      </c>
      <c r="J72" s="1112">
        <f>(财务基础数据!O235)*目录!$D$6</f>
        <v>0</v>
      </c>
      <c r="K72" s="1112">
        <f>(财务基础数据!P235)*目录!$D$6</f>
        <v>0</v>
      </c>
      <c r="L72" s="1112">
        <f>(财务基础数据!Q235)*目录!$D$6</f>
        <v>0</v>
      </c>
      <c r="M72" s="1112">
        <f>(财务基础数据!R235)*目录!$D$6</f>
        <v>0</v>
      </c>
      <c r="N72" s="1112">
        <f>(财务基础数据!S235)*目录!$D$6</f>
        <v>0</v>
      </c>
      <c r="O72" s="1112">
        <f>(财务基础数据!T235)*目录!$D$6</f>
        <v>0</v>
      </c>
      <c r="P72" s="1112">
        <f>(财务基础数据!U235)*目录!$D$6</f>
        <v>0</v>
      </c>
      <c r="Q72" s="1112">
        <f>(财务基础数据!V235)*目录!$D$6</f>
        <v>0</v>
      </c>
      <c r="R72" s="1112">
        <f>(财务基础数据!W235)*目录!$D$6</f>
        <v>0</v>
      </c>
      <c r="S72" s="1112">
        <f>(财务基础数据!X235)*目录!$D$6</f>
        <v>0</v>
      </c>
      <c r="T72" s="1112">
        <f>(财务基础数据!Y235)*目录!$D$6</f>
        <v>0</v>
      </c>
      <c r="U72" s="1112">
        <f>(财务基础数据!Z235)*目录!$D$6</f>
        <v>0</v>
      </c>
      <c r="V72" s="1112">
        <f>(财务基础数据!AA235)*目录!$D$6</f>
        <v>0</v>
      </c>
      <c r="W72" s="1112">
        <f>(财务基础数据!AB235)*目录!$D$6</f>
        <v>0</v>
      </c>
      <c r="X72" s="1112">
        <f>(财务基础数据!AC235)*目录!$D$6</f>
        <v>0</v>
      </c>
      <c r="Y72" s="1112">
        <f>(财务基础数据!AD235)*目录!$D$6</f>
        <v>0</v>
      </c>
      <c r="Z72" s="1112">
        <f>(财务基础数据!AE235)*目录!$D$6</f>
        <v>0</v>
      </c>
      <c r="AA72" s="1112">
        <f>(财务基础数据!AF235)*目录!$D$6</f>
        <v>0</v>
      </c>
      <c r="AB72" s="1112">
        <f>(财务基础数据!AG235)*目录!$D$6</f>
        <v>0</v>
      </c>
      <c r="AC72" s="1112">
        <f>(财务基础数据!AH235)*目录!$D$6</f>
        <v>0</v>
      </c>
      <c r="AD72" s="1112">
        <f>(财务基础数据!AI235)*目录!$D$6</f>
        <v>0</v>
      </c>
      <c r="AE72" s="1112">
        <f>(财务基础数据!AJ235)*目录!$D$6</f>
        <v>0</v>
      </c>
      <c r="AF72" s="1112">
        <f>(财务基础数据!AK235)*目录!$D$6</f>
        <v>0</v>
      </c>
      <c r="AG72" s="1112">
        <f>(财务基础数据!AL235)*目录!$D$6</f>
        <v>0</v>
      </c>
      <c r="AH72" s="1112">
        <f>(财务基础数据!AM235)*目录!$D$6</f>
        <v>0</v>
      </c>
      <c r="AI72" s="1112">
        <f>(财务基础数据!AN235)*目录!$D$6</f>
        <v>0</v>
      </c>
      <c r="AJ72" s="1112">
        <f>(财务基础数据!AO235)*目录!$D$6</f>
        <v>0</v>
      </c>
      <c r="AK72" s="1112">
        <f>IF(ISERROR(AK61+AK62+AK70+AK71),"—",AK61+AK62+AK70+AK71)</f>
        <v>0</v>
      </c>
      <c r="AL72" s="1112">
        <f t="shared" ref="AL72:AT72" si="15">IF(ISERROR(AL61+AL62+AL70+AL71),"—",AL61+AL62+AL70+AL71)</f>
        <v>0</v>
      </c>
      <c r="AM72" s="1112">
        <f t="shared" si="15"/>
        <v>0</v>
      </c>
      <c r="AN72" s="1112">
        <f t="shared" si="15"/>
        <v>0</v>
      </c>
      <c r="AO72" s="1112">
        <f t="shared" si="15"/>
        <v>0</v>
      </c>
      <c r="AP72" s="1112">
        <f t="shared" si="15"/>
        <v>0</v>
      </c>
      <c r="AQ72" s="1112">
        <f t="shared" si="15"/>
        <v>0</v>
      </c>
      <c r="AR72" s="1112">
        <f t="shared" si="15"/>
        <v>0</v>
      </c>
      <c r="AS72" s="1112">
        <f t="shared" si="15"/>
        <v>0</v>
      </c>
      <c r="AT72" s="1112">
        <f t="shared" si="15"/>
        <v>0</v>
      </c>
      <c r="AU72" s="388"/>
      <c r="AV72" s="388"/>
      <c r="AW72" s="388"/>
    </row>
    <row r="73" spans="2:49" s="30" customFormat="1" ht="15" customHeight="1">
      <c r="B73" s="381"/>
      <c r="C73" s="150"/>
      <c r="D73" s="38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391"/>
      <c r="AV73" s="391"/>
      <c r="AW73" s="391"/>
    </row>
    <row r="74" spans="2:49" ht="15" customHeight="1">
      <c r="B74" s="373" t="s">
        <v>525</v>
      </c>
      <c r="C74" s="97"/>
      <c r="D74" s="393"/>
      <c r="E74" s="495">
        <f>财务基础数据!J236*目录!$D$6</f>
        <v>0</v>
      </c>
      <c r="F74" s="495">
        <f>财务基础数据!K236*目录!$D$6</f>
        <v>0</v>
      </c>
      <c r="G74" s="495">
        <f>财务基础数据!L236*目录!$D$6</f>
        <v>0</v>
      </c>
      <c r="H74" s="495">
        <f>财务基础数据!M236*目录!$D$6</f>
        <v>0</v>
      </c>
      <c r="I74" s="495">
        <f>财务基础数据!N236*目录!$D$6</f>
        <v>0</v>
      </c>
      <c r="J74" s="495">
        <f>财务基础数据!O236*目录!$D$6</f>
        <v>0</v>
      </c>
      <c r="K74" s="495">
        <f>财务基础数据!P236*目录!$D$6</f>
        <v>0</v>
      </c>
      <c r="L74" s="495">
        <f>财务基础数据!Q236*目录!$D$6</f>
        <v>0</v>
      </c>
      <c r="M74" s="495">
        <f>财务基础数据!R236*目录!$D$6</f>
        <v>0</v>
      </c>
      <c r="N74" s="495">
        <f>财务基础数据!S236*目录!$D$6</f>
        <v>0</v>
      </c>
      <c r="O74" s="495">
        <f>财务基础数据!T236*目录!$D$6</f>
        <v>0</v>
      </c>
      <c r="P74" s="495">
        <f>财务基础数据!U236*目录!$D$6</f>
        <v>0</v>
      </c>
      <c r="Q74" s="495">
        <f>财务基础数据!V236*目录!$D$6</f>
        <v>0</v>
      </c>
      <c r="R74" s="495">
        <f>财务基础数据!W236*目录!$D$6</f>
        <v>0</v>
      </c>
      <c r="S74" s="495">
        <f>财务基础数据!X236*目录!$D$6</f>
        <v>0</v>
      </c>
      <c r="T74" s="495">
        <f>财务基础数据!Y236*目录!$D$6</f>
        <v>0</v>
      </c>
      <c r="U74" s="495">
        <f>财务基础数据!Z236*目录!$D$6</f>
        <v>0</v>
      </c>
      <c r="V74" s="495">
        <f>财务基础数据!AA236*目录!$D$6</f>
        <v>0</v>
      </c>
      <c r="W74" s="495">
        <f>财务基础数据!AB236*目录!$D$6</f>
        <v>0</v>
      </c>
      <c r="X74" s="495">
        <f>财务基础数据!AC236*目录!$D$6</f>
        <v>0</v>
      </c>
      <c r="Y74" s="495">
        <f>财务基础数据!AD236*目录!$D$6</f>
        <v>0</v>
      </c>
      <c r="Z74" s="495">
        <f>财务基础数据!AE236*目录!$D$6</f>
        <v>0</v>
      </c>
      <c r="AA74" s="495">
        <f>财务基础数据!AF236*目录!$D$6</f>
        <v>0</v>
      </c>
      <c r="AB74" s="495">
        <f>财务基础数据!AG236*目录!$D$6</f>
        <v>0</v>
      </c>
      <c r="AC74" s="495">
        <f>财务基础数据!AH236*目录!$D$6</f>
        <v>0</v>
      </c>
      <c r="AD74" s="495">
        <f>财务基础数据!AI236*目录!$D$6</f>
        <v>0</v>
      </c>
      <c r="AE74" s="495">
        <f>财务基础数据!AJ236*目录!$D$6</f>
        <v>0</v>
      </c>
      <c r="AF74" s="495">
        <f>财务基础数据!AK236*目录!$D$6</f>
        <v>0</v>
      </c>
      <c r="AG74" s="495">
        <f>财务基础数据!AL236*目录!$D$6</f>
        <v>0</v>
      </c>
      <c r="AH74" s="495">
        <f>财务基础数据!AM236*目录!$D$6</f>
        <v>0</v>
      </c>
      <c r="AI74" s="495">
        <f>财务基础数据!AN236*目录!$D$6</f>
        <v>0</v>
      </c>
      <c r="AJ74" s="495">
        <f>财务基础数据!AO236*目录!$D$6</f>
        <v>0</v>
      </c>
      <c r="AK74" s="1117">
        <f>IF(财务基础数据!$AM$4=0,AG74,IF(财务基础数据!$AM$4=1,AH74,IF(财务基础数据!$AM$4=2,AI74,AJ74)))</f>
        <v>0</v>
      </c>
      <c r="AL74" s="1117"/>
      <c r="AM74" s="1117"/>
      <c r="AN74" s="1117"/>
      <c r="AO74" s="1117"/>
      <c r="AP74" s="1117"/>
      <c r="AQ74" s="1117"/>
      <c r="AR74" s="1117"/>
      <c r="AS74" s="1117"/>
      <c r="AT74" s="1117"/>
      <c r="AU74" s="388"/>
      <c r="AV74" s="388"/>
      <c r="AW74" s="388"/>
    </row>
    <row r="75" spans="2:49" ht="15" customHeight="1">
      <c r="C75" s="97"/>
      <c r="E75" s="573"/>
      <c r="F75" s="573"/>
      <c r="G75" s="573"/>
      <c r="H75" s="573"/>
      <c r="I75" s="573"/>
      <c r="J75" s="573"/>
      <c r="K75" s="573"/>
      <c r="L75" s="573"/>
      <c r="M75" s="573"/>
      <c r="N75" s="573"/>
      <c r="O75" s="573"/>
      <c r="P75" s="573"/>
      <c r="Q75" s="573"/>
      <c r="R75" s="573"/>
      <c r="S75" s="573"/>
      <c r="T75" s="573"/>
      <c r="U75" s="573"/>
      <c r="V75" s="573"/>
      <c r="W75" s="573"/>
      <c r="X75" s="573"/>
      <c r="Y75" s="573"/>
      <c r="Z75" s="573"/>
      <c r="AA75" s="573"/>
      <c r="AB75" s="573"/>
      <c r="AC75" s="573"/>
      <c r="AD75" s="573"/>
      <c r="AE75" s="573"/>
      <c r="AF75" s="573"/>
      <c r="AG75" s="573"/>
      <c r="AH75" s="573"/>
      <c r="AI75" s="573"/>
      <c r="AJ75" s="573"/>
      <c r="AK75" s="1118"/>
      <c r="AL75" s="573"/>
      <c r="AM75" s="573"/>
      <c r="AN75" s="495"/>
      <c r="AO75" s="573"/>
      <c r="AP75" s="573"/>
      <c r="AQ75" s="573"/>
      <c r="AR75" s="573"/>
      <c r="AS75" s="573"/>
      <c r="AT75" s="573"/>
      <c r="AU75" s="388"/>
      <c r="AV75" s="388"/>
      <c r="AW75" s="388"/>
    </row>
    <row r="76" spans="2:49" ht="15" customHeight="1">
      <c r="B76" s="373" t="s">
        <v>526</v>
      </c>
      <c r="C76" s="97"/>
      <c r="E76" s="495">
        <f>财务基础数据!J237*目录!$D$6</f>
        <v>0</v>
      </c>
      <c r="F76" s="495">
        <f>财务基础数据!K237*目录!$D$6</f>
        <v>0</v>
      </c>
      <c r="G76" s="495">
        <f>财务基础数据!L237*目录!$D$6</f>
        <v>0</v>
      </c>
      <c r="H76" s="495">
        <f>财务基础数据!M237*目录!$D$6</f>
        <v>0</v>
      </c>
      <c r="I76" s="495">
        <f>财务基础数据!N237*目录!$D$6</f>
        <v>0</v>
      </c>
      <c r="J76" s="495">
        <f>财务基础数据!O237*目录!$D$6</f>
        <v>0</v>
      </c>
      <c r="K76" s="495">
        <f>财务基础数据!P237*目录!$D$6</f>
        <v>0</v>
      </c>
      <c r="L76" s="495">
        <f>财务基础数据!Q237*目录!$D$6</f>
        <v>0</v>
      </c>
      <c r="M76" s="495">
        <f>财务基础数据!R237*目录!$D$6</f>
        <v>0</v>
      </c>
      <c r="N76" s="495">
        <f>财务基础数据!S237*目录!$D$6</f>
        <v>0</v>
      </c>
      <c r="O76" s="495">
        <f>财务基础数据!T237*目录!$D$6</f>
        <v>0</v>
      </c>
      <c r="P76" s="495">
        <f>财务基础数据!U237*目录!$D$6</f>
        <v>0</v>
      </c>
      <c r="Q76" s="495">
        <f>财务基础数据!V237*目录!$D$6</f>
        <v>0</v>
      </c>
      <c r="R76" s="495">
        <f>财务基础数据!W237*目录!$D$6</f>
        <v>0</v>
      </c>
      <c r="S76" s="495">
        <f>财务基础数据!X237*目录!$D$6</f>
        <v>0</v>
      </c>
      <c r="T76" s="495">
        <f>财务基础数据!Y237*目录!$D$6</f>
        <v>0</v>
      </c>
      <c r="U76" s="495">
        <f>财务基础数据!Z237*目录!$D$6</f>
        <v>0</v>
      </c>
      <c r="V76" s="495">
        <f>财务基础数据!AA237*目录!$D$6</f>
        <v>0</v>
      </c>
      <c r="W76" s="495">
        <f>财务基础数据!AB237*目录!$D$6</f>
        <v>0</v>
      </c>
      <c r="X76" s="495">
        <f>财务基础数据!AC237*目录!$D$6</f>
        <v>0</v>
      </c>
      <c r="Y76" s="495">
        <f>财务基础数据!AD237*目录!$D$6</f>
        <v>0</v>
      </c>
      <c r="Z76" s="495">
        <f>财务基础数据!AE237*目录!$D$6</f>
        <v>0</v>
      </c>
      <c r="AA76" s="495">
        <f>财务基础数据!AF237*目录!$D$6</f>
        <v>0</v>
      </c>
      <c r="AB76" s="495">
        <f>财务基础数据!AG237*目录!$D$6</f>
        <v>0</v>
      </c>
      <c r="AC76" s="495">
        <f>财务基础数据!AH237*目录!$D$6</f>
        <v>0</v>
      </c>
      <c r="AD76" s="495">
        <f>财务基础数据!AI237*目录!$D$6</f>
        <v>0</v>
      </c>
      <c r="AE76" s="495">
        <f>财务基础数据!AJ237*目录!$D$6</f>
        <v>0</v>
      </c>
      <c r="AF76" s="495">
        <f>财务基础数据!AK237*目录!$D$6</f>
        <v>0</v>
      </c>
      <c r="AG76" s="495">
        <f>财务基础数据!AL237*目录!$D$6</f>
        <v>0</v>
      </c>
      <c r="AH76" s="495">
        <f>财务基础数据!AM237*目录!$D$6</f>
        <v>0</v>
      </c>
      <c r="AI76" s="495">
        <f>财务基础数据!AN237*目录!$D$6</f>
        <v>0</v>
      </c>
      <c r="AJ76" s="495">
        <f>财务基础数据!AO237*目录!$D$6</f>
        <v>0</v>
      </c>
      <c r="AK76" s="495">
        <f t="shared" ref="AK76:AT76" si="16">IF(ISERROR(AK36+AK58+AK72+AK74),"—",AK36+AK58+AK72+AK74)</f>
        <v>0</v>
      </c>
      <c r="AL76" s="495">
        <f t="shared" si="16"/>
        <v>0</v>
      </c>
      <c r="AM76" s="495">
        <f t="shared" si="16"/>
        <v>0</v>
      </c>
      <c r="AN76" s="495">
        <f t="shared" si="16"/>
        <v>0</v>
      </c>
      <c r="AO76" s="495">
        <f t="shared" si="16"/>
        <v>0</v>
      </c>
      <c r="AP76" s="495">
        <f t="shared" si="16"/>
        <v>0</v>
      </c>
      <c r="AQ76" s="495">
        <f t="shared" si="16"/>
        <v>0</v>
      </c>
      <c r="AR76" s="495">
        <f t="shared" si="16"/>
        <v>0</v>
      </c>
      <c r="AS76" s="495">
        <f t="shared" si="16"/>
        <v>0</v>
      </c>
      <c r="AT76" s="495">
        <f t="shared" si="16"/>
        <v>0</v>
      </c>
      <c r="AU76" s="388"/>
      <c r="AV76" s="388"/>
      <c r="AW76" s="388"/>
    </row>
    <row r="77" spans="2:49" ht="15" customHeight="1">
      <c r="C77" s="97"/>
      <c r="E77" s="495"/>
      <c r="F77" s="495"/>
      <c r="G77" s="495"/>
      <c r="H77" s="495"/>
      <c r="I77" s="495"/>
      <c r="J77" s="495"/>
      <c r="K77" s="495"/>
      <c r="L77" s="495"/>
      <c r="M77" s="495"/>
      <c r="N77" s="495"/>
      <c r="O77" s="495"/>
      <c r="P77" s="495"/>
      <c r="Q77" s="495"/>
      <c r="R77" s="495"/>
      <c r="S77" s="495"/>
      <c r="T77" s="495"/>
      <c r="U77" s="495"/>
      <c r="V77" s="495"/>
      <c r="W77" s="495"/>
      <c r="X77" s="495"/>
      <c r="Y77" s="495"/>
      <c r="Z77" s="495"/>
      <c r="AA77" s="495"/>
      <c r="AB77" s="495"/>
      <c r="AC77" s="495"/>
      <c r="AD77" s="495"/>
      <c r="AE77" s="495"/>
      <c r="AF77" s="495"/>
      <c r="AG77" s="495"/>
      <c r="AH77" s="495"/>
      <c r="AI77" s="495"/>
      <c r="AJ77" s="495"/>
      <c r="AK77" s="495"/>
      <c r="AL77" s="495"/>
      <c r="AM77" s="495"/>
      <c r="AN77" s="495"/>
      <c r="AO77" s="495"/>
      <c r="AP77" s="495"/>
      <c r="AQ77" s="495"/>
      <c r="AR77" s="495"/>
      <c r="AS77" s="495"/>
      <c r="AT77" s="495"/>
      <c r="AU77" s="388"/>
      <c r="AV77" s="388"/>
      <c r="AW77" s="388"/>
    </row>
    <row r="78" spans="2:49" s="30" customFormat="1" ht="15" customHeight="1">
      <c r="B78" s="381" t="s">
        <v>527</v>
      </c>
      <c r="C78" s="150"/>
      <c r="D78" s="381"/>
      <c r="E78" s="9">
        <f>财务基础数据!J238*目录!$D$6</f>
        <v>0</v>
      </c>
      <c r="F78" s="9">
        <f>财务基础数据!K238*目录!$D$6</f>
        <v>0</v>
      </c>
      <c r="G78" s="9">
        <f>财务基础数据!L238*目录!$D$6</f>
        <v>0</v>
      </c>
      <c r="H78" s="9">
        <f>财务基础数据!M238*目录!$D$6</f>
        <v>0</v>
      </c>
      <c r="I78" s="9">
        <f>财务基础数据!N238*目录!$D$6</f>
        <v>0</v>
      </c>
      <c r="J78" s="9">
        <f>财务基础数据!O238*目录!$D$6</f>
        <v>0</v>
      </c>
      <c r="K78" s="9">
        <f>财务基础数据!P238*目录!$D$6</f>
        <v>0</v>
      </c>
      <c r="L78" s="9">
        <f>财务基础数据!Q238*目录!$D$6</f>
        <v>0</v>
      </c>
      <c r="M78" s="9">
        <f>财务基础数据!R238*目录!$D$6</f>
        <v>0</v>
      </c>
      <c r="N78" s="9">
        <f>财务基础数据!S238*目录!$D$6</f>
        <v>0</v>
      </c>
      <c r="O78" s="9">
        <f>财务基础数据!T238*目录!$D$6</f>
        <v>0</v>
      </c>
      <c r="P78" s="9">
        <f>财务基础数据!U238*目录!$D$6</f>
        <v>0</v>
      </c>
      <c r="Q78" s="9">
        <f>财务基础数据!V238*目录!$D$6</f>
        <v>0</v>
      </c>
      <c r="R78" s="9">
        <f>财务基础数据!W238*目录!$D$6</f>
        <v>0</v>
      </c>
      <c r="S78" s="9">
        <f>财务基础数据!X238*目录!$D$6</f>
        <v>0</v>
      </c>
      <c r="T78" s="9">
        <f>财务基础数据!Y238*目录!$D$6</f>
        <v>0</v>
      </c>
      <c r="U78" s="9">
        <f>财务基础数据!Z238*目录!$D$6</f>
        <v>0</v>
      </c>
      <c r="V78" s="9">
        <f>财务基础数据!AA238*目录!$D$6</f>
        <v>0</v>
      </c>
      <c r="W78" s="9">
        <f>财务基础数据!AB238*目录!$D$6</f>
        <v>0</v>
      </c>
      <c r="X78" s="9">
        <f>财务基础数据!AC238*目录!$D$6</f>
        <v>0</v>
      </c>
      <c r="Y78" s="9">
        <f>财务基础数据!AD238*目录!$D$6</f>
        <v>0</v>
      </c>
      <c r="Z78" s="9">
        <f>财务基础数据!AE238*目录!$D$6</f>
        <v>0</v>
      </c>
      <c r="AA78" s="9">
        <f>财务基础数据!AF238*目录!$D$6</f>
        <v>0</v>
      </c>
      <c r="AB78" s="9">
        <f>财务基础数据!AG238*目录!$D$6</f>
        <v>0</v>
      </c>
      <c r="AC78" s="9">
        <f>财务基础数据!AH238*目录!$D$6</f>
        <v>0</v>
      </c>
      <c r="AD78" s="9">
        <f>财务基础数据!AI238*目录!$D$6</f>
        <v>0</v>
      </c>
      <c r="AE78" s="9">
        <f>财务基础数据!AJ238*目录!$D$6</f>
        <v>0</v>
      </c>
      <c r="AF78" s="9">
        <f>财务基础数据!AK238*目录!$D$6</f>
        <v>0</v>
      </c>
      <c r="AG78" s="9">
        <f>财务基础数据!AL238*目录!$D$6</f>
        <v>0</v>
      </c>
      <c r="AH78" s="9">
        <f>财务基础数据!AM238*目录!$D$6</f>
        <v>0</v>
      </c>
      <c r="AI78" s="9">
        <f>财务基础数据!AN238*目录!$D$6</f>
        <v>0</v>
      </c>
      <c r="AJ78" s="9">
        <f>财务基础数据!AO238*目录!$D$6</f>
        <v>0</v>
      </c>
      <c r="AK78" s="495">
        <f>AG80</f>
        <v>0</v>
      </c>
      <c r="AL78" s="9">
        <f>AK80</f>
        <v>0</v>
      </c>
      <c r="AM78" s="9">
        <f t="shared" ref="AM78:AT78" si="17">AL80</f>
        <v>0</v>
      </c>
      <c r="AN78" s="9">
        <f t="shared" si="17"/>
        <v>0</v>
      </c>
      <c r="AO78" s="9">
        <f t="shared" si="17"/>
        <v>0</v>
      </c>
      <c r="AP78" s="9">
        <f t="shared" si="17"/>
        <v>0</v>
      </c>
      <c r="AQ78" s="9">
        <f t="shared" si="17"/>
        <v>0</v>
      </c>
      <c r="AR78" s="9">
        <f t="shared" si="17"/>
        <v>0</v>
      </c>
      <c r="AS78" s="9">
        <f t="shared" si="17"/>
        <v>0</v>
      </c>
      <c r="AT78" s="9">
        <f t="shared" si="17"/>
        <v>0</v>
      </c>
      <c r="AU78" s="391"/>
      <c r="AV78" s="391"/>
      <c r="AW78" s="391"/>
    </row>
    <row r="79" spans="2:49" s="30" customFormat="1" ht="15" customHeight="1">
      <c r="B79" s="381"/>
      <c r="C79" s="150"/>
      <c r="D79" s="38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391"/>
      <c r="AV79" s="391"/>
      <c r="AW79" s="391"/>
    </row>
    <row r="80" spans="2:49" s="30" customFormat="1" ht="15" customHeight="1">
      <c r="B80" s="381" t="s">
        <v>528</v>
      </c>
      <c r="C80" s="150"/>
      <c r="D80" s="381"/>
      <c r="E80" s="9">
        <f>财务基础数据!J239*目录!$D$6</f>
        <v>0</v>
      </c>
      <c r="F80" s="9">
        <f>财务基础数据!K239*目录!$D$6</f>
        <v>0</v>
      </c>
      <c r="G80" s="9">
        <f>财务基础数据!L239*目录!$D$6</f>
        <v>0</v>
      </c>
      <c r="H80" s="9">
        <f>财务基础数据!M239*目录!$D$6</f>
        <v>0</v>
      </c>
      <c r="I80" s="9">
        <f>财务基础数据!N239*目录!$D$6</f>
        <v>0</v>
      </c>
      <c r="J80" s="9">
        <f>财务基础数据!O239*目录!$D$6</f>
        <v>0</v>
      </c>
      <c r="K80" s="9">
        <f>财务基础数据!P239*目录!$D$6</f>
        <v>0</v>
      </c>
      <c r="L80" s="9">
        <f>财务基础数据!Q239*目录!$D$6</f>
        <v>0</v>
      </c>
      <c r="M80" s="9">
        <f>财务基础数据!R239*目录!$D$6</f>
        <v>0</v>
      </c>
      <c r="N80" s="9">
        <f>财务基础数据!S239*目录!$D$6</f>
        <v>0</v>
      </c>
      <c r="O80" s="9">
        <f>财务基础数据!T239*目录!$D$6</f>
        <v>0</v>
      </c>
      <c r="P80" s="9">
        <f>财务基础数据!U239*目录!$D$6</f>
        <v>0</v>
      </c>
      <c r="Q80" s="9">
        <f>财务基础数据!V239*目录!$D$6</f>
        <v>0</v>
      </c>
      <c r="R80" s="9">
        <f>财务基础数据!W239*目录!$D$6</f>
        <v>0</v>
      </c>
      <c r="S80" s="9">
        <f>财务基础数据!X239*目录!$D$6</f>
        <v>0</v>
      </c>
      <c r="T80" s="9">
        <f>财务基础数据!Y239*目录!$D$6</f>
        <v>0</v>
      </c>
      <c r="U80" s="9">
        <f>财务基础数据!Z239*目录!$D$6</f>
        <v>0</v>
      </c>
      <c r="V80" s="9">
        <f>财务基础数据!AA239*目录!$D$6</f>
        <v>0</v>
      </c>
      <c r="W80" s="9">
        <f>财务基础数据!AB239*目录!$D$6</f>
        <v>0</v>
      </c>
      <c r="X80" s="9">
        <f>财务基础数据!AC239*目录!$D$6</f>
        <v>0</v>
      </c>
      <c r="Y80" s="9">
        <f>财务基础数据!AD239*目录!$D$6</f>
        <v>0</v>
      </c>
      <c r="Z80" s="9">
        <f>财务基础数据!AE239*目录!$D$6</f>
        <v>0</v>
      </c>
      <c r="AA80" s="9">
        <f>财务基础数据!AF239*目录!$D$6</f>
        <v>0</v>
      </c>
      <c r="AB80" s="9">
        <f>财务基础数据!AG239*目录!$D$6</f>
        <v>0</v>
      </c>
      <c r="AC80" s="9">
        <f>财务基础数据!AH239*目录!$D$6</f>
        <v>0</v>
      </c>
      <c r="AD80" s="9">
        <f>财务基础数据!AI239*目录!$D$6</f>
        <v>0</v>
      </c>
      <c r="AE80" s="9">
        <f>财务基础数据!AJ239*目录!$D$6</f>
        <v>0</v>
      </c>
      <c r="AF80" s="9">
        <f>财务基础数据!AK239*目录!$D$6</f>
        <v>0</v>
      </c>
      <c r="AG80" s="495">
        <f>财务基础数据!AL239*目录!$D$6</f>
        <v>0</v>
      </c>
      <c r="AH80" s="9">
        <f>财务基础数据!AM239*目录!$D$6</f>
        <v>0</v>
      </c>
      <c r="AI80" s="9">
        <f>财务基础数据!AN239*目录!$D$6</f>
        <v>0</v>
      </c>
      <c r="AJ80" s="9">
        <f>财务基础数据!AO239*目录!$D$6</f>
        <v>0</v>
      </c>
      <c r="AK80" s="9">
        <f>IF(ISERROR(AK78+AK76),"—",AK78+AK76)</f>
        <v>0</v>
      </c>
      <c r="AL80" s="9">
        <f t="shared" ref="AL80:AT80" si="18">IF(ISERROR(AL78+AL76),"—",AL78+AL76)</f>
        <v>0</v>
      </c>
      <c r="AM80" s="9">
        <f t="shared" si="18"/>
        <v>0</v>
      </c>
      <c r="AN80" s="9">
        <f t="shared" si="18"/>
        <v>0</v>
      </c>
      <c r="AO80" s="9">
        <f t="shared" si="18"/>
        <v>0</v>
      </c>
      <c r="AP80" s="9">
        <f t="shared" si="18"/>
        <v>0</v>
      </c>
      <c r="AQ80" s="9">
        <f t="shared" si="18"/>
        <v>0</v>
      </c>
      <c r="AR80" s="9">
        <f t="shared" si="18"/>
        <v>0</v>
      </c>
      <c r="AS80" s="9">
        <f t="shared" si="18"/>
        <v>0</v>
      </c>
      <c r="AT80" s="9">
        <f t="shared" si="18"/>
        <v>0</v>
      </c>
      <c r="AU80" s="391"/>
      <c r="AV80" s="391"/>
      <c r="AW80" s="391"/>
    </row>
    <row r="81" spans="2:49" s="30" customFormat="1" ht="15" customHeight="1">
      <c r="B81" s="381"/>
      <c r="C81" s="150"/>
      <c r="D81" s="38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391"/>
      <c r="AV81" s="391"/>
      <c r="AW81" s="391"/>
    </row>
    <row r="82" spans="2:49" ht="15" customHeight="1">
      <c r="B82" s="373" t="s">
        <v>529</v>
      </c>
      <c r="C82" s="97"/>
      <c r="E82" s="495" t="str">
        <f>IF(ISERROR(E36/利润表!E103),"—",E36/利润表!E103)</f>
        <v>—</v>
      </c>
      <c r="F82" s="495" t="str">
        <f>IF(ISERROR(F36/利润表!F103),"—",F36/利润表!F103)</f>
        <v>—</v>
      </c>
      <c r="G82" s="495" t="str">
        <f>IF(ISERROR(G36/利润表!G103),"—",G36/利润表!G103)</f>
        <v>—</v>
      </c>
      <c r="H82" s="495" t="str">
        <f>IF(ISERROR(H36/利润表!H103),"—",H36/利润表!H103)</f>
        <v>—</v>
      </c>
      <c r="I82" s="495" t="str">
        <f>IF(ISERROR(I36/利润表!I103),"—",I36/利润表!I103)</f>
        <v>—</v>
      </c>
      <c r="J82" s="495" t="str">
        <f>IF(ISERROR(J36/利润表!J103),"—",J36/利润表!J103)</f>
        <v>—</v>
      </c>
      <c r="K82" s="495" t="str">
        <f>IF(ISERROR(K36/利润表!K103),"—",K36/利润表!K103)</f>
        <v>—</v>
      </c>
      <c r="L82" s="495" t="str">
        <f>IF(ISERROR(L36/利润表!L103),"—",L36/利润表!L103)</f>
        <v>—</v>
      </c>
      <c r="M82" s="495" t="str">
        <f>IF(ISERROR(M36/利润表!M103),"—",M36/利润表!M103)</f>
        <v>—</v>
      </c>
      <c r="N82" s="495" t="str">
        <f>IF(ISERROR(N36/利润表!N103),"—",N36/利润表!N103)</f>
        <v>—</v>
      </c>
      <c r="O82" s="495" t="str">
        <f>IF(ISERROR(O36/利润表!O103),"—",O36/利润表!O103)</f>
        <v>—</v>
      </c>
      <c r="P82" s="495" t="str">
        <f>IF(ISERROR(P36/利润表!P103),"—",P36/利润表!P103)</f>
        <v>—</v>
      </c>
      <c r="Q82" s="495" t="str">
        <f>IF(ISERROR(Q36/利润表!Q103),"—",Q36/利润表!Q103)</f>
        <v>—</v>
      </c>
      <c r="R82" s="495" t="str">
        <f>IF(ISERROR(R36/利润表!R103),"—",R36/利润表!R103)</f>
        <v>—</v>
      </c>
      <c r="S82" s="495" t="str">
        <f>IF(ISERROR(S36/利润表!S103),"—",S36/利润表!S103)</f>
        <v>—</v>
      </c>
      <c r="T82" s="495" t="str">
        <f>IF(ISERROR(T36/利润表!T103),"—",T36/利润表!T103)</f>
        <v>—</v>
      </c>
      <c r="U82" s="495" t="str">
        <f>IF(ISERROR(U36/利润表!U103),"—",U36/利润表!U103)</f>
        <v>—</v>
      </c>
      <c r="V82" s="495" t="str">
        <f>IF(ISERROR(V36/利润表!V103),"—",V36/利润表!V103)</f>
        <v>—</v>
      </c>
      <c r="W82" s="495" t="str">
        <f>IF(ISERROR(W36/利润表!W103),"—",W36/利润表!W103)</f>
        <v>—</v>
      </c>
      <c r="X82" s="495" t="str">
        <f>IF(ISERROR(X36/利润表!X103),"—",X36/利润表!X103)</f>
        <v>—</v>
      </c>
      <c r="Y82" s="495" t="str">
        <f>IF(ISERROR(Y36/利润表!Y103),"—",Y36/利润表!Y103)</f>
        <v>—</v>
      </c>
      <c r="Z82" s="495" t="str">
        <f>IF(ISERROR(Z36/利润表!Z103),"—",Z36/利润表!Z103)</f>
        <v>—</v>
      </c>
      <c r="AA82" s="495" t="str">
        <f>IF(ISERROR(AA36/利润表!AA103),"—",AA36/利润表!AA103)</f>
        <v>—</v>
      </c>
      <c r="AB82" s="495" t="str">
        <f>IF(ISERROR(AB36/利润表!AB103),"—",AB36/利润表!AB103)</f>
        <v>—</v>
      </c>
      <c r="AC82" s="495" t="str">
        <f>IF(ISERROR(AC36/利润表!AC103),"—",AC36/利润表!AC103)</f>
        <v>—</v>
      </c>
      <c r="AD82" s="495" t="str">
        <f>IF(ISERROR(AD36/利润表!AD103),"—",AD36/利润表!AD103)</f>
        <v>—</v>
      </c>
      <c r="AE82" s="495" t="str">
        <f>IF(ISERROR(AE36/利润表!AE103),"—",AE36/利润表!AE103)</f>
        <v>—</v>
      </c>
      <c r="AF82" s="495" t="str">
        <f>IF(ISERROR(AF36/利润表!AF103),"—",AF36/利润表!AF103)</f>
        <v>—</v>
      </c>
      <c r="AG82" s="495" t="str">
        <f>IF(ISERROR(AG36/利润表!AG103),"—",AG36/利润表!AG103)</f>
        <v>—</v>
      </c>
      <c r="AH82" s="495" t="str">
        <f>IF(ISERROR(AH36/利润表!AH103),"—",AH36/利润表!AH103)</f>
        <v>—</v>
      </c>
      <c r="AI82" s="495" t="str">
        <f>IF(ISERROR(AI36/利润表!AI103),"—",AI36/利润表!AI103)</f>
        <v>—</v>
      </c>
      <c r="AJ82" s="495" t="str">
        <f>IF(ISERROR(AJ36/利润表!AJ103),"—",AJ36/利润表!AJ103)</f>
        <v>—</v>
      </c>
      <c r="AK82" s="495" t="str">
        <f>IF(ISERROR(AK36/利润表!AK103),"—",AK36/利润表!AK103)</f>
        <v>—</v>
      </c>
      <c r="AL82" s="495" t="str">
        <f>IF(ISERROR(AL36/利润表!AL103),"—",AL36/利润表!AL103)</f>
        <v>—</v>
      </c>
      <c r="AM82" s="495" t="str">
        <f>IF(ISERROR(AM36/利润表!AM103),"—",AM36/利润表!AM103)</f>
        <v>—</v>
      </c>
      <c r="AN82" s="495" t="str">
        <f>IF(ISERROR(AN36/利润表!AN103),"—",AN36/利润表!AN103)</f>
        <v>—</v>
      </c>
      <c r="AO82" s="495" t="str">
        <f>IF(ISERROR(AO36/利润表!AO103),"—",AO36/利润表!AO103)</f>
        <v>—</v>
      </c>
      <c r="AP82" s="495" t="str">
        <f>IF(ISERROR(AP36/利润表!AP103),"—",AP36/利润表!AP103)</f>
        <v>—</v>
      </c>
      <c r="AQ82" s="495" t="str">
        <f>IF(ISERROR(AQ36/利润表!AQ103),"—",AQ36/利润表!AQ103)</f>
        <v>—</v>
      </c>
      <c r="AR82" s="495" t="str">
        <f>IF(ISERROR(AR36/利润表!AR103),"—",AR36/利润表!AR103)</f>
        <v>—</v>
      </c>
      <c r="AS82" s="495" t="str">
        <f>IF(ISERROR(AS36/利润表!AS103),"—",AS36/利润表!AS103)</f>
        <v>—</v>
      </c>
      <c r="AT82" s="495" t="str">
        <f>IF(ISERROR(AT36/利润表!AT103),"—",AT36/利润表!AT103)</f>
        <v>—</v>
      </c>
      <c r="AU82" s="388"/>
      <c r="AV82" s="388"/>
      <c r="AW82" s="388"/>
    </row>
    <row r="83" spans="2:49" ht="15" customHeight="1">
      <c r="C83" s="97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495"/>
      <c r="AO83" s="188"/>
      <c r="AP83" s="188"/>
      <c r="AQ83" s="188"/>
      <c r="AR83" s="188"/>
      <c r="AS83" s="188"/>
      <c r="AT83" s="188"/>
    </row>
    <row r="84" spans="2:49" ht="15" customHeight="1">
      <c r="C84" s="97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495"/>
      <c r="AO84" s="188"/>
      <c r="AP84" s="188"/>
      <c r="AQ84" s="188"/>
      <c r="AR84" s="188"/>
      <c r="AS84" s="188"/>
      <c r="AT84" s="188"/>
    </row>
    <row r="85" spans="2:49" s="372" customFormat="1" ht="15" customHeight="1">
      <c r="B85" s="394"/>
      <c r="C85" s="395"/>
      <c r="D85" s="395"/>
      <c r="E85" s="1119"/>
      <c r="F85" s="1119"/>
      <c r="G85" s="1119"/>
      <c r="H85" s="1119"/>
      <c r="I85" s="1119"/>
      <c r="J85" s="1119"/>
      <c r="K85" s="1119"/>
      <c r="L85" s="1119"/>
      <c r="M85" s="1119"/>
      <c r="N85" s="1119"/>
      <c r="O85" s="1119"/>
      <c r="P85" s="1119"/>
      <c r="Q85" s="1119"/>
      <c r="R85" s="1119"/>
      <c r="S85" s="1119"/>
      <c r="T85" s="1119"/>
      <c r="U85" s="1119"/>
      <c r="V85" s="1119"/>
      <c r="W85" s="1119"/>
      <c r="X85" s="1119"/>
      <c r="Y85" s="1119"/>
      <c r="Z85" s="1119"/>
      <c r="AA85" s="1119"/>
      <c r="AB85" s="1119"/>
      <c r="AC85" s="1119"/>
      <c r="AD85" s="1119"/>
      <c r="AE85" s="1119"/>
      <c r="AF85" s="1119"/>
      <c r="AG85" s="1119"/>
      <c r="AH85" s="1119"/>
      <c r="AI85" s="1119"/>
      <c r="AJ85" s="1119"/>
      <c r="AK85" s="1119"/>
      <c r="AL85" s="1119"/>
      <c r="AM85" s="1119"/>
      <c r="AN85" s="1120"/>
      <c r="AO85" s="1119"/>
      <c r="AP85" s="1119"/>
      <c r="AQ85" s="1119"/>
      <c r="AR85" s="1119"/>
      <c r="AS85" s="1119"/>
      <c r="AT85" s="1119"/>
    </row>
    <row r="86" spans="2:49" s="372" customFormat="1" ht="15" customHeight="1">
      <c r="B86" s="395"/>
      <c r="C86" s="395"/>
      <c r="D86" s="395"/>
      <c r="E86" s="1119"/>
      <c r="F86" s="1119"/>
      <c r="G86" s="1119"/>
      <c r="H86" s="1119"/>
      <c r="I86" s="1119"/>
      <c r="J86" s="1119"/>
      <c r="K86" s="1119"/>
      <c r="L86" s="1119"/>
      <c r="M86" s="1119"/>
      <c r="N86" s="1119"/>
      <c r="O86" s="1119"/>
      <c r="P86" s="1119"/>
      <c r="Q86" s="1119"/>
      <c r="R86" s="1119"/>
      <c r="S86" s="1119"/>
      <c r="T86" s="1119"/>
      <c r="U86" s="1119"/>
      <c r="V86" s="1119"/>
      <c r="W86" s="1119"/>
      <c r="X86" s="1119"/>
      <c r="Y86" s="1119"/>
      <c r="Z86" s="1119"/>
      <c r="AA86" s="1119"/>
      <c r="AB86" s="1119"/>
      <c r="AC86" s="1119"/>
      <c r="AD86" s="1119"/>
      <c r="AE86" s="1119"/>
      <c r="AF86" s="1119"/>
      <c r="AG86" s="1119"/>
      <c r="AH86" s="1119"/>
      <c r="AI86" s="1119"/>
      <c r="AJ86" s="1119"/>
      <c r="AK86" s="1119"/>
      <c r="AL86" s="1119"/>
      <c r="AM86" s="1119"/>
      <c r="AN86" s="1120"/>
      <c r="AO86" s="1119"/>
      <c r="AP86" s="1119"/>
      <c r="AQ86" s="1119"/>
      <c r="AR86" s="1119"/>
      <c r="AS86" s="1119"/>
      <c r="AT86" s="1119"/>
    </row>
    <row r="87" spans="2:49" ht="15" customHeight="1"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495"/>
      <c r="AO87" s="188"/>
      <c r="AP87" s="188"/>
      <c r="AQ87" s="188"/>
      <c r="AR87" s="188"/>
      <c r="AS87" s="188"/>
      <c r="AT87" s="188"/>
    </row>
    <row r="88" spans="2:49" ht="15" customHeight="1"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495"/>
      <c r="AO88" s="188"/>
      <c r="AP88" s="188"/>
      <c r="AQ88" s="188"/>
      <c r="AR88" s="188"/>
      <c r="AS88" s="188"/>
      <c r="AT88" s="188"/>
    </row>
    <row r="89" spans="2:49" ht="15" customHeight="1"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495"/>
      <c r="AO89" s="188"/>
      <c r="AP89" s="188"/>
      <c r="AQ89" s="188"/>
      <c r="AR89" s="188"/>
      <c r="AS89" s="188"/>
      <c r="AT89" s="188"/>
    </row>
    <row r="90" spans="2:49" ht="15" customHeight="1"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495"/>
      <c r="AO90" s="188"/>
      <c r="AP90" s="188"/>
      <c r="AQ90" s="188"/>
      <c r="AR90" s="188"/>
      <c r="AS90" s="188"/>
      <c r="AT90" s="188"/>
    </row>
    <row r="91" spans="2:49" ht="15" customHeight="1"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495"/>
      <c r="AO91" s="188"/>
      <c r="AP91" s="188"/>
      <c r="AQ91" s="188"/>
      <c r="AR91" s="188"/>
      <c r="AS91" s="188"/>
      <c r="AT91" s="188"/>
    </row>
    <row r="92" spans="2:49" ht="15" customHeight="1"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N92" s="495"/>
      <c r="AO92" s="188"/>
      <c r="AP92" s="188"/>
      <c r="AQ92" s="188"/>
      <c r="AR92" s="188"/>
      <c r="AS92" s="188"/>
      <c r="AT92" s="188"/>
    </row>
    <row r="93" spans="2:49" ht="15" customHeight="1"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495"/>
      <c r="AO93" s="188"/>
      <c r="AP93" s="188"/>
      <c r="AQ93" s="188"/>
      <c r="AR93" s="188"/>
      <c r="AS93" s="188"/>
      <c r="AT93" s="188"/>
    </row>
    <row r="94" spans="2:49" ht="15" customHeight="1"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495"/>
      <c r="AO94" s="188"/>
      <c r="AP94" s="188"/>
      <c r="AQ94" s="188"/>
      <c r="AR94" s="188"/>
      <c r="AS94" s="188"/>
      <c r="AT94" s="188"/>
    </row>
    <row r="95" spans="2:49" ht="15" customHeight="1"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495"/>
      <c r="AO95" s="188"/>
      <c r="AP95" s="188"/>
      <c r="AQ95" s="188"/>
      <c r="AR95" s="188"/>
      <c r="AS95" s="188"/>
      <c r="AT95" s="188"/>
    </row>
    <row r="96" spans="2:49" ht="15" customHeight="1"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495"/>
      <c r="AO96" s="188"/>
      <c r="AP96" s="188"/>
      <c r="AQ96" s="188"/>
      <c r="AR96" s="188"/>
      <c r="AS96" s="188"/>
      <c r="AT96" s="188"/>
    </row>
    <row r="97" spans="5:46" ht="15" customHeight="1"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495"/>
      <c r="AO97" s="188"/>
      <c r="AP97" s="188"/>
      <c r="AQ97" s="188"/>
      <c r="AR97" s="188"/>
      <c r="AS97" s="188"/>
      <c r="AT97" s="188"/>
    </row>
    <row r="98" spans="5:46" ht="15" customHeight="1"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495"/>
      <c r="AO98" s="188"/>
      <c r="AP98" s="188"/>
      <c r="AQ98" s="188"/>
      <c r="AR98" s="188"/>
      <c r="AS98" s="188"/>
      <c r="AT98" s="188"/>
    </row>
    <row r="99" spans="5:46" ht="15" customHeight="1"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206"/>
      <c r="AO99" s="206"/>
      <c r="AP99" s="206"/>
      <c r="AQ99" s="206"/>
      <c r="AR99" s="206"/>
      <c r="AS99" s="206"/>
      <c r="AT99" s="206"/>
    </row>
    <row r="100" spans="5:46" ht="15" customHeight="1"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O100" s="206"/>
      <c r="AP100" s="206"/>
      <c r="AQ100" s="206"/>
      <c r="AR100" s="206"/>
      <c r="AS100" s="206"/>
      <c r="AT100" s="206"/>
    </row>
    <row r="101" spans="5:46" ht="15" customHeight="1"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6"/>
      <c r="AK101" s="206"/>
      <c r="AL101" s="206"/>
      <c r="AM101" s="206"/>
      <c r="AO101" s="206"/>
      <c r="AP101" s="206"/>
      <c r="AQ101" s="206"/>
      <c r="AR101" s="206"/>
      <c r="AS101" s="206"/>
      <c r="AT101" s="206"/>
    </row>
    <row r="102" spans="5:46" ht="15" customHeight="1"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  <c r="AE102" s="206"/>
      <c r="AF102" s="206"/>
      <c r="AG102" s="206"/>
      <c r="AH102" s="206"/>
      <c r="AI102" s="206"/>
      <c r="AJ102" s="206"/>
      <c r="AK102" s="206"/>
      <c r="AL102" s="206"/>
      <c r="AM102" s="206"/>
      <c r="AO102" s="206"/>
      <c r="AP102" s="206"/>
      <c r="AQ102" s="206"/>
      <c r="AR102" s="206"/>
      <c r="AS102" s="206"/>
      <c r="AT102" s="206"/>
    </row>
    <row r="103" spans="5:46" ht="15" customHeight="1"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6"/>
      <c r="AG103" s="206"/>
      <c r="AH103" s="206"/>
      <c r="AI103" s="206"/>
      <c r="AJ103" s="206"/>
      <c r="AK103" s="206"/>
      <c r="AL103" s="206"/>
      <c r="AM103" s="206"/>
      <c r="AO103" s="206"/>
      <c r="AP103" s="206"/>
      <c r="AQ103" s="206"/>
      <c r="AR103" s="206"/>
      <c r="AS103" s="206"/>
      <c r="AT103" s="206"/>
    </row>
  </sheetData>
  <phoneticPr fontId="140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44"/>
  <sheetViews>
    <sheetView workbookViewId="0">
      <pane xSplit="2" ySplit="3" topLeftCell="C4" activePane="bottomRight" state="frozen"/>
      <selection pane="topRight"/>
      <selection pane="bottomLeft"/>
      <selection pane="bottomRight" activeCell="D2" sqref="D2"/>
    </sheetView>
  </sheetViews>
  <sheetFormatPr defaultColWidth="9" defaultRowHeight="13.5"/>
  <cols>
    <col min="1" max="1" width="1.375" style="30" customWidth="1"/>
    <col min="2" max="2" width="26.625" style="30" customWidth="1"/>
    <col min="3" max="10" width="12.125" style="30" customWidth="1"/>
    <col min="11" max="17" width="12.125" style="30" hidden="1" customWidth="1"/>
    <col min="18" max="16384" width="9" style="30"/>
  </cols>
  <sheetData>
    <row r="2" spans="2:17" s="1075" customFormat="1" ht="18.95" customHeight="1">
      <c r="B2" s="1169" t="s">
        <v>49</v>
      </c>
      <c r="C2" s="1169"/>
      <c r="D2" s="1076"/>
      <c r="E2" s="1170"/>
      <c r="F2" s="1170"/>
      <c r="G2" s="1076"/>
      <c r="H2" s="1170"/>
      <c r="I2" s="1170"/>
      <c r="J2" s="1077"/>
      <c r="K2" s="1077"/>
      <c r="L2" s="1077"/>
      <c r="M2" s="1077"/>
      <c r="N2" s="1077"/>
      <c r="O2" s="1077"/>
      <c r="P2" s="1077"/>
      <c r="Q2" s="1077"/>
    </row>
    <row r="3" spans="2:17">
      <c r="B3" s="1078"/>
      <c r="C3" s="364">
        <f>资产负债表!Q4</f>
        <v>2019</v>
      </c>
      <c r="D3" s="364">
        <f>资产负债表!U4</f>
        <v>2020</v>
      </c>
      <c r="E3" s="364">
        <f>资产负债表!Y4</f>
        <v>2021</v>
      </c>
      <c r="F3" s="364">
        <f>资产负债表!AC4</f>
        <v>2022</v>
      </c>
      <c r="G3" s="364">
        <f>资产负债表!AG4</f>
        <v>2023</v>
      </c>
      <c r="H3" s="83" t="str">
        <f>资产负债表!AK4</f>
        <v>2024E</v>
      </c>
      <c r="I3" s="84">
        <f>资产负债表!AL4</f>
        <v>2025</v>
      </c>
      <c r="J3" s="84">
        <f>资产负债表!AM4</f>
        <v>2026</v>
      </c>
      <c r="K3" s="84">
        <f>资产负债表!AN4</f>
        <v>2027</v>
      </c>
      <c r="L3" s="84">
        <f>资产负债表!AO4</f>
        <v>2028</v>
      </c>
      <c r="M3" s="84">
        <f>资产负债表!AP4</f>
        <v>2029</v>
      </c>
      <c r="N3" s="84">
        <f>资产负债表!AQ4</f>
        <v>2030</v>
      </c>
      <c r="O3" s="84">
        <f>资产负债表!AR4</f>
        <v>2031</v>
      </c>
      <c r="P3" s="84">
        <f>资产负债表!AS4</f>
        <v>2032</v>
      </c>
      <c r="Q3" s="84">
        <f>资产负债表!AT4</f>
        <v>2033</v>
      </c>
    </row>
    <row r="4" spans="2:17" ht="15" customHeight="1">
      <c r="B4" s="349" t="s">
        <v>358</v>
      </c>
      <c r="C4" s="1079"/>
      <c r="D4" s="1079"/>
      <c r="E4" s="1079"/>
      <c r="F4" s="1079"/>
      <c r="G4" s="365"/>
      <c r="H4" s="365"/>
      <c r="I4" s="365"/>
      <c r="J4" s="365"/>
      <c r="K4" s="205"/>
      <c r="L4" s="205"/>
    </row>
    <row r="5" spans="2:17" ht="15" customHeight="1">
      <c r="B5" s="29" t="s">
        <v>530</v>
      </c>
      <c r="C5" s="1080" t="str">
        <f>IF(ISERROR(利润表!Q94/资产负债表!Q89),"—",利润表!Q94/资产负债表!Q89)</f>
        <v>—</v>
      </c>
      <c r="D5" s="1080" t="str">
        <f>IF(ISERROR(利润表!U94/资产负债表!U89),"—",利润表!U94/资产负债表!U89)</f>
        <v>—</v>
      </c>
      <c r="E5" s="1080" t="str">
        <f>IF(ISERROR(利润表!Y94/资产负债表!Y89),"—",利润表!Y94/资产负债表!Y89)</f>
        <v>—</v>
      </c>
      <c r="F5" s="1080" t="str">
        <f>IF(ISERROR(利润表!AC94/资产负债表!AC89),"—",利润表!AC94/资产负债表!AC89)</f>
        <v>—</v>
      </c>
      <c r="G5" s="1080" t="str">
        <f>IF(ISERROR(利润表!AG94/资产负债表!AG89),"—",利润表!AG94/资产负债表!AG89)</f>
        <v>—</v>
      </c>
      <c r="H5" s="1080" t="str">
        <f>IF(ISERROR(利润表!AK94/资产负债表!AK89),"—",利润表!AK94/资产负债表!AK89)</f>
        <v>—</v>
      </c>
      <c r="I5" s="1080" t="str">
        <f>IF(ISERROR(利润表!AL94/资产负债表!AL89),"—",利润表!AL94/资产负债表!AL89)</f>
        <v>—</v>
      </c>
      <c r="J5" s="1080" t="str">
        <f>IF(ISERROR(利润表!AM94/资产负债表!AM89),"—",利润表!AM94/资产负债表!AM89)</f>
        <v>—</v>
      </c>
      <c r="K5" s="1080" t="str">
        <f>IF(ISERROR(利润表!AN94/资产负债表!AN89),"—",利润表!AN94/资产负债表!AN89)</f>
        <v>—</v>
      </c>
      <c r="L5" s="1080" t="str">
        <f>IF(ISERROR(利润表!AO94/资产负债表!AO89),"—",利润表!AO94/资产负债表!AO89)</f>
        <v>—</v>
      </c>
      <c r="M5" s="1080" t="str">
        <f>IF(ISERROR(利润表!AP94/资产负债表!AP89),"—",利润表!AP94/资产负债表!AP89)</f>
        <v>—</v>
      </c>
      <c r="N5" s="1080" t="str">
        <f>IF(ISERROR(利润表!AQ94/资产负债表!AQ89),"—",利润表!AQ94/资产负债表!AQ89)</f>
        <v>—</v>
      </c>
      <c r="O5" s="1080" t="str">
        <f>IF(ISERROR(利润表!AR94/资产负债表!AR89),"—",利润表!AR94/资产负债表!AR89)</f>
        <v>—</v>
      </c>
      <c r="P5" s="1080" t="str">
        <f>IF(ISERROR(利润表!AS94/资产负债表!AS89),"—",利润表!AS94/资产负债表!AS89)</f>
        <v>—</v>
      </c>
      <c r="Q5" s="1080" t="str">
        <f>IF(ISERROR(利润表!AT94/资产负债表!AT89),"—",利润表!AT94/资产负债表!AT89)</f>
        <v>—</v>
      </c>
    </row>
    <row r="6" spans="2:17" ht="15" customHeight="1">
      <c r="B6" s="29" t="s">
        <v>531</v>
      </c>
      <c r="C6" s="1080" t="str">
        <f>IF(ISERROR(利润表!Q45*(1-利润表!Q87)/资产负债表!Q105),"—",利润表!Q45*(1-利润表!Q87)/资产负债表!Q105)</f>
        <v>—</v>
      </c>
      <c r="D6" s="1080" t="str">
        <f>IF(ISERROR(利润表!U45*(1-利润表!U87)/资产负债表!U105),"—",利润表!U45*(1-利润表!U87)/资产负债表!U105)</f>
        <v>—</v>
      </c>
      <c r="E6" s="1080" t="str">
        <f>IF(ISERROR(利润表!Y45*(1-利润表!Y87)/资产负债表!Y105),"—",利润表!Y45*(1-利润表!Y87)/资产负债表!Y105)</f>
        <v>—</v>
      </c>
      <c r="F6" s="1080" t="str">
        <f>IF(ISERROR(利润表!AC45*(1-利润表!AC87)/资产负债表!AC105),"—",利润表!AC45*(1-利润表!AC87)/资产负债表!AC105)</f>
        <v>—</v>
      </c>
      <c r="G6" s="1080" t="str">
        <f>IF(ISERROR(利润表!AG45*(1-利润表!AG87)/资产负债表!AG105),"—",利润表!AG45*(1-利润表!AG87)/资产负债表!AG105)</f>
        <v>—</v>
      </c>
      <c r="H6" s="1080" t="str">
        <f>IF(ISERROR(利润表!AK45*(1-利润表!AK87)/资产负债表!AK105),"—",利润表!AK45*(1-利润表!AK87)/资产负债表!AK105)</f>
        <v>—</v>
      </c>
      <c r="I6" s="1080" t="str">
        <f>IF(ISERROR(利润表!AL45*(1-利润表!AL87)/资产负债表!AL105),"—",利润表!AL45*(1-利润表!AL87)/资产负债表!AL105)</f>
        <v>—</v>
      </c>
      <c r="J6" s="1080" t="str">
        <f>IF(ISERROR(利润表!AM45*(1-利润表!AM87)/资产负债表!AM105),"—",利润表!AM45*(1-利润表!AM87)/资产负债表!AM105)</f>
        <v>—</v>
      </c>
      <c r="K6" s="1080" t="str">
        <f>IF(ISERROR(利润表!AN45*(1-利润表!AN87)/资产负债表!AN105),"—",利润表!AN45*(1-利润表!AN87)/资产负债表!AN105)</f>
        <v>—</v>
      </c>
      <c r="L6" s="1080" t="str">
        <f>IF(ISERROR(利润表!AO45*(1-利润表!AO87)/资产负债表!AO105),"—",利润表!AO45*(1-利润表!AO87)/资产负债表!AO105)</f>
        <v>—</v>
      </c>
      <c r="M6" s="1080" t="str">
        <f>IF(ISERROR(利润表!AP45*(1-利润表!AP87)/资产负债表!AP105),"—",利润表!AP45*(1-利润表!AP87)/资产负债表!AP105)</f>
        <v>—</v>
      </c>
      <c r="N6" s="1080" t="str">
        <f>IF(ISERROR(利润表!AQ45*(1-利润表!AQ87)/资产负债表!AQ105),"—",利润表!AQ45*(1-利润表!AQ87)/资产负债表!AQ105)</f>
        <v>—</v>
      </c>
      <c r="O6" s="1080" t="str">
        <f>IF(ISERROR(利润表!AR45*(1-利润表!AR87)/资产负债表!AR105),"—",利润表!AR45*(1-利润表!AR87)/资产负债表!AR105)</f>
        <v>—</v>
      </c>
      <c r="P6" s="1080" t="str">
        <f>IF(ISERROR(利润表!AS45*(1-利润表!AS87)/资产负债表!AS105),"—",利润表!AS45*(1-利润表!AS87)/资产负债表!AS105)</f>
        <v>—</v>
      </c>
      <c r="Q6" s="1080" t="str">
        <f>IF(ISERROR(利润表!AT45*(1-利润表!AT87)/资产负债表!AT105),"—",利润表!AT45*(1-利润表!AT87)/资产负债表!AT105)</f>
        <v>—</v>
      </c>
    </row>
    <row r="7" spans="2:17" ht="15" customHeight="1">
      <c r="B7" s="29" t="s">
        <v>532</v>
      </c>
      <c r="C7" s="1080" t="str">
        <f>IF(ISERROR(利润表!Q88*2/(资产负债表!Q45+资产负债表!M45)),"—",利润表!Q88*2/(资产负债表!Q45+资产负债表!M45))</f>
        <v>—</v>
      </c>
      <c r="D7" s="1080" t="str">
        <f>IF(ISERROR(利润表!U88*2/(资产负债表!U45+资产负债表!Q45)),"—",利润表!U88*2/(资产负债表!U45+资产负债表!Q45))</f>
        <v>—</v>
      </c>
      <c r="E7" s="1080" t="str">
        <f>IF(ISERROR(利润表!Y88*2/(资产负债表!U45+资产负债表!Y45)),"—",利润表!Y88*2/(资产负债表!U45+资产负债表!Y45))</f>
        <v>—</v>
      </c>
      <c r="F7" s="1080" t="str">
        <f>IF(ISERROR(利润表!AC88*2/(资产负债表!Y45+资产负债表!AC45)),"—",利润表!AC88*2/(资产负债表!Y45+资产负债表!AC45))</f>
        <v>—</v>
      </c>
      <c r="G7" s="1080" t="str">
        <f>IF(ISERROR(利润表!AG88*2/(资产负债表!AC45+资产负债表!AG45)),"—",利润表!AG88*2/(资产负债表!AC45+资产负债表!AG45))</f>
        <v>—</v>
      </c>
      <c r="H7" s="1080" t="str">
        <f>IF(ISERROR(利润表!AK88*2/(资产负债表!AG45+资产负债表!AK45)),"—",利润表!AK88*2/(资产负债表!AG45+资产负债表!AK45))</f>
        <v>—</v>
      </c>
      <c r="I7" s="1080" t="str">
        <f>IF(ISERROR(利润表!AL88*2/(资产负债表!AK45+资产负债表!AL45)),"—",利润表!AL88*2/(资产负债表!AK45+资产负债表!AL45))</f>
        <v>—</v>
      </c>
      <c r="J7" s="1080" t="str">
        <f>IF(ISERROR(利润表!AM88*2/(资产负债表!AL45+资产负债表!AM45)),"—",利润表!AM88*2/(资产负债表!AL45+资产负债表!AM45))</f>
        <v>—</v>
      </c>
      <c r="K7" s="1080" t="str">
        <f>IF(ISERROR(利润表!AN88*2/(资产负债表!AM45+资产负债表!AN45)),"—",利润表!AN88*2/(资产负债表!AM45+资产负债表!AN45))</f>
        <v>—</v>
      </c>
      <c r="L7" s="1080" t="str">
        <f>IF(ISERROR(利润表!AO88*2/(资产负债表!AN45+资产负债表!AO45)),"—",利润表!AO88*2/(资产负债表!AN45+资产负债表!AO45))</f>
        <v>—</v>
      </c>
      <c r="M7" s="1080" t="str">
        <f>IF(ISERROR(利润表!AP88*2/(资产负债表!AO45+资产负债表!AP45)),"—",利润表!AP88*2/(资产负债表!AO45+资产负债表!AP45))</f>
        <v>—</v>
      </c>
      <c r="N7" s="1080" t="str">
        <f>IF(ISERROR(利润表!AQ88*2/(资产负债表!AP45+资产负债表!AQ45)),"—",利润表!AQ88*2/(资产负债表!AP45+资产负债表!AQ45))</f>
        <v>—</v>
      </c>
      <c r="O7" s="1080" t="str">
        <f>IF(ISERROR(利润表!AR88*2/(资产负债表!AQ45+资产负债表!AR45)),"—",利润表!AR88*2/(资产负债表!AQ45+资产负债表!AR45))</f>
        <v>—</v>
      </c>
      <c r="P7" s="1080" t="str">
        <f>IF(ISERROR(利润表!AS88*2/(资产负债表!AR45+资产负债表!AS45)),"—",利润表!AS88*2/(资产负债表!AR45+资产负债表!AS45))</f>
        <v>—</v>
      </c>
      <c r="Q7" s="1080" t="str">
        <f>IF(ISERROR(利润表!AT88*2/(资产负债表!AS45+资产负债表!AT45)),"—",利润表!AT88*2/(资产负债表!AS45+资产负债表!AT45))</f>
        <v>—</v>
      </c>
    </row>
    <row r="8" spans="2:17" ht="15" customHeight="1">
      <c r="B8" s="29" t="s">
        <v>533</v>
      </c>
      <c r="C8" s="1080" t="str">
        <f>利润表!Q23</f>
        <v>—</v>
      </c>
      <c r="D8" s="1080" t="str">
        <f>利润表!U23</f>
        <v>—</v>
      </c>
      <c r="E8" s="1080" t="str">
        <f>利润表!Y23</f>
        <v>—</v>
      </c>
      <c r="F8" s="1080" t="str">
        <f>利润表!AC23</f>
        <v>—</v>
      </c>
      <c r="G8" s="1080" t="str">
        <f>利润表!AG23</f>
        <v>—</v>
      </c>
      <c r="H8" s="1080" t="str">
        <f>利润表!AK23</f>
        <v>—</v>
      </c>
      <c r="I8" s="1080" t="str">
        <f>利润表!AL23</f>
        <v>—</v>
      </c>
      <c r="J8" s="1080" t="str">
        <f>利润表!AM23</f>
        <v>—</v>
      </c>
      <c r="K8" s="1080" t="str">
        <f>利润表!AN23</f>
        <v>—</v>
      </c>
      <c r="L8" s="1080" t="str">
        <f>利润表!AO23</f>
        <v>—</v>
      </c>
      <c r="M8" s="1080" t="str">
        <f>利润表!AP23</f>
        <v>—</v>
      </c>
      <c r="N8" s="1080" t="str">
        <f>利润表!AQ23</f>
        <v>—</v>
      </c>
      <c r="O8" s="1080" t="str">
        <f>利润表!AR23</f>
        <v>—</v>
      </c>
      <c r="P8" s="1080" t="str">
        <f>利润表!AS23</f>
        <v>—</v>
      </c>
      <c r="Q8" s="1080" t="str">
        <f>利润表!AT23</f>
        <v>—</v>
      </c>
    </row>
    <row r="9" spans="2:17" ht="15" customHeight="1">
      <c r="B9" s="30" t="s">
        <v>534</v>
      </c>
      <c r="C9" s="1080" t="str">
        <f>利润表!Q43</f>
        <v>—</v>
      </c>
      <c r="D9" s="1080" t="str">
        <f>利润表!U43</f>
        <v>—</v>
      </c>
      <c r="E9" s="1080" t="str">
        <f>利润表!Y43</f>
        <v>—</v>
      </c>
      <c r="F9" s="1080" t="str">
        <f>利润表!AC43</f>
        <v>—</v>
      </c>
      <c r="G9" s="1080" t="str">
        <f>利润表!AG43</f>
        <v>—</v>
      </c>
      <c r="H9" s="1080" t="str">
        <f>利润表!AK43</f>
        <v>—</v>
      </c>
      <c r="I9" s="1080" t="str">
        <f>利润表!AL43</f>
        <v>—</v>
      </c>
      <c r="J9" s="1080" t="str">
        <f>利润表!AM43</f>
        <v>—</v>
      </c>
      <c r="K9" s="1080" t="str">
        <f>利润表!AN43</f>
        <v>—</v>
      </c>
      <c r="L9" s="1080" t="str">
        <f>利润表!AO43</f>
        <v>—</v>
      </c>
      <c r="M9" s="1080" t="str">
        <f>利润表!AP43</f>
        <v>—</v>
      </c>
      <c r="N9" s="1080" t="str">
        <f>利润表!AQ43</f>
        <v>—</v>
      </c>
      <c r="O9" s="1080" t="str">
        <f>利润表!AR43</f>
        <v>—</v>
      </c>
      <c r="P9" s="1080" t="str">
        <f>利润表!AS43</f>
        <v>—</v>
      </c>
      <c r="Q9" s="1080" t="str">
        <f>利润表!AT43</f>
        <v>—</v>
      </c>
    </row>
    <row r="10" spans="2:17" ht="15" customHeight="1">
      <c r="B10" s="30" t="s">
        <v>535</v>
      </c>
      <c r="C10" s="1080" t="str">
        <f>利润表!Q46</f>
        <v>—</v>
      </c>
      <c r="D10" s="1080" t="str">
        <f>利润表!U46</f>
        <v>—</v>
      </c>
      <c r="E10" s="1080" t="str">
        <f>利润表!Y46</f>
        <v>—</v>
      </c>
      <c r="F10" s="1080" t="str">
        <f>利润表!AC46</f>
        <v>—</v>
      </c>
      <c r="G10" s="1080" t="str">
        <f>利润表!AG46</f>
        <v>—</v>
      </c>
      <c r="H10" s="1080" t="str">
        <f>利润表!AK46</f>
        <v>—</v>
      </c>
      <c r="I10" s="1080" t="str">
        <f>利润表!AL46</f>
        <v>—</v>
      </c>
      <c r="J10" s="1080" t="str">
        <f>利润表!AM46</f>
        <v>—</v>
      </c>
      <c r="K10" s="1080" t="str">
        <f>利润表!AN46</f>
        <v>—</v>
      </c>
      <c r="L10" s="1080" t="str">
        <f>利润表!AO46</f>
        <v>—</v>
      </c>
      <c r="M10" s="1080" t="str">
        <f>利润表!AP46</f>
        <v>—</v>
      </c>
      <c r="N10" s="1080" t="str">
        <f>利润表!AQ46</f>
        <v>—</v>
      </c>
      <c r="O10" s="1080" t="str">
        <f>利润表!AR46</f>
        <v>—</v>
      </c>
      <c r="P10" s="1080" t="str">
        <f>利润表!AS46</f>
        <v>—</v>
      </c>
      <c r="Q10" s="1080" t="str">
        <f>利润表!AT46</f>
        <v>—</v>
      </c>
    </row>
    <row r="11" spans="2:17" ht="15" customHeight="1">
      <c r="B11" s="29" t="s">
        <v>536</v>
      </c>
      <c r="C11" s="1080" t="str">
        <f>利润表!Q85</f>
        <v>—</v>
      </c>
      <c r="D11" s="1080" t="str">
        <f>利润表!U85</f>
        <v>—</v>
      </c>
      <c r="E11" s="1080" t="str">
        <f>利润表!Y85</f>
        <v>—</v>
      </c>
      <c r="F11" s="1080" t="str">
        <f>利润表!AC85</f>
        <v>—</v>
      </c>
      <c r="G11" s="1080" t="str">
        <f>利润表!AG85</f>
        <v>—</v>
      </c>
      <c r="H11" s="1080" t="str">
        <f>利润表!AK85</f>
        <v>—</v>
      </c>
      <c r="I11" s="1080" t="str">
        <f>利润表!AL85</f>
        <v>—</v>
      </c>
      <c r="J11" s="1080" t="str">
        <f>利润表!AM85</f>
        <v>—</v>
      </c>
      <c r="K11" s="1080" t="str">
        <f>利润表!AN85</f>
        <v>—</v>
      </c>
      <c r="L11" s="1080" t="str">
        <f>利润表!AO85</f>
        <v>—</v>
      </c>
      <c r="M11" s="1080" t="str">
        <f>利润表!AP85</f>
        <v>—</v>
      </c>
      <c r="N11" s="1080" t="str">
        <f>利润表!AQ85</f>
        <v>—</v>
      </c>
      <c r="O11" s="1080" t="str">
        <f>利润表!AR85</f>
        <v>—</v>
      </c>
      <c r="P11" s="1080" t="str">
        <f>利润表!AS85</f>
        <v>—</v>
      </c>
      <c r="Q11" s="1080" t="str">
        <f>利润表!AT85</f>
        <v>—</v>
      </c>
    </row>
    <row r="12" spans="2:17" ht="15" customHeight="1">
      <c r="B12" s="29" t="s">
        <v>363</v>
      </c>
      <c r="C12" s="1080" t="str">
        <f>利润表!Q89</f>
        <v>—</v>
      </c>
      <c r="D12" s="1080" t="str">
        <f>利润表!U89</f>
        <v>—</v>
      </c>
      <c r="E12" s="1080" t="str">
        <f>利润表!Y89</f>
        <v>—</v>
      </c>
      <c r="F12" s="1080" t="str">
        <f>利润表!AC89</f>
        <v>—</v>
      </c>
      <c r="G12" s="1080" t="str">
        <f>利润表!AG89</f>
        <v>—</v>
      </c>
      <c r="H12" s="1080" t="str">
        <f>利润表!AK89</f>
        <v>—</v>
      </c>
      <c r="I12" s="1080" t="str">
        <f>利润表!AL89</f>
        <v>—</v>
      </c>
      <c r="J12" s="1080" t="str">
        <f>利润表!AM89</f>
        <v>—</v>
      </c>
      <c r="K12" s="1080" t="str">
        <f>利润表!AN89</f>
        <v>—</v>
      </c>
      <c r="L12" s="1080" t="str">
        <f>利润表!AO89</f>
        <v>—</v>
      </c>
      <c r="M12" s="1080" t="str">
        <f>利润表!AP89</f>
        <v>—</v>
      </c>
      <c r="N12" s="1080" t="str">
        <f>利润表!AQ89</f>
        <v>—</v>
      </c>
      <c r="O12" s="1080" t="str">
        <f>利润表!AR89</f>
        <v>—</v>
      </c>
      <c r="P12" s="1080" t="str">
        <f>利润表!AS89</f>
        <v>—</v>
      </c>
      <c r="Q12" s="1080" t="str">
        <f>利润表!AT89</f>
        <v>—</v>
      </c>
    </row>
    <row r="13" spans="2:17" ht="15" customHeight="1">
      <c r="B13" s="29" t="s">
        <v>537</v>
      </c>
      <c r="C13" s="1080" t="str">
        <f>IF(ISERROR(利润表!Q99/利润表!Q8),"—",利润表!Q99/利润表!Q8)</f>
        <v>—</v>
      </c>
      <c r="D13" s="1080" t="str">
        <f>IF(ISERROR(利润表!U99/利润表!U8),"—",利润表!U99/利润表!U8)</f>
        <v>—</v>
      </c>
      <c r="E13" s="1080" t="str">
        <f>IF(ISERROR(利润表!Y99/利润表!Y8),"—",利润表!Y99/利润表!Y8)</f>
        <v>—</v>
      </c>
      <c r="F13" s="1080" t="str">
        <f>IF(ISERROR(利润表!AC99/利润表!AC8),"—",利润表!AC99/利润表!AC8)</f>
        <v>—</v>
      </c>
      <c r="G13" s="1080" t="str">
        <f>IF(ISERROR(利润表!AG99/利润表!AG8),"—",利润表!AG99/利润表!AG8)</f>
        <v>—</v>
      </c>
      <c r="H13" s="1080" t="str">
        <f>IF(ISERROR(利润表!AK99/利润表!AK8),"—",利润表!AK99/利润表!AK8)</f>
        <v>—</v>
      </c>
      <c r="I13" s="1080" t="str">
        <f>IF(ISERROR(利润表!AL99/利润表!AL8),"—",利润表!AL99/利润表!AL8)</f>
        <v>—</v>
      </c>
      <c r="J13" s="1080" t="str">
        <f>IF(ISERROR(利润表!AM99/利润表!AM8),"—",利润表!AM99/利润表!AM8)</f>
        <v>—</v>
      </c>
      <c r="K13" s="1080" t="str">
        <f>IF(ISERROR(利润表!AN99/利润表!AN8),"—",利润表!AN99/利润表!AN8)</f>
        <v>—</v>
      </c>
      <c r="L13" s="1080" t="str">
        <f>IF(ISERROR(利润表!AO99/利润表!AO8),"—",利润表!AO99/利润表!AO8)</f>
        <v>—</v>
      </c>
      <c r="M13" s="1080" t="str">
        <f>IF(ISERROR(利润表!AP99/利润表!AP8),"—",利润表!AP99/利润表!AP8)</f>
        <v>—</v>
      </c>
      <c r="N13" s="1080" t="str">
        <f>IF(ISERROR(利润表!AQ99/利润表!AQ8),"—",利润表!AQ99/利润表!AQ8)</f>
        <v>—</v>
      </c>
      <c r="O13" s="1080" t="str">
        <f>IF(ISERROR(利润表!AR99/利润表!AR8),"—",利润表!AR99/利润表!AR8)</f>
        <v>—</v>
      </c>
      <c r="P13" s="1080" t="str">
        <f>IF(ISERROR(利润表!AS99/利润表!AS8),"—",利润表!AS99/利润表!AS8)</f>
        <v>—</v>
      </c>
      <c r="Q13" s="1080" t="str">
        <f>IF(ISERROR(利润表!AT99/利润表!AT8),"—",利润表!AT99/利润表!AT8)</f>
        <v>—</v>
      </c>
    </row>
    <row r="14" spans="2:17" ht="15" customHeight="1">
      <c r="B14" s="29" t="s">
        <v>538</v>
      </c>
      <c r="C14" s="1080" t="str">
        <f>IF(ISERROR((利润表!Q29+利润表!Q31+利润表!Q33+利润表!Q36)/利润表!Q8),"—",(利润表!Q29+利润表!Q31+利润表!Q33+利润表!Q36)/利润表!Q8)</f>
        <v>—</v>
      </c>
      <c r="D14" s="1080" t="str">
        <f>IF(ISERROR((利润表!U29+利润表!U31+利润表!U33+利润表!U36)/利润表!U8),"—",(利润表!U29+利润表!U31+利润表!U33+利润表!U36)/利润表!U8)</f>
        <v>—</v>
      </c>
      <c r="E14" s="1080" t="str">
        <f>IF(ISERROR((利润表!Y29+利润表!Y31+利润表!Y33+利润表!Y36)/利润表!Y8),"—",(利润表!Y29+利润表!Y31+利润表!Y33+利润表!Y36)/利润表!Y8)</f>
        <v>—</v>
      </c>
      <c r="F14" s="1080" t="str">
        <f>IF(ISERROR((利润表!AC29+利润表!AC31+利润表!AC33+利润表!AC36)/利润表!AC8),"—",(利润表!AC29+利润表!AC31+利润表!AC33+利润表!AC36)/利润表!AC8)</f>
        <v>—</v>
      </c>
      <c r="G14" s="1080" t="str">
        <f>IF(ISERROR((利润表!AG29+利润表!AG31+利润表!AG33+利润表!AG36)/利润表!AG8),"—",(利润表!AG29+利润表!AG31+利润表!AG33+利润表!AG36)/利润表!AG8)</f>
        <v>—</v>
      </c>
      <c r="H14" s="1080" t="str">
        <f>IF(ISERROR((利润表!AK29+利润表!AK31+利润表!AK33+利润表!AK36)/利润表!AK8),"—",(利润表!AK29+利润表!AK31+利润表!AK33+利润表!AK36)/利润表!AK8)</f>
        <v>—</v>
      </c>
      <c r="I14" s="1080" t="str">
        <f>IF(ISERROR((利润表!AL29+利润表!AL31+利润表!AL33+利润表!AL36)/利润表!AL8),"—",(利润表!AL29+利润表!AL31+利润表!AL33+利润表!AL36)/利润表!AL8)</f>
        <v>—</v>
      </c>
      <c r="J14" s="1080" t="str">
        <f>IF(ISERROR((利润表!AM29+利润表!AM31+利润表!AM33+利润表!AM36)/利润表!AM8),"—",(利润表!AM29+利润表!AM31+利润表!AM33+利润表!AM36)/利润表!AM8)</f>
        <v>—</v>
      </c>
      <c r="K14" s="1080" t="str">
        <f>IF(ISERROR((利润表!AN29+利润表!AN31+利润表!AN33+利润表!AN36)/利润表!AN8),"—",(利润表!AN29+利润表!AN31+利润表!AN33+利润表!AN36)/利润表!AN8)</f>
        <v>—</v>
      </c>
      <c r="L14" s="1080" t="str">
        <f>IF(ISERROR((利润表!AO29+利润表!AO31+利润表!AO33+利润表!AO36)/利润表!AO8),"—",(利润表!AO29+利润表!AO31+利润表!AO33+利润表!AO36)/利润表!AO8)</f>
        <v>—</v>
      </c>
      <c r="M14" s="1080" t="str">
        <f>IF(ISERROR((利润表!AP29+利润表!AP31+利润表!AP33+利润表!AP36)/利润表!AP8),"—",(利润表!AP29+利润表!AP31+利润表!AP33+利润表!AP36)/利润表!AP8)</f>
        <v>—</v>
      </c>
      <c r="N14" s="1080" t="str">
        <f>IF(ISERROR((利润表!AQ29+利润表!AQ31+利润表!AQ33+利润表!AQ36)/利润表!AQ8),"—",(利润表!AQ29+利润表!AQ31+利润表!AQ33+利润表!AQ36)/利润表!AQ8)</f>
        <v>—</v>
      </c>
      <c r="O14" s="1080" t="str">
        <f>IF(ISERROR((利润表!AR29+利润表!AR31+利润表!AR33+利润表!AR36)/利润表!AR8),"—",(利润表!AR29+利润表!AR31+利润表!AR33+利润表!AR36)/利润表!AR8)</f>
        <v>—</v>
      </c>
      <c r="P14" s="1080" t="str">
        <f>IF(ISERROR((利润表!AS29+利润表!AS31+利润表!AS33+利润表!AS36)/利润表!AS8),"—",(利润表!AS29+利润表!AS31+利润表!AS33+利润表!AS36)/利润表!AS8)</f>
        <v>—</v>
      </c>
      <c r="Q14" s="1080" t="str">
        <f>IF(ISERROR((利润表!AT29+利润表!AT31+利润表!AT33+利润表!AT36)/利润表!AT8),"—",(利润表!AT29+利润表!AT31+利润表!AT33+利润表!AT36)/利润表!AT8)</f>
        <v>—</v>
      </c>
    </row>
    <row r="15" spans="2:17" ht="15" customHeight="1">
      <c r="B15" s="29"/>
      <c r="C15" s="1081"/>
      <c r="D15" s="1081"/>
      <c r="E15" s="1081"/>
      <c r="F15" s="1081"/>
      <c r="G15" s="1082"/>
      <c r="H15" s="1082"/>
      <c r="I15" s="1082"/>
      <c r="J15" s="1082"/>
      <c r="K15" s="1082"/>
      <c r="L15" s="1082"/>
      <c r="M15" s="1082"/>
      <c r="N15" s="1082"/>
      <c r="O15" s="1082"/>
      <c r="P15" s="1082"/>
      <c r="Q15" s="1082"/>
    </row>
    <row r="16" spans="2:17" ht="15" customHeight="1">
      <c r="B16" s="154" t="s">
        <v>365</v>
      </c>
      <c r="C16" s="1081"/>
      <c r="D16" s="1081"/>
      <c r="E16" s="1081"/>
      <c r="F16" s="1081"/>
      <c r="G16" s="1082"/>
      <c r="H16" s="1082"/>
      <c r="I16" s="1082"/>
      <c r="J16" s="1082"/>
      <c r="K16" s="1082"/>
      <c r="L16" s="1082"/>
      <c r="M16" s="1082"/>
      <c r="N16" s="1082"/>
      <c r="O16" s="1082"/>
      <c r="P16" s="1082"/>
      <c r="Q16" s="1082"/>
    </row>
    <row r="17" spans="2:17" ht="15" customHeight="1">
      <c r="B17" s="29" t="s">
        <v>307</v>
      </c>
      <c r="C17" s="1081" t="str">
        <f>利润表!Q7</f>
        <v>—</v>
      </c>
      <c r="D17" s="1081" t="str">
        <f>利润表!U7</f>
        <v>—</v>
      </c>
      <c r="E17" s="1081" t="str">
        <f>利润表!Y7</f>
        <v>—</v>
      </c>
      <c r="F17" s="1081" t="str">
        <f>利润表!AC7</f>
        <v>—</v>
      </c>
      <c r="G17" s="1081" t="str">
        <f>利润表!AG7</f>
        <v>—</v>
      </c>
      <c r="H17" s="1081" t="str">
        <f>利润表!AK7</f>
        <v>—</v>
      </c>
      <c r="I17" s="1081" t="str">
        <f>利润表!AL7</f>
        <v>—</v>
      </c>
      <c r="J17" s="1081" t="str">
        <f>利润表!AM7</f>
        <v>—</v>
      </c>
      <c r="K17" s="1081" t="str">
        <f>利润表!AN7</f>
        <v>—</v>
      </c>
      <c r="L17" s="1081" t="str">
        <f>利润表!AO7</f>
        <v>—</v>
      </c>
      <c r="M17" s="1081" t="str">
        <f>利润表!AP7</f>
        <v>—</v>
      </c>
      <c r="N17" s="1081" t="str">
        <f>利润表!AQ7</f>
        <v>—</v>
      </c>
      <c r="O17" s="1081" t="str">
        <f>利润表!AR7</f>
        <v>—</v>
      </c>
      <c r="P17" s="1081" t="str">
        <f>利润表!AS7</f>
        <v>—</v>
      </c>
      <c r="Q17" s="1081" t="str">
        <f>利润表!AT7</f>
        <v>—</v>
      </c>
    </row>
    <row r="18" spans="2:17" ht="15" customHeight="1">
      <c r="B18" s="29" t="s">
        <v>539</v>
      </c>
      <c r="C18" s="1081" t="str">
        <f>利润表!Q9</f>
        <v>—</v>
      </c>
      <c r="D18" s="1081" t="str">
        <f>利润表!U9</f>
        <v>—</v>
      </c>
      <c r="E18" s="1081" t="str">
        <f>利润表!Y9</f>
        <v>—</v>
      </c>
      <c r="F18" s="1081" t="str">
        <f>利润表!AC9</f>
        <v>—</v>
      </c>
      <c r="G18" s="1081" t="str">
        <f>利润表!AG9</f>
        <v>—</v>
      </c>
      <c r="H18" s="1081" t="str">
        <f>利润表!AK9</f>
        <v>—</v>
      </c>
      <c r="I18" s="1081" t="str">
        <f>利润表!AL9</f>
        <v>—</v>
      </c>
      <c r="J18" s="1081" t="str">
        <f>利润表!AM9</f>
        <v>—</v>
      </c>
      <c r="K18" s="1081" t="str">
        <f>利润表!AN9</f>
        <v>—</v>
      </c>
      <c r="L18" s="1081" t="str">
        <f>利润表!AO9</f>
        <v>—</v>
      </c>
      <c r="M18" s="1081" t="str">
        <f>利润表!AP9</f>
        <v>—</v>
      </c>
      <c r="N18" s="1081" t="str">
        <f>利润表!AQ9</f>
        <v>—</v>
      </c>
      <c r="O18" s="1081" t="str">
        <f>利润表!AR9</f>
        <v>—</v>
      </c>
      <c r="P18" s="1081" t="str">
        <f>利润表!AS9</f>
        <v>—</v>
      </c>
      <c r="Q18" s="1081" t="str">
        <f>利润表!AT9</f>
        <v>—</v>
      </c>
    </row>
    <row r="19" spans="2:17" ht="15" customHeight="1">
      <c r="B19" s="29" t="s">
        <v>540</v>
      </c>
      <c r="C19" s="1080" t="str">
        <f>利润表!Q75</f>
        <v>—</v>
      </c>
      <c r="D19" s="1080" t="str">
        <f>利润表!U75</f>
        <v>—</v>
      </c>
      <c r="E19" s="1080" t="str">
        <f>利润表!Y75</f>
        <v>—</v>
      </c>
      <c r="F19" s="1080" t="str">
        <f>利润表!AC75</f>
        <v>—</v>
      </c>
      <c r="G19" s="1080" t="str">
        <f>利润表!AG75</f>
        <v>—</v>
      </c>
      <c r="H19" s="1081" t="str">
        <f>利润表!AK75</f>
        <v>—</v>
      </c>
      <c r="I19" s="1081" t="str">
        <f>利润表!AL75</f>
        <v>—</v>
      </c>
      <c r="J19" s="1081" t="str">
        <f>利润表!AM75</f>
        <v>—</v>
      </c>
      <c r="K19" s="1081" t="str">
        <f>利润表!AN75</f>
        <v>—</v>
      </c>
      <c r="L19" s="1081" t="str">
        <f>利润表!AO75</f>
        <v>—</v>
      </c>
      <c r="M19" s="1081" t="str">
        <f>利润表!AP75</f>
        <v>—</v>
      </c>
      <c r="N19" s="1081" t="str">
        <f>利润表!AQ75</f>
        <v>—</v>
      </c>
      <c r="O19" s="1081" t="str">
        <f>利润表!AR75</f>
        <v>—</v>
      </c>
      <c r="P19" s="1081" t="str">
        <f>利润表!AS75</f>
        <v>—</v>
      </c>
      <c r="Q19" s="1081" t="str">
        <f>利润表!AT75</f>
        <v>—</v>
      </c>
    </row>
    <row r="20" spans="2:17" ht="15" customHeight="1">
      <c r="B20" s="29" t="s">
        <v>308</v>
      </c>
      <c r="C20" s="1080" t="str">
        <f>利润表!Q96</f>
        <v>—</v>
      </c>
      <c r="D20" s="1080" t="str">
        <f>利润表!U96</f>
        <v>—</v>
      </c>
      <c r="E20" s="1080" t="str">
        <f>利润表!Y96</f>
        <v>—</v>
      </c>
      <c r="F20" s="1080" t="str">
        <f>利润表!AC96</f>
        <v>—</v>
      </c>
      <c r="G20" s="1080" t="str">
        <f>利润表!AG96</f>
        <v>—</v>
      </c>
      <c r="H20" s="1081" t="str">
        <f>利润表!AK96</f>
        <v>—</v>
      </c>
      <c r="I20" s="1081" t="str">
        <f>利润表!AL96</f>
        <v>—</v>
      </c>
      <c r="J20" s="1081" t="str">
        <f>利润表!AM96</f>
        <v>—</v>
      </c>
      <c r="K20" s="1081" t="str">
        <f>利润表!AN96</f>
        <v>—</v>
      </c>
      <c r="L20" s="1081" t="str">
        <f>利润表!AO96</f>
        <v>—</v>
      </c>
      <c r="M20" s="1081" t="str">
        <f>利润表!AP96</f>
        <v>—</v>
      </c>
      <c r="N20" s="1081" t="str">
        <f>利润表!AQ96</f>
        <v>—</v>
      </c>
      <c r="O20" s="1081" t="str">
        <f>利润表!AR96</f>
        <v>—</v>
      </c>
      <c r="P20" s="1081" t="str">
        <f>利润表!AS96</f>
        <v>—</v>
      </c>
      <c r="Q20" s="1081" t="str">
        <f>利润表!AT96</f>
        <v>—</v>
      </c>
    </row>
    <row r="21" spans="2:17" ht="15" customHeight="1">
      <c r="B21" s="29" t="s">
        <v>541</v>
      </c>
      <c r="C21" s="1080" t="str">
        <f>IF(ISERROR((利润表!Q99-利润表!M99)/ABS(利润表!M99)),"—",(利润表!Q99-利润表!M99)/ABS(利润表!M99))</f>
        <v>—</v>
      </c>
      <c r="D21" s="1080" t="str">
        <f>IF(ISERROR((利润表!U99-利润表!Q99)/ABS(利润表!Q99)),"—",(利润表!U99-利润表!Q99)/ABS(利润表!Q99))</f>
        <v>—</v>
      </c>
      <c r="E21" s="1080" t="str">
        <f>IF(ISERROR((利润表!Y99-利润表!U99)/ABS(利润表!U99)),"—",(利润表!Y99-利润表!U99)/ABS(利润表!U99))</f>
        <v>—</v>
      </c>
      <c r="F21" s="1080" t="str">
        <f>IF(ISERROR((利润表!AC99-利润表!Y99)/ABS(利润表!Y99)),"—",(利润表!AC99-利润表!Y99)/ABS(利润表!Y99))</f>
        <v>—</v>
      </c>
      <c r="G21" s="1080" t="str">
        <f>IF(ISERROR((利润表!AG99-利润表!AC99)/ABS(利润表!AC99)),"—",(利润表!AG99-利润表!AC99)/ABS(利润表!AC99))</f>
        <v>—</v>
      </c>
      <c r="H21" s="1080" t="str">
        <f>IF(ISERROR((利润表!AK99-利润表!AG99)/ABS(利润表!AG99)),"—",(利润表!AK99-利润表!AG99)/ABS(利润表!AG99))</f>
        <v>—</v>
      </c>
      <c r="I21" s="1080" t="str">
        <f>IF(ISERROR((利润表!AL99-利润表!AK99)/ABS(利润表!AK99)),"—",(利润表!AL99-利润表!AK99)/ABS(利润表!AK99))</f>
        <v>—</v>
      </c>
      <c r="J21" s="1080" t="str">
        <f>IF(ISERROR((利润表!AM99-利润表!AL99)/ABS(利润表!AL99)),"—",(利润表!AM99-利润表!AL99)/ABS(利润表!AL99))</f>
        <v>—</v>
      </c>
      <c r="K21" s="1080" t="str">
        <f>IF(ISERROR((利润表!AN99-利润表!AM99)/ABS(利润表!AM99)),"—",(利润表!AN99-利润表!AM99)/ABS(利润表!AM99))</f>
        <v>—</v>
      </c>
      <c r="L21" s="1080" t="str">
        <f>IF(ISERROR((利润表!AO99-利润表!AN99)/ABS(利润表!AN99)),"—",(利润表!AO99-利润表!AN99)/ABS(利润表!AN99))</f>
        <v>—</v>
      </c>
      <c r="M21" s="1080" t="str">
        <f>IF(ISERROR((利润表!AP99-利润表!AO99)/ABS(利润表!AO99)),"—",(利润表!AP99-利润表!AO99)/ABS(利润表!AO99))</f>
        <v>—</v>
      </c>
      <c r="N21" s="1080" t="str">
        <f>IF(ISERROR((利润表!AQ99-利润表!AP99)/ABS(利润表!AP99)),"—",(利润表!AQ99-利润表!AP99)/ABS(利润表!AP99))</f>
        <v>—</v>
      </c>
      <c r="O21" s="1080" t="str">
        <f>IF(ISERROR((利润表!AR99-利润表!AQ99)/ABS(利润表!AQ99)),"—",(利润表!AR99-利润表!AQ99)/ABS(利润表!AQ99))</f>
        <v>—</v>
      </c>
      <c r="P21" s="1080" t="str">
        <f>IF(ISERROR((利润表!AS99-利润表!AR99)/ABS(利润表!AR99)),"—",(利润表!AS99-利润表!AR99)/ABS(利润表!AR99))</f>
        <v>—</v>
      </c>
      <c r="Q21" s="1080" t="str">
        <f>IF(ISERROR((利润表!AT99-利润表!AS99)/ABS(利润表!AS99)),"—",(利润表!AT99-利润表!AS99)/ABS(利润表!AS99))</f>
        <v>—</v>
      </c>
    </row>
    <row r="22" spans="2:17" ht="15" customHeight="1">
      <c r="B22" s="29" t="s">
        <v>368</v>
      </c>
      <c r="C22" s="367" t="str">
        <f>IF(ISERROR(利润表!Q47),"—",利润表!Q47)</f>
        <v>—</v>
      </c>
      <c r="D22" s="367" t="str">
        <f>IF(ISERROR(利润表!U47),"—",利润表!U47)</f>
        <v>—</v>
      </c>
      <c r="E22" s="367" t="str">
        <f>IF(ISERROR(利润表!Y47),"—",利润表!Y47)</f>
        <v>—</v>
      </c>
      <c r="F22" s="367" t="str">
        <f>IF(ISERROR(利润表!AC47),"—",利润表!AC47)</f>
        <v>—</v>
      </c>
      <c r="G22" s="367" t="str">
        <f>IF(ISERROR(利润表!AG47),"—",利润表!AG47)</f>
        <v>—</v>
      </c>
      <c r="H22" s="367" t="str">
        <f>IF(ISERROR(利润表!AK47),"—",利润表!AK47)</f>
        <v>—</v>
      </c>
      <c r="I22" s="367" t="str">
        <f>IF(ISERROR(利润表!AL47),"—",利润表!AL47)</f>
        <v>—</v>
      </c>
      <c r="J22" s="367" t="str">
        <f>IF(ISERROR(利润表!AM47),"—",利润表!AM47)</f>
        <v>—</v>
      </c>
      <c r="K22" s="367" t="str">
        <f>IF(ISERROR(利润表!AN47),"—",利润表!AN47)</f>
        <v>—</v>
      </c>
      <c r="L22" s="367" t="str">
        <f>IF(ISERROR(利润表!AO47),"—",利润表!AO47)</f>
        <v>—</v>
      </c>
      <c r="M22" s="367" t="str">
        <f>IF(ISERROR(利润表!AP47),"—",利润表!AP47)</f>
        <v>—</v>
      </c>
      <c r="N22" s="367" t="str">
        <f>IF(ISERROR(利润表!AQ47),"—",利润表!AQ47)</f>
        <v>—</v>
      </c>
      <c r="O22" s="367" t="str">
        <f>IF(ISERROR(利润表!AR47),"—",利润表!AR47)</f>
        <v>—</v>
      </c>
      <c r="P22" s="367" t="str">
        <f>IF(ISERROR(利润表!AS47),"—",利润表!AS47)</f>
        <v>—</v>
      </c>
      <c r="Q22" s="367" t="str">
        <f>IF(ISERROR(利润表!AT47),"—",利润表!AT47)</f>
        <v>—</v>
      </c>
    </row>
    <row r="23" spans="2:17" ht="15" customHeight="1">
      <c r="B23" s="29" t="s">
        <v>542</v>
      </c>
      <c r="C23" s="1080" t="str">
        <f>IF(ISERROR((利润表!Q42-利润表!M42)/ABS(利润表!M42)),"—",(利润表!Q42-利润表!M42)/ABS(利润表!M42))</f>
        <v>—</v>
      </c>
      <c r="D23" s="1080" t="str">
        <f>IF(ISERROR((利润表!U42-利润表!Q42)/ABS(利润表!Q42)),"—",(利润表!U42-利润表!Q42)/ABS(利润表!Q42))</f>
        <v>—</v>
      </c>
      <c r="E23" s="1080" t="str">
        <f>IF(ISERROR((利润表!Y42-利润表!U42)/ABS(利润表!U42)),"—",(利润表!Y42-利润表!U42)/ABS(利润表!U42))</f>
        <v>—</v>
      </c>
      <c r="F23" s="1080" t="str">
        <f>IF(ISERROR((利润表!AC42-利润表!Y42)/ABS(利润表!Y42)),"—",(利润表!AC42-利润表!Y42)/ABS(利润表!Y42))</f>
        <v>—</v>
      </c>
      <c r="G23" s="1080" t="str">
        <f>IF(ISERROR((利润表!AG42-利润表!AC42)/ABS(利润表!AC42)),"—",(利润表!AG42-利润表!AC42)/ABS(利润表!AC42))</f>
        <v>—</v>
      </c>
      <c r="H23" s="1080" t="str">
        <f>IF(ISERROR((利润表!AK42-利润表!AG42)/ABS(利润表!AG42)),"—",(利润表!AK42-利润表!AG42)/ABS(利润表!AG42))</f>
        <v>—</v>
      </c>
      <c r="I23" s="1080" t="str">
        <f>IF(ISERROR((利润表!AL42-利润表!AK42)/ABS(利润表!AK42)),"—",(利润表!AL42-利润表!AK42)/ABS(利润表!AK42))</f>
        <v>—</v>
      </c>
      <c r="J23" s="1080" t="str">
        <f>IF(ISERROR((利润表!AM42-利润表!AL42)/ABS(利润表!AL42)),"—",(利润表!AM42-利润表!AL42)/ABS(利润表!AL42))</f>
        <v>—</v>
      </c>
      <c r="K23" s="1080" t="str">
        <f>IF(ISERROR((利润表!AN42-利润表!AM42)/ABS(利润表!AM42)),"—",(利润表!AN42-利润表!AM42)/ABS(利润表!AM42))</f>
        <v>—</v>
      </c>
      <c r="L23" s="1080" t="str">
        <f>IF(ISERROR((利润表!AO42-利润表!AN42)/ABS(利润表!AN42)),"—",(利润表!AO42-利润表!AN42)/ABS(利润表!AN42))</f>
        <v>—</v>
      </c>
      <c r="M23" s="1080" t="str">
        <f>IF(ISERROR((利润表!AP42-利润表!AO42)/ABS(利润表!AO42)),"—",(利润表!AP42-利润表!AO42)/ABS(利润表!AO42))</f>
        <v>—</v>
      </c>
      <c r="N23" s="1080" t="str">
        <f>IF(ISERROR((利润表!AQ42-利润表!AP42)/ABS(利润表!AP42)),"—",(利润表!AQ42-利润表!AP42)/ABS(利润表!AP42))</f>
        <v>—</v>
      </c>
      <c r="O23" s="1080" t="str">
        <f>IF(ISERROR((利润表!AR42-利润表!AQ42)/ABS(利润表!AQ42)),"—",(利润表!AR42-利润表!AQ42)/ABS(利润表!AQ42))</f>
        <v>—</v>
      </c>
      <c r="P23" s="1080" t="str">
        <f>IF(ISERROR((利润表!AS42-利润表!AR42)/ABS(利润表!AR42)),"—",(利润表!AS42-利润表!AR42)/ABS(利润表!AR42))</f>
        <v>—</v>
      </c>
      <c r="Q23" s="1080" t="str">
        <f>IF(ISERROR((利润表!AT42-利润表!AS42)/ABS(利润表!AS42)),"—",(利润表!AT42-利润表!AS42)/ABS(利润表!AS42))</f>
        <v>—</v>
      </c>
    </row>
    <row r="24" spans="2:17" ht="15" customHeight="1">
      <c r="B24" s="29" t="s">
        <v>371</v>
      </c>
      <c r="C24" s="1080" t="str">
        <f>IF(ISERROR((资产负债表!Q45-资产负债表!M45)/ABS(资产负债表!M45)),"—",(资产负债表!Q45-资产负债表!M45)/ABS(资产负债表!M45))</f>
        <v>—</v>
      </c>
      <c r="D24" s="1080" t="str">
        <f>IF(ISERROR((资产负债表!U45-资产负债表!Q45)/ABS(资产负债表!Q45)),"—",(资产负债表!U45-资产负债表!Q45)/ABS(资产负债表!Q45))</f>
        <v>—</v>
      </c>
      <c r="E24" s="1080" t="str">
        <f>IF(ISERROR((资产负债表!Y45-资产负债表!U45)/ABS(资产负债表!U45)),"—",(资产负债表!Y45-资产负债表!U45)/ABS(资产负债表!U45))</f>
        <v>—</v>
      </c>
      <c r="F24" s="1080" t="str">
        <f>IF(ISERROR((资产负债表!AC45-资产负债表!Y45)/ABS(资产负债表!Y45)),"—",(资产负债表!AC45-资产负债表!Y45)/ABS(资产负债表!Y45))</f>
        <v>—</v>
      </c>
      <c r="G24" s="1080" t="str">
        <f>IF(ISERROR((资产负债表!AG45-资产负债表!AC45)/ABS(资产负债表!AC45)),"—",(资产负债表!AG45-资产负债表!AC45)/ABS(资产负债表!AC45))</f>
        <v>—</v>
      </c>
      <c r="H24" s="1080" t="str">
        <f>IF(ISERROR((资产负债表!AK45-资产负债表!AG45)/ABS(资产负债表!AG45)),"—",(资产负债表!AK45-资产负债表!AG45)/ABS(资产负债表!AG45))</f>
        <v>—</v>
      </c>
      <c r="I24" s="1080" t="str">
        <f>IF(ISERROR((资产负债表!AL45-资产负债表!AK45)/ABS(资产负债表!AK45)),"—",(资产负债表!AL45-资产负债表!AK45)/ABS(资产负债表!AK45))</f>
        <v>—</v>
      </c>
      <c r="J24" s="1080" t="str">
        <f>IF(ISERROR((资产负债表!AM45-资产负债表!AL45)/ABS(资产负债表!AL45)),"—",(资产负债表!AM45-资产负债表!AL45)/ABS(资产负债表!AL45))</f>
        <v>—</v>
      </c>
      <c r="K24" s="1080" t="str">
        <f>IF(ISERROR((资产负债表!AN45-资产负债表!AM45)/ABS(资产负债表!AM45)),"—",(资产负债表!AN45-资产负债表!AM45)/ABS(资产负债表!AM45))</f>
        <v>—</v>
      </c>
      <c r="L24" s="1080" t="str">
        <f>IF(ISERROR((资产负债表!AO45-资产负债表!AN45)/ABS(资产负债表!AN45)),"—",(资产负债表!AO45-资产负债表!AN45)/ABS(资产负债表!AN45))</f>
        <v>—</v>
      </c>
      <c r="M24" s="1080" t="str">
        <f>IF(ISERROR((资产负债表!AP45-资产负债表!AO45)/ABS(资产负债表!AO45)),"—",(资产负债表!AP45-资产负债表!AO45)/ABS(资产负债表!AO45))</f>
        <v>—</v>
      </c>
      <c r="N24" s="1080" t="str">
        <f>IF(ISERROR((资产负债表!AQ45-资产负债表!AP45)/ABS(资产负债表!AP45)),"—",(资产负债表!AQ45-资产负债表!AP45)/ABS(资产负债表!AP45))</f>
        <v>—</v>
      </c>
      <c r="O24" s="1080" t="str">
        <f>IF(ISERROR((资产负债表!AR45-资产负债表!AQ45)/ABS(资产负债表!AQ45)),"—",(资产负债表!AR45-资产负债表!AQ45)/ABS(资产负债表!AQ45))</f>
        <v>—</v>
      </c>
      <c r="P24" s="1080" t="str">
        <f>IF(ISERROR((资产负债表!AS45-资产负债表!AR45)/ABS(资产负债表!AR45)),"—",(资产负债表!AS45-资产负债表!AR45)/ABS(资产负债表!AR45))</f>
        <v>—</v>
      </c>
      <c r="Q24" s="1080" t="str">
        <f>IF(ISERROR((资产负债表!AT45-资产负债表!AS45)/ABS(资产负债表!AS45)),"—",(资产负债表!AT45-资产负债表!AS45)/ABS(资产负债表!AS45))</f>
        <v>—</v>
      </c>
    </row>
    <row r="25" spans="2:17" ht="15" customHeight="1">
      <c r="B25" s="29" t="s">
        <v>543</v>
      </c>
      <c r="C25" s="1080" t="str">
        <f>IF(ISERROR((资产负债表!Q76-资产负债表!M76)/ABS(资产负债表!M76)),"—",(资产负债表!Q76-资产负债表!M76)/ABS(资产负债表!M76))</f>
        <v>—</v>
      </c>
      <c r="D25" s="1080" t="str">
        <f>IF(ISERROR((资产负债表!U76-资产负债表!Q76)/ABS(资产负债表!Q76)),"—",(资产负债表!U76-资产负债表!Q76)/ABS(资产负债表!Q76))</f>
        <v>—</v>
      </c>
      <c r="E25" s="1080" t="str">
        <f>IF(ISERROR((资产负债表!Y76-资产负债表!U76)/ABS(资产负债表!U76)),"—",(资产负债表!Y76-资产负债表!U76)/ABS(资产负债表!U76))</f>
        <v>—</v>
      </c>
      <c r="F25" s="1080" t="str">
        <f>IF(ISERROR((资产负债表!AC76-资产负债表!Y76)/ABS(资产负债表!Y76)),"—",(资产负债表!AC76-资产负债表!Y76)/ABS(资产负债表!Y76))</f>
        <v>—</v>
      </c>
      <c r="G25" s="1080" t="str">
        <f>IF(ISERROR((资产负债表!AG76-资产负债表!AC76)/ABS(资产负债表!AC76)),"—",(资产负债表!AG76-资产负债表!AC76)/ABS(资产负债表!AC76))</f>
        <v>—</v>
      </c>
      <c r="H25" s="1080" t="str">
        <f>IF(ISERROR((资产负债表!AK76-资产负债表!AG76)/ABS(资产负债表!AG76)),"—",(资产负债表!AK76-资产负债表!AG76)/ABS(资产负债表!AG76))</f>
        <v>—</v>
      </c>
      <c r="I25" s="1080" t="str">
        <f>IF(ISERROR((资产负债表!AL76-资产负债表!AK76)/ABS(资产负债表!AK76)),"—",(资产负债表!AL76-资产负债表!AK76)/ABS(资产负债表!AK76))</f>
        <v>—</v>
      </c>
      <c r="J25" s="1080" t="str">
        <f>IF(ISERROR((资产负债表!AM76-资产负债表!AL76)/ABS(资产负债表!AL76)),"—",(资产负债表!AM76-资产负债表!AL76)/ABS(资产负债表!AL76))</f>
        <v>—</v>
      </c>
      <c r="K25" s="1080" t="str">
        <f>IF(ISERROR((资产负债表!AN76-资产负债表!AM76)/ABS(资产负债表!AM76)),"—",(资产负债表!AN76-资产负债表!AM76)/ABS(资产负债表!AM76))</f>
        <v>—</v>
      </c>
      <c r="L25" s="1080" t="str">
        <f>IF(ISERROR((资产负债表!AO76-资产负债表!AN76)/ABS(资产负债表!AN76)),"—",(资产负债表!AO76-资产负债表!AN76)/ABS(资产负债表!AN76))</f>
        <v>—</v>
      </c>
      <c r="M25" s="1080" t="str">
        <f>IF(ISERROR((资产负债表!AP76-资产负债表!AO76)/ABS(资产负债表!AO76)),"—",(资产负债表!AP76-资产负债表!AO76)/ABS(资产负债表!AO76))</f>
        <v>—</v>
      </c>
      <c r="N25" s="1080" t="str">
        <f>IF(ISERROR((资产负债表!AQ76-资产负债表!AP76)/ABS(资产负债表!AP76)),"—",(资产负债表!AQ76-资产负债表!AP76)/ABS(资产负债表!AP76))</f>
        <v>—</v>
      </c>
      <c r="O25" s="1080" t="str">
        <f>IF(ISERROR((资产负债表!AR76-资产负债表!AQ76)/ABS(资产负债表!AQ76)),"—",(资产负债表!AR76-资产负债表!AQ76)/ABS(资产负债表!AQ76))</f>
        <v>—</v>
      </c>
      <c r="P25" s="1080" t="str">
        <f>IF(ISERROR((资产负债表!AS76-资产负债表!AR76)/ABS(资产负债表!AR76)),"—",(资产负债表!AS76-资产负债表!AR76)/ABS(资产负债表!AR76))</f>
        <v>—</v>
      </c>
      <c r="Q25" s="1080" t="str">
        <f>IF(ISERROR((资产负债表!AT76-资产负债表!AS76)/ABS(资产负债表!AS76)),"—",(资产负债表!AT76-资产负债表!AS76)/ABS(资产负债表!AS76))</f>
        <v>—</v>
      </c>
    </row>
    <row r="26" spans="2:17" ht="15" customHeight="1">
      <c r="B26" s="29" t="s">
        <v>544</v>
      </c>
      <c r="C26" s="1080" t="str">
        <f>IF(ISERROR((资产负债表!Q89-资产负债表!M89)/ABS(资产负债表!M89)),"—",(资产负债表!Q89-资产负债表!M89)/ABS(资产负债表!M89))</f>
        <v>—</v>
      </c>
      <c r="D26" s="1080" t="str">
        <f>IF(ISERROR((资产负债表!U89-资产负债表!Q89)/ABS(资产负债表!Q89)),"—",(资产负债表!U89-资产负债表!Q89)/ABS(资产负债表!Q89))</f>
        <v>—</v>
      </c>
      <c r="E26" s="1080" t="str">
        <f>IF(ISERROR((资产负债表!Y89-资产负债表!U89)/ABS(资产负债表!U89)),"—",(资产负债表!Y89-资产负债表!U89)/ABS(资产负债表!U89))</f>
        <v>—</v>
      </c>
      <c r="F26" s="1080" t="str">
        <f>IF(ISERROR((资产负债表!AC89-资产负债表!Y89)/ABS(资产负债表!Y89)),"—",(资产负债表!AC89-资产负债表!Y89)/ABS(资产负债表!Y89))</f>
        <v>—</v>
      </c>
      <c r="G26" s="1080" t="str">
        <f>IF(ISERROR((资产负债表!AG89-资产负债表!AC89)/ABS(资产负债表!AC89)),"—",(资产负债表!AG89-资产负债表!AC89)/ABS(资产负债表!AC89))</f>
        <v>—</v>
      </c>
      <c r="H26" s="1080" t="str">
        <f>IF(ISERROR((资产负债表!AK89-资产负债表!AG89)/ABS(资产负债表!AG89)),"—",(资产负债表!AK89-资产负债表!AG89)/ABS(资产负债表!AG89))</f>
        <v>—</v>
      </c>
      <c r="I26" s="1080" t="str">
        <f>IF(ISERROR((资产负债表!AL89-资产负债表!AK89)/ABS(资产负债表!AK89)),"—",(资产负债表!AL89-资产负债表!AK89)/ABS(资产负债表!AK89))</f>
        <v>—</v>
      </c>
      <c r="J26" s="1080" t="str">
        <f>IF(ISERROR((资产负债表!AM89-资产负债表!AL89)/ABS(资产负债表!AL89)),"—",(资产负债表!AM89-资产负债表!AL89)/ABS(资产负债表!AL89))</f>
        <v>—</v>
      </c>
      <c r="K26" s="1080" t="str">
        <f>IF(ISERROR((资产负债表!AN89-资产负债表!AM89)/ABS(资产负债表!AM89)),"—",(资产负债表!AN89-资产负债表!AM89)/ABS(资产负债表!AM89))</f>
        <v>—</v>
      </c>
      <c r="L26" s="1080" t="str">
        <f>IF(ISERROR((资产负债表!AO89-资产负债表!AN89)/ABS(资产负债表!AN89)),"—",(资产负债表!AO89-资产负债表!AN89)/ABS(资产负债表!AN89))</f>
        <v>—</v>
      </c>
      <c r="M26" s="1080" t="str">
        <f>IF(ISERROR((资产负债表!AP89-资产负债表!AO89)/ABS(资产负债表!AO89)),"—",(资产负债表!AP89-资产负债表!AO89)/ABS(资产负债表!AO89))</f>
        <v>—</v>
      </c>
      <c r="N26" s="1080" t="str">
        <f>IF(ISERROR((资产负债表!AQ89-资产负债表!AP89)/ABS(资产负债表!AP89)),"—",(资产负债表!AQ89-资产负债表!AP89)/ABS(资产负债表!AP89))</f>
        <v>—</v>
      </c>
      <c r="O26" s="1080" t="str">
        <f>IF(ISERROR((资产负债表!AR89-资产负债表!AQ89)/ABS(资产负债表!AQ89)),"—",(资产负债表!AR89-资产负债表!AQ89)/ABS(资产负债表!AQ89))</f>
        <v>—</v>
      </c>
      <c r="P26" s="1080" t="str">
        <f>IF(ISERROR((资产负债表!AS89-资产负债表!AR89)/ABS(资产负债表!AR89)),"—",(资产负债表!AS89-资产负债表!AR89)/ABS(资产负债表!AR89))</f>
        <v>—</v>
      </c>
      <c r="Q26" s="1080" t="str">
        <f>IF(ISERROR((资产负债表!AT89-资产负债表!AS89)/ABS(资产负债表!AS89)),"—",(资产负债表!AT89-资产负债表!AS89)/ABS(资产负债表!AS89))</f>
        <v>—</v>
      </c>
    </row>
    <row r="27" spans="2:17" ht="15" customHeight="1">
      <c r="B27" s="29" t="s">
        <v>545</v>
      </c>
      <c r="C27" s="1080" t="str">
        <f>IF(ISERROR((现金流量表!Q36-现金流量表!M36)/ABS(现金流量表!M36)),"—",(现金流量表!Q36-现金流量表!M36)/ABS(现金流量表!M36))</f>
        <v>—</v>
      </c>
      <c r="D27" s="1080" t="str">
        <f>IF(ISERROR((现金流量表!U36-现金流量表!Q36)/ABS(现金流量表!Q36)),"—",(现金流量表!U36-现金流量表!Q36)/ABS(现金流量表!Q36))</f>
        <v>—</v>
      </c>
      <c r="E27" s="1080" t="str">
        <f>IF(ISERROR((现金流量表!Y36-现金流量表!U36)/ABS(现金流量表!U36)),"—",(现金流量表!Y36-现金流量表!U36)/ABS(现金流量表!U36))</f>
        <v>—</v>
      </c>
      <c r="F27" s="1080" t="str">
        <f>IF(ISERROR((现金流量表!AC36-现金流量表!Y36)/ABS(现金流量表!Y36)),"—",(现金流量表!AC36-现金流量表!Y36)/ABS(现金流量表!Y36))</f>
        <v>—</v>
      </c>
      <c r="G27" s="1080" t="str">
        <f>IF(ISERROR((现金流量表!AG36-现金流量表!AC36)/ABS(现金流量表!AC36)),"—",(现金流量表!AG36-现金流量表!AC36)/ABS(现金流量表!AC36))</f>
        <v>—</v>
      </c>
      <c r="H27" s="1080" t="str">
        <f>IF(ISERROR((现金流量表!AK36-现金流量表!AG36)/ABS(现金流量表!AG36)),"—",(现金流量表!AK36-现金流量表!AG36)/ABS(现金流量表!AG36))</f>
        <v>—</v>
      </c>
      <c r="I27" s="1080" t="str">
        <f>IF(ISERROR((现金流量表!AL36-现金流量表!AK36)/ABS(现金流量表!AK36)),"—",(现金流量表!AL36-现金流量表!AK36)/ABS(现金流量表!AK36))</f>
        <v>—</v>
      </c>
      <c r="J27" s="1080" t="str">
        <f>IF(ISERROR((现金流量表!AM36-现金流量表!AL36)/ABS(现金流量表!AL36)),"—",(现金流量表!AM36-现金流量表!AL36)/ABS(现金流量表!AL36))</f>
        <v>—</v>
      </c>
      <c r="K27" s="1080" t="str">
        <f>IF(ISERROR((现金流量表!AN36-现金流量表!AM36)/ABS(现金流量表!AM36)),"—",(现金流量表!AN36-现金流量表!AM36)/ABS(现金流量表!AM36))</f>
        <v>—</v>
      </c>
      <c r="L27" s="1080" t="str">
        <f>IF(ISERROR((现金流量表!AO36-现金流量表!AN36)/ABS(现金流量表!AN36)),"—",(现金流量表!AO36-现金流量表!AN36)/ABS(现金流量表!AN36))</f>
        <v>—</v>
      </c>
      <c r="M27" s="1080" t="str">
        <f>IF(ISERROR((现金流量表!AP36-现金流量表!AO36)/ABS(现金流量表!AO36)),"—",(现金流量表!AP36-现金流量表!AO36)/ABS(现金流量表!AO36))</f>
        <v>—</v>
      </c>
      <c r="N27" s="1080" t="str">
        <f>IF(ISERROR((现金流量表!AQ36-现金流量表!AP36)/ABS(现金流量表!AP36)),"—",(现金流量表!AQ36-现金流量表!AP36)/ABS(现金流量表!AP36))</f>
        <v>—</v>
      </c>
      <c r="O27" s="1080" t="str">
        <f>IF(ISERROR((现金流量表!AR36-现金流量表!AQ36)/ABS(现金流量表!AQ36)),"—",(现金流量表!AR36-现金流量表!AQ36)/ABS(现金流量表!AQ36))</f>
        <v>—</v>
      </c>
      <c r="P27" s="1080" t="str">
        <f>IF(ISERROR((现金流量表!AS36-现金流量表!AR36)/ABS(现金流量表!AR36)),"—",(现金流量表!AS36-现金流量表!AR36)/ABS(现金流量表!AR36))</f>
        <v>—</v>
      </c>
      <c r="Q27" s="1080" t="str">
        <f>IF(ISERROR((现金流量表!AT36-现金流量表!AS36)/ABS(现金流量表!AS36)),"—",(现金流量表!AT36-现金流量表!AS36)/ABS(现金流量表!AS36))</f>
        <v>—</v>
      </c>
    </row>
    <row r="28" spans="2:17" ht="15" customHeight="1">
      <c r="B28" s="29" t="s">
        <v>546</v>
      </c>
      <c r="C28" s="1080" t="str">
        <f>IF(ISERROR((资产负债表!Q103-资产负债表!M103)/ABS(资产负债表!M103)),"—",(资产负债表!Q103-资产负债表!M103)/ABS(资产负债表!M103))</f>
        <v>—</v>
      </c>
      <c r="D28" s="1080" t="str">
        <f>IF(ISERROR((资产负债表!U103-资产负债表!Q103)/ABS(资产负债表!Q103)),"—",(资产负债表!U103-资产负债表!Q103)/ABS(资产负债表!Q103))</f>
        <v>—</v>
      </c>
      <c r="E28" s="1080" t="str">
        <f>IF(ISERROR((资产负债表!Y103-资产负债表!U103)/ABS(资产负债表!U103)),"—",(资产负债表!Y103-资产负债表!U103)/ABS(资产负债表!U103))</f>
        <v>—</v>
      </c>
      <c r="F28" s="1080" t="str">
        <f>IF(ISERROR((资产负债表!AC103-资产负债表!Y103)/ABS(资产负债表!Y103)),"—",(资产负债表!AC103-资产负债表!Y103)/ABS(资产负债表!Y103))</f>
        <v>—</v>
      </c>
      <c r="G28" s="1080" t="str">
        <f>IF(ISERROR((资产负债表!AG103-资产负债表!AC103)/ABS(资产负债表!AC103)),"—",(资产负债表!AG103-资产负债表!AC103)/ABS(资产负债表!AC103))</f>
        <v>—</v>
      </c>
      <c r="H28" s="1080" t="str">
        <f>IF(ISERROR((资产负债表!AK103-资产负债表!AG103)/ABS(资产负债表!AG103)),"—",(资产负债表!AK103-资产负债表!AG103)/ABS(资产负债表!AG103))</f>
        <v>—</v>
      </c>
      <c r="I28" s="1080" t="str">
        <f>IF(ISERROR((资产负债表!AL103-资产负债表!AK103)/ABS(资产负债表!AK103)),"—",(资产负债表!AL103-资产负债表!AK103)/ABS(资产负债表!AK103))</f>
        <v>—</v>
      </c>
      <c r="J28" s="1080" t="str">
        <f>IF(ISERROR((资产负债表!AM103-资产负债表!AL103)/ABS(资产负债表!AL103)),"—",(资产负债表!AM103-资产负债表!AL103)/ABS(资产负债表!AL103))</f>
        <v>—</v>
      </c>
      <c r="K28" s="1080" t="str">
        <f>IF(ISERROR((资产负债表!AN103-资产负债表!AM103)/ABS(资产负债表!AM103)),"—",(资产负债表!AN103-资产负债表!AM103)/ABS(资产负债表!AM103))</f>
        <v>—</v>
      </c>
      <c r="L28" s="1080" t="str">
        <f>IF(ISERROR((资产负债表!AO103-资产负债表!AN103)/ABS(资产负债表!AN103)),"—",(资产负债表!AO103-资产负债表!AN103)/ABS(资产负债表!AN103))</f>
        <v>—</v>
      </c>
      <c r="M28" s="1080" t="str">
        <f>IF(ISERROR((资产负债表!AP103-资产负债表!AO103)/ABS(资产负债表!AO103)),"—",(资产负债表!AP103-资产负债表!AO103)/ABS(资产负债表!AO103))</f>
        <v>—</v>
      </c>
      <c r="N28" s="1080" t="str">
        <f>IF(ISERROR((资产负债表!AQ103-资产负债表!AP103)/ABS(资产负债表!AP103)),"—",(资产负债表!AQ103-资产负债表!AP103)/ABS(资产负债表!AP103))</f>
        <v>—</v>
      </c>
      <c r="O28" s="1080" t="str">
        <f>IF(ISERROR((资产负债表!AR103-资产负债表!AQ103)/ABS(资产负债表!AQ103)),"—",(资产负债表!AR103-资产负债表!AQ103)/ABS(资产负债表!AQ103))</f>
        <v>—</v>
      </c>
      <c r="P28" s="1080" t="str">
        <f>IF(ISERROR((资产负债表!AS103-资产负债表!AR103)/ABS(资产负债表!AR103)),"—",(资产负债表!AS103-资产负债表!AR103)/ABS(资产负债表!AR103))</f>
        <v>—</v>
      </c>
      <c r="Q28" s="1080" t="str">
        <f>IF(ISERROR((资产负债表!AT103-资产负债表!AS103)/ABS(资产负债表!AS103)),"—",(资产负债表!AT103-资产负债表!AS103)/ABS(资产负债表!AS103))</f>
        <v>—</v>
      </c>
    </row>
    <row r="29" spans="2:17" ht="15" customHeight="1">
      <c r="B29" s="29"/>
      <c r="C29" s="1079"/>
      <c r="D29" s="1079"/>
      <c r="E29" s="1079"/>
      <c r="F29" s="1079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</row>
    <row r="30" spans="2:17" ht="15" customHeight="1">
      <c r="B30" s="154" t="s">
        <v>547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</row>
    <row r="31" spans="2:17" ht="15" customHeight="1">
      <c r="B31" s="29" t="s">
        <v>548</v>
      </c>
      <c r="C31" s="1083" t="str">
        <f>IF(ISERROR(利润表!Q8*2/(资产负债表!M12+资产负债表!Q12)),"—",利润表!Q8*2/(资产负债表!M12+资产负债表!Q12))</f>
        <v>—</v>
      </c>
      <c r="D31" s="1083" t="str">
        <f>IF(ISERROR(利润表!U8*2/(资产负债表!Q12+资产负债表!U12)),"—",利润表!U8*2/(资产负债表!Q12+资产负债表!U12))</f>
        <v>—</v>
      </c>
      <c r="E31" s="1083" t="str">
        <f>IF(ISERROR(利润表!Y8*2/(资产负债表!U12+资产负债表!Y12)),"—",利润表!Y8*2/(资产负债表!U12+资产负债表!Y12))</f>
        <v>—</v>
      </c>
      <c r="F31" s="1083" t="str">
        <f>IF(ISERROR(利润表!AC8*2/(资产负债表!Y12+资产负债表!AC12)),"—",利润表!AC8*2/(资产负债表!Y12+资产负债表!AC12))</f>
        <v>—</v>
      </c>
      <c r="G31" s="1083" t="str">
        <f>IF(ISERROR(利润表!AG8*2/(资产负债表!AC12+资产负债表!AG12)),"—",利润表!AG8*2/(资产负债表!AC12+资产负债表!AG12))</f>
        <v>—</v>
      </c>
      <c r="H31" s="1083" t="str">
        <f>IF(ISERROR(利润表!AK8*2/(资产负债表!AG12+资产负债表!AK12)),"—",利润表!AK8*2/(资产负债表!AG12+资产负债表!AK12))</f>
        <v>—</v>
      </c>
      <c r="I31" s="1083" t="str">
        <f>IF(ISERROR(利润表!AL8*2/(资产负债表!AK12+资产负债表!AL12)),"—",利润表!AL8*2/(资产负债表!AK12+资产负债表!AL12))</f>
        <v>—</v>
      </c>
      <c r="J31" s="1083" t="str">
        <f>IF(ISERROR(利润表!AM8*2/(资产负债表!AL12+资产负债表!AM12)),"—",利润表!AM8*2/(资产负债表!AL12+资产负债表!AM12))</f>
        <v>—</v>
      </c>
      <c r="K31" s="1083" t="str">
        <f>IF(ISERROR(利润表!AN8*2/(资产负债表!AM12+资产负债表!AN12)),"—",利润表!AN8*2/(资产负债表!AM12+资产负债表!AN12))</f>
        <v>—</v>
      </c>
      <c r="L31" s="1083" t="str">
        <f>IF(ISERROR(利润表!AO8*2/(资产负债表!AN12+资产负债表!AO12)),"—",利润表!AO8*2/(资产负债表!AN12+资产负债表!AO12))</f>
        <v>—</v>
      </c>
      <c r="M31" s="1083" t="str">
        <f>IF(ISERROR(利润表!AP8*2/(资产负债表!AO12+资产负债表!AP12)),"—",利润表!AP8*2/(资产负债表!AO12+资产负债表!AP12))</f>
        <v>—</v>
      </c>
      <c r="N31" s="1083" t="str">
        <f>IF(ISERROR(利润表!AQ8*2/(资产负债表!AP12+资产负债表!AQ12)),"—",利润表!AQ8*2/(资产负债表!AP12+资产负债表!AQ12))</f>
        <v>—</v>
      </c>
      <c r="O31" s="1083" t="str">
        <f>IF(ISERROR(利润表!AR8*2/(资产负债表!AQ12+资产负债表!AR12)),"—",利润表!AR8*2/(资产负债表!AQ12+资产负债表!AR12))</f>
        <v>—</v>
      </c>
      <c r="P31" s="1083" t="str">
        <f>IF(ISERROR(利润表!AS8*2/(资产负债表!AR12+资产负债表!AS12)),"—",利润表!AS8*2/(资产负债表!AR12+资产负债表!AS12))</f>
        <v>—</v>
      </c>
      <c r="Q31" s="1083" t="str">
        <f>IF(ISERROR(利润表!AT8*2/(资产负债表!AS12+资产负债表!AT12)),"—",利润表!AT8*2/(资产负债表!AS12+资产负债表!AT12))</f>
        <v>—</v>
      </c>
    </row>
    <row r="32" spans="2:17" ht="15" customHeight="1">
      <c r="B32" s="29" t="s">
        <v>549</v>
      </c>
      <c r="C32" s="1083" t="str">
        <f>IF(ISERROR(利润表!Q15*2/(资产负债表!M16+资产负债表!Q16)),"—",利润表!Q15*2/(资产负债表!M16+资产负债表!Q16))</f>
        <v>—</v>
      </c>
      <c r="D32" s="1083" t="str">
        <f>IF(ISERROR(利润表!U15*2/(资产负债表!Q16+资产负债表!U16)),"—",利润表!U15*2/(资产负债表!Q16+资产负债表!U16))</f>
        <v>—</v>
      </c>
      <c r="E32" s="1083" t="str">
        <f>IF(ISERROR(利润表!Y15*2/(资产负债表!U16+资产负债表!Y16)),"—",利润表!Y15*2/(资产负债表!U16+资产负债表!Y16))</f>
        <v>—</v>
      </c>
      <c r="F32" s="1083" t="str">
        <f>IF(ISERROR(利润表!AC15*2/(资产负债表!Y16+资产负债表!AC16)),"—",利润表!AC15*2/(资产负债表!Y16+资产负债表!AC16))</f>
        <v>—</v>
      </c>
      <c r="G32" s="1083" t="str">
        <f>IF(ISERROR(利润表!AG15*2/(资产负债表!AC16+资产负债表!AG16)),"—",利润表!AG15*2/(资产负债表!AC16+资产负债表!AG16))</f>
        <v>—</v>
      </c>
      <c r="H32" s="1083" t="str">
        <f>IF(ISERROR(利润表!AK15*2/(资产负债表!AG16+资产负债表!AK16)),"—",利润表!AK15*2/(资产负债表!AG16+资产负债表!AK16))</f>
        <v>—</v>
      </c>
      <c r="I32" s="1083" t="str">
        <f>IF(ISERROR(利润表!AL15*2/(资产负债表!AK16+资产负债表!AL16)),"—",利润表!AL15*2/(资产负债表!AK16+资产负债表!AL16))</f>
        <v>—</v>
      </c>
      <c r="J32" s="1083" t="str">
        <f>IF(ISERROR(利润表!AM15*2/(资产负债表!AL16+资产负债表!AM16)),"—",利润表!AM15*2/(资产负债表!AL16+资产负债表!AM16))</f>
        <v>—</v>
      </c>
      <c r="K32" s="1083" t="str">
        <f>IF(ISERROR(利润表!AN15*2/(资产负债表!AM16+资产负债表!AN16)),"—",利润表!AN15*2/(资产负债表!AM16+资产负债表!AN16))</f>
        <v>—</v>
      </c>
      <c r="L32" s="1083" t="str">
        <f>IF(ISERROR(利润表!AO15*2/(资产负债表!AN16+资产负债表!AO16)),"—",利润表!AO15*2/(资产负债表!AN16+资产负债表!AO16))</f>
        <v>—</v>
      </c>
      <c r="M32" s="1083" t="str">
        <f>IF(ISERROR(利润表!AP15*2/(资产负债表!AO16+资产负债表!AP16)),"—",利润表!AP15*2/(资产负债表!AO16+资产负债表!AP16))</f>
        <v>—</v>
      </c>
      <c r="N32" s="1083" t="str">
        <f>IF(ISERROR(利润表!AQ15*2/(资产负债表!AP16+资产负债表!AQ16)),"—",利润表!AQ15*2/(资产负债表!AP16+资产负债表!AQ16))</f>
        <v>—</v>
      </c>
      <c r="O32" s="1083" t="str">
        <f>IF(ISERROR(利润表!AR15*2/(资产负债表!AQ16+资产负债表!AR16)),"—",利润表!AR15*2/(资产负债表!AQ16+资产负债表!AR16))</f>
        <v>—</v>
      </c>
      <c r="P32" s="1083" t="str">
        <f>IF(ISERROR(利润表!AS15*2/(资产负债表!AR16+资产负债表!AS16)),"—",利润表!AS15*2/(资产负债表!AR16+资产负债表!AS16))</f>
        <v>—</v>
      </c>
      <c r="Q32" s="1083" t="str">
        <f>IF(ISERROR(利润表!AT15*2/(资产负债表!AS16+资产负债表!AT16)),"—",利润表!AT15*2/(资产负债表!AS16+资产负债表!AT16))</f>
        <v>—</v>
      </c>
    </row>
    <row r="33" spans="1:17" ht="15" customHeight="1">
      <c r="B33" s="29" t="s">
        <v>550</v>
      </c>
      <c r="C33" s="1083" t="str">
        <f>IF(ISERROR(利润表!Q15*2/(资产负债表!M53+资产负债表!Q53)),"—",利润表!Q15*2/(资产负债表!M53+资产负债表!Q53))</f>
        <v>—</v>
      </c>
      <c r="D33" s="1083" t="str">
        <f>IF(ISERROR(利润表!U15*2/(资产负债表!Q53+资产负债表!U53)),"—",利润表!U15*2/(资产负债表!Q53+资产负债表!U53))</f>
        <v>—</v>
      </c>
      <c r="E33" s="1083" t="str">
        <f>IF(ISERROR(利润表!Y15*2/(资产负债表!U53+资产负债表!Y53)),"—",利润表!Y15*2/(资产负债表!U53+资产负债表!Y53))</f>
        <v>—</v>
      </c>
      <c r="F33" s="1083" t="str">
        <f>IF(ISERROR(利润表!AC15*2/(资产负债表!Y53+资产负债表!AC53)),"—",利润表!AC15*2/(资产负债表!Y53+资产负债表!AC53))</f>
        <v>—</v>
      </c>
      <c r="G33" s="1083" t="str">
        <f>IF(ISERROR(利润表!AG15*2/(资产负债表!AC53+资产负债表!AG53)),"—",利润表!AG15*2/(资产负债表!AC53+资产负债表!AG53))</f>
        <v>—</v>
      </c>
      <c r="H33" s="1083" t="str">
        <f>IF(ISERROR(利润表!AK15*2/(资产负债表!AG53+资产负债表!AK53)),"—",利润表!AK15*2/(资产负债表!AG53+资产负债表!AK53))</f>
        <v>—</v>
      </c>
      <c r="I33" s="1083" t="str">
        <f>IF(ISERROR(利润表!AL15*2/(资产负债表!AK53+资产负债表!AL53)),"—",利润表!AL15*2/(资产负债表!AK53+资产负债表!AL53))</f>
        <v>—</v>
      </c>
      <c r="J33" s="1083" t="str">
        <f>IF(ISERROR(利润表!AM15*2/(资产负债表!AL53+资产负债表!AM53)),"—",利润表!AM15*2/(资产负债表!AL53+资产负债表!AM53))</f>
        <v>—</v>
      </c>
      <c r="K33" s="1083" t="str">
        <f>IF(ISERROR(利润表!AN15*2/(资产负债表!AM53+资产负债表!AN53)),"—",利润表!AN15*2/(资产负债表!AM53+资产负债表!AN53))</f>
        <v>—</v>
      </c>
      <c r="L33" s="1083" t="str">
        <f>IF(ISERROR(利润表!AO15*2/(资产负债表!AN53+资产负债表!AO53)),"—",利润表!AO15*2/(资产负债表!AN53+资产负债表!AO53))</f>
        <v>—</v>
      </c>
      <c r="M33" s="1083" t="str">
        <f>IF(ISERROR(利润表!AP15*2/(资产负债表!AO53+资产负债表!AP53)),"—",利润表!AP15*2/(资产负债表!AO53+资产负债表!AP53))</f>
        <v>—</v>
      </c>
      <c r="N33" s="1083" t="str">
        <f>IF(ISERROR(利润表!AQ15*2/(资产负债表!AP53+资产负债表!AQ53)),"—",利润表!AQ15*2/(资产负债表!AP53+资产负债表!AQ53))</f>
        <v>—</v>
      </c>
      <c r="O33" s="1083" t="str">
        <f>IF(ISERROR(利润表!AR15*2/(资产负债表!AQ53+资产负债表!AR53)),"—",利润表!AR15*2/(资产负债表!AQ53+资产负债表!AR53))</f>
        <v>—</v>
      </c>
      <c r="P33" s="1083" t="str">
        <f>IF(ISERROR(利润表!AS15*2/(资产负债表!AR53+资产负债表!AS53)),"—",利润表!AS15*2/(资产负债表!AR53+资产负债表!AS53))</f>
        <v>—</v>
      </c>
      <c r="Q33" s="1083" t="str">
        <f>IF(ISERROR(利润表!AT15*2/(资产负债表!AS53+资产负债表!AT53)),"—",利润表!AT15*2/(资产负债表!AS53+资产负债表!AT53))</f>
        <v>—</v>
      </c>
    </row>
    <row r="34" spans="1:17" ht="15" customHeight="1">
      <c r="B34" s="29" t="s">
        <v>551</v>
      </c>
      <c r="C34" s="1083" t="str">
        <f>IF(ISERROR(利润表!Q6*2/(资产负债表!M45+资产负债表!Q45)),"—",利润表!Q6*2/(资产负债表!M45+资产负债表!Q45))</f>
        <v>—</v>
      </c>
      <c r="D34" s="1083" t="str">
        <f>IF(ISERROR(利润表!U6*2/(资产负债表!Q45+资产负债表!U45)),"—",利润表!U6*2/(资产负债表!Q45+资产负债表!U45))</f>
        <v>—</v>
      </c>
      <c r="E34" s="1083" t="str">
        <f>IF(ISERROR(利润表!Y6*2/(资产负债表!U45+资产负债表!Y45)),"—",利润表!Y6*2/(资产负债表!U45+资产负债表!Y45))</f>
        <v>—</v>
      </c>
      <c r="F34" s="1083" t="str">
        <f>IF(ISERROR(利润表!AC6*2/(资产负债表!Y45+资产负债表!AC45)),"—",利润表!AC6*2/(资产负债表!Y45+资产负债表!AC45))</f>
        <v>—</v>
      </c>
      <c r="G34" s="1083" t="str">
        <f>IF(ISERROR(利润表!AG6*2/(资产负债表!AC45+资产负债表!AG45)),"—",利润表!AG6*2/(资产负债表!AC45+资产负债表!AG45))</f>
        <v>—</v>
      </c>
      <c r="H34" s="1083" t="str">
        <f>IF(ISERROR(利润表!AK6*2/(资产负债表!AG45+资产负债表!AK45)),"—",利润表!AK6*2/(资产负债表!AG45+资产负债表!AK45))</f>
        <v>—</v>
      </c>
      <c r="I34" s="1083" t="str">
        <f>IF(ISERROR(利润表!AL6*2/(资产负债表!AK45+资产负债表!AL45)),"—",利润表!AL6*2/(资产负债表!AK45+资产负债表!AL45))</f>
        <v>—</v>
      </c>
      <c r="J34" s="1083" t="str">
        <f>IF(ISERROR(利润表!AM6*2/(资产负债表!AL45+资产负债表!AM45)),"—",利润表!AM6*2/(资产负债表!AL45+资产负债表!AM45))</f>
        <v>—</v>
      </c>
      <c r="K34" s="1083" t="str">
        <f>IF(ISERROR(利润表!AN6*2/(资产负债表!AM45+资产负债表!AN45)),"—",利润表!AN6*2/(资产负债表!AM45+资产负债表!AN45))</f>
        <v>—</v>
      </c>
      <c r="L34" s="1083" t="str">
        <f>IF(ISERROR(利润表!AO6*2/(资产负债表!AN45+资产负债表!AO45)),"—",利润表!AO6*2/(资产负债表!AN45+资产负债表!AO45))</f>
        <v>—</v>
      </c>
      <c r="M34" s="1083" t="str">
        <f>IF(ISERROR(利润表!AP6*2/(资产负债表!AO45+资产负债表!AP45)),"—",利润表!AP6*2/(资产负债表!AO45+资产负债表!AP45))</f>
        <v>—</v>
      </c>
      <c r="N34" s="1083" t="str">
        <f>IF(ISERROR(利润表!AQ6*2/(资产负债表!AP45+资产负债表!AQ45)),"—",利润表!AQ6*2/(资产负债表!AP45+资产负债表!AQ45))</f>
        <v>—</v>
      </c>
      <c r="O34" s="1083" t="str">
        <f>IF(ISERROR(利润表!AR6*2/(资产负债表!AQ45+资产负债表!AR45)),"—",利润表!AR6*2/(资产负债表!AQ45+资产负债表!AR45))</f>
        <v>—</v>
      </c>
      <c r="P34" s="1083" t="str">
        <f>IF(ISERROR(利润表!AS6*2/(资产负债表!AR45+资产负债表!AS45)),"—",利润表!AS6*2/(资产负债表!AR45+资产负债表!AS45))</f>
        <v>—</v>
      </c>
      <c r="Q34" s="1083" t="str">
        <f>IF(ISERROR(利润表!AT6*2/(资产负债表!AS45+资产负债表!AT45)),"—",利润表!AT6*2/(资产负债表!AS45+资产负债表!AT45))</f>
        <v>—</v>
      </c>
    </row>
    <row r="35" spans="1:17" ht="15" customHeight="1">
      <c r="B35" s="29" t="s">
        <v>552</v>
      </c>
      <c r="C35" s="1083" t="str">
        <f>IF(ISERROR(利润表!Q6*2/(资产负债表!M31+资产负债表!Q31)),"—",利润表!Q6*2/(资产负债表!M31+资产负债表!Q31))</f>
        <v>—</v>
      </c>
      <c r="D35" s="1083" t="str">
        <f>IF(ISERROR(利润表!U6*2/(资产负债表!Q31+资产负债表!U31)),"—",利润表!U6*2/(资产负债表!Q31+资产负债表!U31))</f>
        <v>—</v>
      </c>
      <c r="E35" s="1083" t="str">
        <f>IF(ISERROR(利润表!Y6*2/(资产负债表!U31+资产负债表!Y31)),"—",利润表!Y6*2/(资产负债表!U31+资产负债表!Y31))</f>
        <v>—</v>
      </c>
      <c r="F35" s="1083" t="str">
        <f>IF(ISERROR(利润表!AC6*2/(资产负债表!Y31+资产负债表!AC31)),"—",利润表!AC6*2/(资产负债表!Y31+资产负债表!AC31))</f>
        <v>—</v>
      </c>
      <c r="G35" s="1083" t="str">
        <f>IF(ISERROR(利润表!AG6*2/(资产负债表!AC31+资产负债表!AG31)),"—",利润表!AG6*2/(资产负债表!AC31+资产负债表!AG31))</f>
        <v>—</v>
      </c>
      <c r="H35" s="1083" t="str">
        <f>IF(ISERROR(利润表!AK6*2/(资产负债表!AG31+资产负债表!AK31)),"—",利润表!AK6*2/(资产负债表!AG31+资产负债表!AK31))</f>
        <v>—</v>
      </c>
      <c r="I35" s="1083" t="str">
        <f>IF(ISERROR((利润表!AL6*2/(资产负债表!AK31+资产负债表!AL31))),"—",(利润表!AL6*2/(资产负债表!AK31+资产负债表!AL31)))</f>
        <v>—</v>
      </c>
      <c r="J35" s="1083" t="str">
        <f>IF(ISERROR((利润表!AM6*2/(资产负债表!AL31+资产负债表!AM31))),"—",(利润表!AM6*2/(资产负债表!AL31+资产负债表!AM31)))</f>
        <v>—</v>
      </c>
      <c r="K35" s="1083" t="str">
        <f>IF(ISERROR((利润表!AN6*2/(资产负债表!AM31+资产负债表!AN31))),"—",(利润表!AN6*2/(资产负债表!AM31+资产负债表!AN31)))</f>
        <v>—</v>
      </c>
      <c r="L35" s="1083" t="str">
        <f>IF(ISERROR((利润表!AO6*2/(资产负债表!AN31+资产负债表!AO31))),"—",(利润表!AO6*2/(资产负债表!AN31+资产负债表!AO31)))</f>
        <v>—</v>
      </c>
      <c r="M35" s="1083" t="str">
        <f>IF(ISERROR((利润表!AP6*2/(资产负债表!AO31+资产负债表!AP31))),"—",(利润表!AP6*2/(资产负债表!AO31+资产负债表!AP31)))</f>
        <v>—</v>
      </c>
      <c r="N35" s="1083" t="str">
        <f>IF(ISERROR((利润表!AQ6*2/(资产负债表!AP31+资产负债表!AQ31))),"—",(利润表!AQ6*2/(资产负债表!AP31+资产负债表!AQ31)))</f>
        <v>—</v>
      </c>
      <c r="O35" s="1083" t="str">
        <f>IF(ISERROR((利润表!AR6*2/(资产负债表!AQ31+资产负债表!AR31))),"—",(利润表!AR6*2/(资产负债表!AQ31+资产负债表!AR31)))</f>
        <v>—</v>
      </c>
      <c r="P35" s="1083" t="str">
        <f>IF(ISERROR((利润表!AS6*2/(资产负债表!AR31+资产负债表!AS31))),"—",(利润表!AS6*2/(资产负债表!AR31+资产负债表!AS31)))</f>
        <v>—</v>
      </c>
      <c r="Q35" s="1083" t="str">
        <f>IF(ISERROR((利润表!AT6*2/(资产负债表!AS31+资产负债表!AT31))),"—",(利润表!AT6*2/(资产负债表!AS31+资产负债表!AT31)))</f>
        <v>—</v>
      </c>
    </row>
    <row r="36" spans="1:17" ht="15" customHeight="1">
      <c r="B36" s="29" t="s">
        <v>375</v>
      </c>
      <c r="C36" s="1083" t="str">
        <f t="shared" ref="C36:I40" si="0">IF(ISERROR(360/C31),"—",360/C31)</f>
        <v>—</v>
      </c>
      <c r="D36" s="1083" t="str">
        <f t="shared" si="0"/>
        <v>—</v>
      </c>
      <c r="E36" s="1083" t="str">
        <f t="shared" si="0"/>
        <v>—</v>
      </c>
      <c r="F36" s="1083" t="str">
        <f t="shared" si="0"/>
        <v>—</v>
      </c>
      <c r="G36" s="1083" t="str">
        <f t="shared" si="0"/>
        <v>—</v>
      </c>
      <c r="H36" s="1083" t="str">
        <f t="shared" si="0"/>
        <v>—</v>
      </c>
      <c r="I36" s="1083" t="str">
        <f t="shared" si="0"/>
        <v>—</v>
      </c>
      <c r="J36" s="1083" t="str">
        <f t="shared" ref="J36:Q36" si="1">IF(ISERROR(360/J31),"—",360/J31)</f>
        <v>—</v>
      </c>
      <c r="K36" s="1083" t="str">
        <f t="shared" si="1"/>
        <v>—</v>
      </c>
      <c r="L36" s="1083" t="str">
        <f t="shared" si="1"/>
        <v>—</v>
      </c>
      <c r="M36" s="1083" t="str">
        <f t="shared" si="1"/>
        <v>—</v>
      </c>
      <c r="N36" s="1083" t="str">
        <f t="shared" si="1"/>
        <v>—</v>
      </c>
      <c r="O36" s="1083" t="str">
        <f t="shared" si="1"/>
        <v>—</v>
      </c>
      <c r="P36" s="1083" t="str">
        <f t="shared" si="1"/>
        <v>—</v>
      </c>
      <c r="Q36" s="1083" t="str">
        <f t="shared" si="1"/>
        <v>—</v>
      </c>
    </row>
    <row r="37" spans="1:17" ht="15" customHeight="1">
      <c r="B37" s="29" t="s">
        <v>377</v>
      </c>
      <c r="C37" s="1083" t="str">
        <f t="shared" si="0"/>
        <v>—</v>
      </c>
      <c r="D37" s="1083" t="str">
        <f t="shared" si="0"/>
        <v>—</v>
      </c>
      <c r="E37" s="1083" t="str">
        <f t="shared" si="0"/>
        <v>—</v>
      </c>
      <c r="F37" s="1083" t="str">
        <f t="shared" si="0"/>
        <v>—</v>
      </c>
      <c r="G37" s="1083" t="str">
        <f t="shared" si="0"/>
        <v>—</v>
      </c>
      <c r="H37" s="1083" t="str">
        <f t="shared" si="0"/>
        <v>—</v>
      </c>
      <c r="I37" s="1083" t="str">
        <f t="shared" si="0"/>
        <v>—</v>
      </c>
      <c r="J37" s="1083" t="str">
        <f t="shared" ref="J37:Q37" si="2">IF(ISERROR(360/J32),"—",360/J32)</f>
        <v>—</v>
      </c>
      <c r="K37" s="1083" t="str">
        <f t="shared" si="2"/>
        <v>—</v>
      </c>
      <c r="L37" s="1083" t="str">
        <f t="shared" si="2"/>
        <v>—</v>
      </c>
      <c r="M37" s="1083" t="str">
        <f t="shared" si="2"/>
        <v>—</v>
      </c>
      <c r="N37" s="1083" t="str">
        <f t="shared" si="2"/>
        <v>—</v>
      </c>
      <c r="O37" s="1083" t="str">
        <f t="shared" si="2"/>
        <v>—</v>
      </c>
      <c r="P37" s="1083" t="str">
        <f t="shared" si="2"/>
        <v>—</v>
      </c>
      <c r="Q37" s="1083" t="str">
        <f t="shared" si="2"/>
        <v>—</v>
      </c>
    </row>
    <row r="38" spans="1:17" ht="15" customHeight="1">
      <c r="B38" s="29" t="s">
        <v>379</v>
      </c>
      <c r="C38" s="1083" t="str">
        <f t="shared" si="0"/>
        <v>—</v>
      </c>
      <c r="D38" s="1083" t="str">
        <f t="shared" si="0"/>
        <v>—</v>
      </c>
      <c r="E38" s="1083" t="str">
        <f t="shared" si="0"/>
        <v>—</v>
      </c>
      <c r="F38" s="1083" t="str">
        <f t="shared" si="0"/>
        <v>—</v>
      </c>
      <c r="G38" s="1083" t="str">
        <f t="shared" si="0"/>
        <v>—</v>
      </c>
      <c r="H38" s="1083" t="str">
        <f t="shared" si="0"/>
        <v>—</v>
      </c>
      <c r="I38" s="1083" t="str">
        <f t="shared" si="0"/>
        <v>—</v>
      </c>
      <c r="J38" s="1083" t="str">
        <f t="shared" ref="J38:Q38" si="3">IF(ISERROR(360/J33),"—",360/J33)</f>
        <v>—</v>
      </c>
      <c r="K38" s="1083" t="str">
        <f t="shared" si="3"/>
        <v>—</v>
      </c>
      <c r="L38" s="1083" t="str">
        <f t="shared" si="3"/>
        <v>—</v>
      </c>
      <c r="M38" s="1083" t="str">
        <f t="shared" si="3"/>
        <v>—</v>
      </c>
      <c r="N38" s="1083" t="str">
        <f t="shared" si="3"/>
        <v>—</v>
      </c>
      <c r="O38" s="1083" t="str">
        <f t="shared" si="3"/>
        <v>—</v>
      </c>
      <c r="P38" s="1083" t="str">
        <f t="shared" si="3"/>
        <v>—</v>
      </c>
      <c r="Q38" s="1083" t="str">
        <f t="shared" si="3"/>
        <v>—</v>
      </c>
    </row>
    <row r="39" spans="1:17" ht="15" customHeight="1">
      <c r="B39" s="29" t="s">
        <v>383</v>
      </c>
      <c r="C39" s="1083" t="str">
        <f t="shared" si="0"/>
        <v>—</v>
      </c>
      <c r="D39" s="1083" t="str">
        <f t="shared" si="0"/>
        <v>—</v>
      </c>
      <c r="E39" s="1083" t="str">
        <f t="shared" si="0"/>
        <v>—</v>
      </c>
      <c r="F39" s="1083" t="str">
        <f t="shared" si="0"/>
        <v>—</v>
      </c>
      <c r="G39" s="1083" t="str">
        <f t="shared" si="0"/>
        <v>—</v>
      </c>
      <c r="H39" s="1083" t="str">
        <f t="shared" si="0"/>
        <v>—</v>
      </c>
      <c r="I39" s="1083" t="str">
        <f t="shared" si="0"/>
        <v>—</v>
      </c>
      <c r="J39" s="1083" t="str">
        <f t="shared" ref="J39:Q39" si="4">IF(ISERROR(360/J34),"—",360/J34)</f>
        <v>—</v>
      </c>
      <c r="K39" s="1083" t="str">
        <f t="shared" si="4"/>
        <v>—</v>
      </c>
      <c r="L39" s="1083" t="str">
        <f t="shared" si="4"/>
        <v>—</v>
      </c>
      <c r="M39" s="1083" t="str">
        <f t="shared" si="4"/>
        <v>—</v>
      </c>
      <c r="N39" s="1083" t="str">
        <f t="shared" si="4"/>
        <v>—</v>
      </c>
      <c r="O39" s="1083" t="str">
        <f t="shared" si="4"/>
        <v>—</v>
      </c>
      <c r="P39" s="1083" t="str">
        <f t="shared" si="4"/>
        <v>—</v>
      </c>
      <c r="Q39" s="1083" t="str">
        <f t="shared" si="4"/>
        <v>—</v>
      </c>
    </row>
    <row r="40" spans="1:17" ht="15" customHeight="1">
      <c r="B40" s="29" t="s">
        <v>381</v>
      </c>
      <c r="C40" s="1083" t="str">
        <f t="shared" si="0"/>
        <v>—</v>
      </c>
      <c r="D40" s="1083" t="str">
        <f t="shared" si="0"/>
        <v>—</v>
      </c>
      <c r="E40" s="1083" t="str">
        <f t="shared" si="0"/>
        <v>—</v>
      </c>
      <c r="F40" s="1083" t="str">
        <f t="shared" si="0"/>
        <v>—</v>
      </c>
      <c r="G40" s="1083" t="str">
        <f t="shared" si="0"/>
        <v>—</v>
      </c>
      <c r="H40" s="1083" t="str">
        <f t="shared" si="0"/>
        <v>—</v>
      </c>
      <c r="I40" s="1083" t="str">
        <f t="shared" si="0"/>
        <v>—</v>
      </c>
      <c r="J40" s="1083" t="str">
        <f t="shared" ref="J40:Q40" si="5">IF(ISERROR(360/J35),"—",360/J35)</f>
        <v>—</v>
      </c>
      <c r="K40" s="1083" t="str">
        <f t="shared" si="5"/>
        <v>—</v>
      </c>
      <c r="L40" s="1083" t="str">
        <f t="shared" si="5"/>
        <v>—</v>
      </c>
      <c r="M40" s="1083" t="str">
        <f t="shared" si="5"/>
        <v>—</v>
      </c>
      <c r="N40" s="1083" t="str">
        <f t="shared" si="5"/>
        <v>—</v>
      </c>
      <c r="O40" s="1083" t="str">
        <f t="shared" si="5"/>
        <v>—</v>
      </c>
      <c r="P40" s="1083" t="str">
        <f t="shared" si="5"/>
        <v>—</v>
      </c>
      <c r="Q40" s="1083" t="str">
        <f t="shared" si="5"/>
        <v>—</v>
      </c>
    </row>
    <row r="41" spans="1:17" ht="15" customHeight="1">
      <c r="C41" s="1083"/>
      <c r="D41" s="1083"/>
      <c r="E41" s="1083"/>
      <c r="F41" s="1083"/>
      <c r="G41" s="1084"/>
      <c r="H41" s="1084"/>
      <c r="I41" s="1084"/>
      <c r="J41" s="1084"/>
      <c r="K41" s="1084"/>
      <c r="L41" s="1084"/>
      <c r="M41" s="1084"/>
      <c r="N41" s="1084"/>
      <c r="O41" s="1084"/>
      <c r="P41" s="1084"/>
      <c r="Q41" s="1084"/>
    </row>
    <row r="42" spans="1:17" ht="15" customHeight="1">
      <c r="B42" s="1085" t="s">
        <v>385</v>
      </c>
      <c r="C42" s="1086"/>
      <c r="D42" s="1086"/>
      <c r="E42" s="1086"/>
      <c r="F42" s="1086"/>
      <c r="G42" s="1084"/>
      <c r="H42" s="1084"/>
      <c r="I42" s="1084"/>
      <c r="J42" s="1084"/>
      <c r="K42" s="1084"/>
      <c r="L42" s="1084"/>
      <c r="M42" s="1084"/>
      <c r="N42" s="1084"/>
      <c r="O42" s="1084"/>
      <c r="P42" s="1084"/>
      <c r="Q42" s="1084"/>
    </row>
    <row r="43" spans="1:17" ht="15" customHeight="1">
      <c r="B43" s="44" t="s">
        <v>390</v>
      </c>
      <c r="C43" s="1083" t="str">
        <f>IF(ISERROR(资产负债表!Q21/资产负债表!Q62),"—",资产负债表!Q21/资产负债表!Q62)</f>
        <v>—</v>
      </c>
      <c r="D43" s="1083" t="str">
        <f>IF(ISERROR(资产负债表!U21/资产负债表!U62),"—",资产负债表!U21/资产负债表!U62)</f>
        <v>—</v>
      </c>
      <c r="E43" s="1083" t="str">
        <f>IF(ISERROR(资产负债表!Y21/资产负债表!Y62),"—",资产负债表!Y21/资产负债表!Y62)</f>
        <v>—</v>
      </c>
      <c r="F43" s="1083" t="str">
        <f>IF(ISERROR(资产负债表!AC21/资产负债表!AC62),"—",资产负债表!AC21/资产负债表!AC62)</f>
        <v>—</v>
      </c>
      <c r="G43" s="1083" t="str">
        <f>IF(ISERROR(资产负债表!AG21/资产负债表!AG62),"—",资产负债表!AG21/资产负债表!AG62)</f>
        <v>—</v>
      </c>
      <c r="H43" s="1083" t="str">
        <f>IF(ISERROR(资产负债表!AK21/资产负债表!AK62),"—",资产负债表!AK21/资产负债表!AK62)</f>
        <v>—</v>
      </c>
      <c r="I43" s="1083" t="str">
        <f>IF(ISERROR(资产负债表!AL21/资产负债表!AL62),"—",资产负债表!AL21/资产负债表!AL62)</f>
        <v>—</v>
      </c>
      <c r="J43" s="1083" t="str">
        <f>IF(ISERROR(资产负债表!AM21/资产负债表!AM62),"—",资产负债表!AM21/资产负债表!AM62)</f>
        <v>—</v>
      </c>
      <c r="K43" s="1083" t="str">
        <f>IF(ISERROR(资产负债表!AN21/资产负债表!AN62),"—",资产负债表!AN21/资产负债表!AN62)</f>
        <v>—</v>
      </c>
      <c r="L43" s="1083" t="str">
        <f>IF(ISERROR(资产负债表!AO21/资产负债表!AO62),"—",资产负债表!AO21/资产负债表!AO62)</f>
        <v>—</v>
      </c>
      <c r="M43" s="1083" t="str">
        <f>IF(ISERROR(资产负债表!AP21/资产负债表!AP62),"—",资产负债表!AP21/资产负债表!AP62)</f>
        <v>—</v>
      </c>
      <c r="N43" s="1083" t="str">
        <f>IF(ISERROR(资产负债表!AQ21/资产负债表!AQ62),"—",资产负债表!AQ21/资产负债表!AQ62)</f>
        <v>—</v>
      </c>
      <c r="O43" s="1083" t="str">
        <f>IF(ISERROR(资产负债表!AR21/资产负债表!AR62),"—",资产负债表!AR21/资产负债表!AR62)</f>
        <v>—</v>
      </c>
      <c r="P43" s="1083" t="str">
        <f>IF(ISERROR(资产负债表!AS21/资产负债表!AS62),"—",资产负债表!AS21/资产负债表!AS62)</f>
        <v>—</v>
      </c>
      <c r="Q43" s="1083" t="str">
        <f>IF(ISERROR(资产负债表!AT21/资产负债表!AT62),"—",资产负债表!AT21/资产负债表!AT62)</f>
        <v>—</v>
      </c>
    </row>
    <row r="44" spans="1:17" ht="15" customHeight="1">
      <c r="B44" s="44" t="s">
        <v>392</v>
      </c>
      <c r="C44" s="1083" t="str">
        <f>IF(ISERROR((资产负债表!Q21-资产负债表!Q14-资产负债表!Q16-资产负债表!Q17-资产负债表!Q18-资产负债表!Q19-资产负债表!Q20)/资产负债表!Q62),"—",(资产负债表!Q21-资产负债表!Q14-资产负债表!Q16-资产负债表!Q17-资产负债表!Q18-资产负债表!Q19-资产负债表!Q20)/资产负债表!Q62)</f>
        <v>—</v>
      </c>
      <c r="D44" s="1083" t="str">
        <f>IF(ISERROR((资产负债表!U21-资产负债表!U14-资产负债表!U16-资产负债表!U17-资产负债表!U18-资产负债表!U19-资产负债表!U20)/资产负债表!U62),"—",(资产负债表!U21-资产负债表!U14-资产负债表!U16-资产负债表!U17-资产负债表!U18-资产负债表!U19-资产负债表!U20)/资产负债表!U62)</f>
        <v>—</v>
      </c>
      <c r="E44" s="1083" t="str">
        <f>IF(ISERROR((资产负债表!Y21-资产负债表!Y14-资产负债表!Y16-资产负债表!Y17-资产负债表!Y18-资产负债表!Y19-资产负债表!Y20)/资产负债表!Y62),"—",(资产负债表!Y21-资产负债表!Y14-资产负债表!Y16-资产负债表!Y17-资产负债表!Y18-资产负债表!Y19-资产负债表!Y20)/资产负债表!Y62)</f>
        <v>—</v>
      </c>
      <c r="F44" s="1083" t="str">
        <f>IF(ISERROR((资产负债表!AC21-资产负债表!AC14-资产负债表!AC16-资产负债表!AC17-资产负债表!AC18-资产负债表!AC19-资产负债表!AC20)/资产负债表!AC62),"—",(资产负债表!AC21-资产负债表!AC14-资产负债表!AC16-资产负债表!AC17-资产负债表!AC18-资产负债表!AC19-资产负债表!AC20)/资产负债表!AC62)</f>
        <v>—</v>
      </c>
      <c r="G44" s="1083" t="str">
        <f>IF(ISERROR((资产负债表!AG21-资产负债表!AG14-资产负债表!AG16-资产负债表!AG17-资产负债表!AG18-资产负债表!AG19-资产负债表!AG20)/资产负债表!AG62),"—",(资产负债表!AG21-资产负债表!AG14-资产负债表!AG16-资产负债表!AG17-资产负债表!AG18-资产负债表!AG19-资产负债表!AG20)/资产负债表!AG62)</f>
        <v>—</v>
      </c>
      <c r="H44" s="1083" t="str">
        <f>IF(ISERROR((资产负债表!AK21-资产负债表!AK14-资产负债表!AK16-资产负债表!AK17-资产负债表!AK18-资产负债表!AK19-资产负债表!AK20)/资产负债表!AK62),"—",(资产负债表!AK21-资产负债表!AK14-资产负债表!AK16-资产负债表!AK17-资产负债表!AK18-资产负债表!AK19-资产负债表!AK20)/资产负债表!AK62)</f>
        <v>—</v>
      </c>
      <c r="I44" s="1083" t="str">
        <f>IF(ISERROR((资产负债表!AL21-资产负债表!AL14-资产负债表!AL16-资产负债表!AL17-资产负债表!AL18-资产负债表!AL19-资产负债表!AL20)/资产负债表!AL62),"—",(资产负债表!AL21-资产负债表!AL14-资产负债表!AL16-资产负债表!AL17-资产负债表!AL18-资产负债表!AL19-资产负债表!AL20)/资产负债表!AL62)</f>
        <v>—</v>
      </c>
      <c r="J44" s="1083" t="str">
        <f>IF(ISERROR((资产负债表!AM21-资产负债表!AM14-资产负债表!AM16-资产负债表!AM17-资产负债表!AM18-资产负债表!AM19-资产负债表!AM20)/资产负债表!AM62),"—",(资产负债表!AM21-资产负债表!AM14-资产负债表!AM16-资产负债表!AM17-资产负债表!AM18-资产负债表!AM19-资产负债表!AM20)/资产负债表!AM62)</f>
        <v>—</v>
      </c>
      <c r="K44" s="1083" t="str">
        <f>IF(ISERROR((资产负债表!AN21-资产负债表!AN14-资产负债表!AN16-资产负债表!AN17-资产负债表!AN18-资产负债表!AN19-资产负债表!AN20)/资产负债表!AN62),"—",(资产负债表!AN21-资产负债表!AN14-资产负债表!AN16-资产负债表!AN17-资产负债表!AN18-资产负债表!AN19-资产负债表!AN20)/资产负债表!AN62)</f>
        <v>—</v>
      </c>
      <c r="L44" s="1083" t="str">
        <f>IF(ISERROR((资产负债表!AO21-资产负债表!AO14-资产负债表!AO16-资产负债表!AO17-资产负债表!AO18-资产负债表!AO19-资产负债表!AO20)/资产负债表!AO62),"—",(资产负债表!AO21-资产负债表!AO14-资产负债表!AO16-资产负债表!AO17-资产负债表!AO18-资产负债表!AO19-资产负债表!AO20)/资产负债表!AO62)</f>
        <v>—</v>
      </c>
      <c r="M44" s="1083" t="str">
        <f>IF(ISERROR((资产负债表!AP21-资产负债表!AP14-资产负债表!AP16-资产负债表!AP17-资产负债表!AP18-资产负债表!AP19-资产负债表!AP20)/资产负债表!AP62),"—",(资产负债表!AP21-资产负债表!AP14-资产负债表!AP16-资产负债表!AP17-资产负债表!AP18-资产负债表!AP19-资产负债表!AP20)/资产负债表!AP62)</f>
        <v>—</v>
      </c>
      <c r="N44" s="1083" t="str">
        <f>IF(ISERROR((资产负债表!AQ21-资产负债表!AQ14-资产负债表!AQ16-资产负债表!AQ17-资产负债表!AQ18-资产负债表!AQ19-资产负债表!AQ20)/资产负债表!AQ62),"—",(资产负债表!AQ21-资产负债表!AQ14-资产负债表!AQ16-资产负债表!AQ17-资产负债表!AQ18-资产负债表!AQ19-资产负债表!AQ20)/资产负债表!AQ62)</f>
        <v>—</v>
      </c>
      <c r="O44" s="1083" t="str">
        <f>IF(ISERROR((资产负债表!AR21-资产负债表!AR14-资产负债表!AR16-资产负债表!AR17-资产负债表!AR18-资产负债表!AR19-资产负债表!AR20)/资产负债表!AR62),"—",(资产负债表!AR21-资产负债表!AR14-资产负债表!AR16-资产负债表!AR17-资产负债表!AR18-资产负债表!AR19-资产负债表!AR20)/资产负债表!AR62)</f>
        <v>—</v>
      </c>
      <c r="P44" s="1083" t="str">
        <f>IF(ISERROR((资产负债表!AS21-资产负债表!AS14-资产负债表!AS16-资产负债表!AS17-资产负债表!AS18-资产负债表!AS19-资产负债表!AS20)/资产负债表!AS62),"—",(资产负债表!AS21-资产负债表!AS14-资产负债表!AS16-资产负债表!AS17-资产负债表!AS18-资产负债表!AS19-资产负债表!AS20)/资产负债表!AS62)</f>
        <v>—</v>
      </c>
      <c r="Q44" s="1083" t="str">
        <f>IF(ISERROR((资产负债表!AT21-资产负债表!AT14-资产负债表!AT16-资产负债表!AT17-资产负债表!AT18-资产负债表!AT19-资产负债表!AT20)/资产负债表!AT62),"—",(资产负债表!AT21-资产负债表!AT14-资产负债表!AT16-资产负债表!AT17-资产负债表!AT18-资产负债表!AT19-资产负债表!AT20)/资产负债表!AT62)</f>
        <v>—</v>
      </c>
    </row>
    <row r="45" spans="1:17" ht="15" customHeight="1">
      <c r="B45" s="44" t="s">
        <v>553</v>
      </c>
      <c r="C45" s="1083" t="str">
        <f>IF(ISERROR((资产负债表!Q8+资产负债表!Q9+资产负债表!Q11)/资产负债表!Q62),"—",(资产负债表!Q8+资产负债表!Q9+资产负债表!Q11)/资产负债表!Q62)</f>
        <v>—</v>
      </c>
      <c r="D45" s="1083" t="str">
        <f>IF(ISERROR((资产负债表!U8+资产负债表!U9+资产负债表!U11)/资产负债表!U62),"—",(资产负债表!U8+资产负债表!U9+资产负债表!U11)/资产负债表!U62)</f>
        <v>—</v>
      </c>
      <c r="E45" s="1083" t="str">
        <f>IF(ISERROR((资产负债表!Y8+资产负债表!Y9+资产负债表!Y11)/资产负债表!Y62),"—",(资产负债表!Y8+资产负债表!Y9+资产负债表!Y11)/资产负债表!Y62)</f>
        <v>—</v>
      </c>
      <c r="F45" s="1083" t="str">
        <f>IF(ISERROR((资产负债表!AC8+资产负债表!AC9+资产负债表!AC11)/资产负债表!AC62),"—",(资产负债表!AC8+资产负债表!AC9+资产负债表!AC11)/资产负债表!AC62)</f>
        <v>—</v>
      </c>
      <c r="G45" s="1083" t="str">
        <f>IF(ISERROR((资产负债表!AG8+资产负债表!AG9+资产负债表!AG11)/资产负债表!AG62),"—",(资产负债表!AG8+资产负债表!AG9+资产负债表!AG11)/资产负债表!AG62)</f>
        <v>—</v>
      </c>
      <c r="H45" s="1083" t="str">
        <f>IF(ISERROR((资产负债表!AK8+资产负债表!AK9+资产负债表!AK11)/资产负债表!AK62),"—",(资产负债表!AK8+资产负债表!AK9+资产负债表!AK11)/资产负债表!AK62)</f>
        <v>—</v>
      </c>
      <c r="I45" s="1083" t="str">
        <f>IF(ISERROR((资产负债表!AL8+资产负债表!AL9+资产负债表!AL11)/资产负债表!AL62),"—",(资产负债表!AL8+资产负债表!AL9+资产负债表!AL11)/资产负债表!AL62)</f>
        <v>—</v>
      </c>
      <c r="J45" s="1083" t="str">
        <f>IF(ISERROR((资产负债表!AM8+资产负债表!AM9+资产负债表!AM11)/资产负债表!AM62),"—",(资产负债表!AM8+资产负债表!AM9+资产负债表!AM11)/资产负债表!AM62)</f>
        <v>—</v>
      </c>
      <c r="K45" s="1083" t="str">
        <f>IF(ISERROR((资产负债表!AN8+资产负债表!AN9+资产负债表!AN11)/资产负债表!AN62),"—",(资产负债表!AN8+资产负债表!AN9+资产负债表!AN11)/资产负债表!AN62)</f>
        <v>—</v>
      </c>
      <c r="L45" s="1083" t="str">
        <f>IF(ISERROR((资产负债表!AO8+资产负债表!AO9+资产负债表!AO11)/资产负债表!AO62),"—",(资产负债表!AO8+资产负债表!AO9+资产负债表!AO11)/资产负债表!AO62)</f>
        <v>—</v>
      </c>
      <c r="M45" s="1083" t="str">
        <f>IF(ISERROR((资产负债表!AP8+资产负债表!AP9+资产负债表!AP11)/资产负债表!AP62),"—",(资产负债表!AP8+资产负债表!AP9+资产负债表!AP11)/资产负债表!AP62)</f>
        <v>—</v>
      </c>
      <c r="N45" s="1083" t="str">
        <f>IF(ISERROR((资产负债表!AQ8+资产负债表!AQ9+资产负债表!AQ11)/资产负债表!AQ62),"—",(资产负债表!AQ8+资产负债表!AQ9+资产负债表!AQ11)/资产负债表!AQ62)</f>
        <v>—</v>
      </c>
      <c r="O45" s="1083" t="str">
        <f>IF(ISERROR((资产负债表!AR8+资产负债表!AR9+资产负债表!AR11)/资产负债表!AR62),"—",(资产负债表!AR8+资产负债表!AR9+资产负债表!AR11)/资产负债表!AR62)</f>
        <v>—</v>
      </c>
      <c r="P45" s="1083" t="str">
        <f>IF(ISERROR((资产负债表!AS8+资产负债表!AS9+资产负债表!AS11)/资产负债表!AS62),"—",(资产负债表!AS8+资产负债表!AS9+资产负债表!AS11)/资产负债表!AS62)</f>
        <v>—</v>
      </c>
      <c r="Q45" s="1083" t="str">
        <f>IF(ISERROR((资产负债表!AT8+资产负债表!AT9+资产负债表!AT11)/资产负债表!AT62),"—",(资产负债表!AT8+资产负债表!AT9+资产负债表!AT11)/资产负债表!AT62)</f>
        <v>—</v>
      </c>
    </row>
    <row r="46" spans="1:17" ht="15" customHeight="1">
      <c r="A46" s="1087"/>
      <c r="B46" s="44" t="s">
        <v>394</v>
      </c>
      <c r="C46" s="1083" t="str">
        <f>IF(ISERROR(利润表!Q45/利润表!Q38),"—",利润表!Q45/利润表!Q38)</f>
        <v>—</v>
      </c>
      <c r="D46" s="1083" t="str">
        <f>IF(ISERROR(利润表!U45/利润表!U38),"—",利润表!U45/利润表!U38)</f>
        <v>—</v>
      </c>
      <c r="E46" s="1083" t="str">
        <f>IF(ISERROR(利润表!Y45/利润表!Y38),"—",利润表!Y45/利润表!Y38)</f>
        <v>—</v>
      </c>
      <c r="F46" s="1083" t="str">
        <f>IF(ISERROR(利润表!AC45/利润表!AC38),"—",利润表!AC45/利润表!AC38)</f>
        <v>—</v>
      </c>
      <c r="G46" s="1083" t="str">
        <f>IF(ISERROR(利润表!AG45/利润表!AG38),"—",利润表!AG45/利润表!AG38)</f>
        <v>—</v>
      </c>
      <c r="H46" s="1083" t="str">
        <f>IF(ISERROR(利润表!AK45/利润表!AK38),"—",利润表!AK45/利润表!AK38)</f>
        <v>—</v>
      </c>
      <c r="I46" s="1083" t="str">
        <f>IF(ISERROR(利润表!AL45/利润表!AL38),"—",利润表!AL45/利润表!AL38)</f>
        <v>—</v>
      </c>
      <c r="J46" s="1083" t="str">
        <f>IF(ISERROR(利润表!AM45/利润表!AM38),"—",利润表!AM45/利润表!AM38)</f>
        <v>—</v>
      </c>
      <c r="K46" s="1083" t="str">
        <f>IF(ISERROR(利润表!AN45/利润表!AN38),"—",利润表!AN45/利润表!AN38)</f>
        <v>—</v>
      </c>
      <c r="L46" s="1083" t="str">
        <f>IF(ISERROR(利润表!AO45/利润表!AO38),"—",利润表!AO45/利润表!AO38)</f>
        <v>—</v>
      </c>
      <c r="M46" s="1083" t="str">
        <f>IF(ISERROR(利润表!AP45/利润表!AP38),"—",利润表!AP45/利润表!AP38)</f>
        <v>—</v>
      </c>
      <c r="N46" s="1083" t="str">
        <f>IF(ISERROR(利润表!AQ45/利润表!AQ38),"—",利润表!AQ45/利润表!AQ38)</f>
        <v>—</v>
      </c>
      <c r="O46" s="1083" t="str">
        <f>IF(ISERROR(利润表!AR45/利润表!AR38),"—",利润表!AR45/利润表!AR38)</f>
        <v>—</v>
      </c>
      <c r="P46" s="1083" t="str">
        <f>IF(ISERROR(利润表!AS45/利润表!AS38),"—",利润表!AS45/利润表!AS38)</f>
        <v>—</v>
      </c>
      <c r="Q46" s="1083" t="str">
        <f>IF(ISERROR(利润表!AT45/利润表!AT38),"—",利润表!AT45/利润表!AT38)</f>
        <v>—</v>
      </c>
    </row>
    <row r="47" spans="1:17" ht="15" customHeight="1">
      <c r="B47" s="44" t="s">
        <v>554</v>
      </c>
      <c r="C47" s="1083" t="str">
        <f>IF(ISERROR(利润表!Q42/利润表!Q38),"—",利润表!Q42/利润表!Q38)</f>
        <v>—</v>
      </c>
      <c r="D47" s="1083" t="str">
        <f>IF(ISERROR(利润表!U42/利润表!U38),"—",利润表!U42/利润表!U38)</f>
        <v>—</v>
      </c>
      <c r="E47" s="1083" t="str">
        <f>IF(ISERROR(利润表!Y42/利润表!Y38),"—",利润表!Y42/利润表!Y38)</f>
        <v>—</v>
      </c>
      <c r="F47" s="1083" t="str">
        <f>IF(ISERROR(利润表!AC42/利润表!AC38),"—",利润表!AC42/利润表!AC38)</f>
        <v>—</v>
      </c>
      <c r="G47" s="1083" t="str">
        <f>IF(ISERROR(利润表!AG42/利润表!AG38),"—",利润表!AG42/利润表!AG38)</f>
        <v>—</v>
      </c>
      <c r="H47" s="1083" t="str">
        <f>IF(ISERROR(利润表!AK42/利润表!AK38),"—",利润表!AK42/利润表!AK38)</f>
        <v>—</v>
      </c>
      <c r="I47" s="1083" t="str">
        <f>IF(ISERROR(利润表!AL42/利润表!AL38),"—",利润表!AL42/利润表!AL38)</f>
        <v>—</v>
      </c>
      <c r="J47" s="1083" t="str">
        <f>IF(ISERROR(利润表!AM42/利润表!AM38),"—",利润表!AM42/利润表!AM38)</f>
        <v>—</v>
      </c>
      <c r="K47" s="1083" t="str">
        <f>IF(ISERROR(利润表!AN42/利润表!AN38),"—",利润表!AN42/利润表!AN38)</f>
        <v>—</v>
      </c>
      <c r="L47" s="1083" t="str">
        <f>IF(ISERROR(利润表!AO42/利润表!AO38),"—",利润表!AO42/利润表!AO38)</f>
        <v>—</v>
      </c>
      <c r="M47" s="1083" t="str">
        <f>IF(ISERROR(利润表!AP42/利润表!AP38),"—",利润表!AP42/利润表!AP38)</f>
        <v>—</v>
      </c>
      <c r="N47" s="1083" t="str">
        <f>IF(ISERROR(利润表!AQ42/利润表!AQ38),"—",利润表!AQ42/利润表!AQ38)</f>
        <v>—</v>
      </c>
      <c r="O47" s="1083" t="str">
        <f>IF(ISERROR(利润表!AR42/利润表!AR38),"—",利润表!AR42/利润表!AR38)</f>
        <v>—</v>
      </c>
      <c r="P47" s="1083" t="str">
        <f>IF(ISERROR(利润表!AS42/利润表!AS38),"—",利润表!AS42/利润表!AS38)</f>
        <v>—</v>
      </c>
      <c r="Q47" s="1083" t="str">
        <f>IF(ISERROR(利润表!AT42/利润表!AT38),"—",利润表!AT42/利润表!AT38)</f>
        <v>—</v>
      </c>
    </row>
    <row r="48" spans="1:17" ht="15" customHeight="1">
      <c r="B48" s="44" t="s">
        <v>389</v>
      </c>
      <c r="C48" s="1080" t="str">
        <f>IF(ISERROR(资产负债表!Q76/资产负债表!Q93),"—",资产负债表!Q76/资产负债表!Q93)</f>
        <v>—</v>
      </c>
      <c r="D48" s="1080" t="str">
        <f>IF(ISERROR(资产负债表!U76/资产负债表!U93),"—",资产负债表!U76/资产负债表!U93)</f>
        <v>—</v>
      </c>
      <c r="E48" s="1080" t="str">
        <f>IF(ISERROR(资产负债表!Y76/资产负债表!Y93),"—",资产负债表!Y76/资产负债表!Y93)</f>
        <v>—</v>
      </c>
      <c r="F48" s="1080" t="str">
        <f>IF(ISERROR(资产负债表!AC76/资产负债表!AC93),"—",资产负债表!AC76/资产负债表!AC93)</f>
        <v>—</v>
      </c>
      <c r="G48" s="1080" t="str">
        <f>IF(ISERROR(资产负债表!AG76/资产负债表!AG93),"—",资产负债表!AG76/资产负债表!AG93)</f>
        <v>—</v>
      </c>
      <c r="H48" s="1080" t="str">
        <f>IF(ISERROR(资产负债表!AK76/资产负债表!AK93),"—",资产负债表!AK76/资产负债表!AK93)</f>
        <v>—</v>
      </c>
      <c r="I48" s="1080" t="str">
        <f>IF(ISERROR(资产负债表!AL76/资产负债表!AL93),"—",资产负债表!AL76/资产负债表!AL93)</f>
        <v>—</v>
      </c>
      <c r="J48" s="1080" t="str">
        <f>IF(ISERROR(资产负债表!AM76/资产负债表!AM93),"—",资产负债表!AM76/资产负债表!AM93)</f>
        <v>—</v>
      </c>
      <c r="K48" s="1080" t="str">
        <f>IF(ISERROR(资产负债表!AN76/资产负债表!AN93),"—",资产负债表!AN76/资产负债表!AN93)</f>
        <v>—</v>
      </c>
      <c r="L48" s="1080" t="str">
        <f>IF(ISERROR(资产负债表!AO76/资产负债表!AO93),"—",资产负债表!AO76/资产负债表!AO93)</f>
        <v>—</v>
      </c>
      <c r="M48" s="1080" t="str">
        <f>IF(ISERROR(资产负债表!AP76/资产负债表!AP93),"—",资产负债表!AP76/资产负债表!AP93)</f>
        <v>—</v>
      </c>
      <c r="N48" s="1080" t="str">
        <f>IF(ISERROR(资产负债表!AQ76/资产负债表!AQ93),"—",资产负债表!AQ76/资产负债表!AQ93)</f>
        <v>—</v>
      </c>
      <c r="O48" s="1080" t="str">
        <f>IF(ISERROR(资产负债表!AR76/资产负债表!AR93),"—",资产负债表!AR76/资产负债表!AR93)</f>
        <v>—</v>
      </c>
      <c r="P48" s="1080" t="str">
        <f>IF(ISERROR(资产负债表!AS76/资产负债表!AS93),"—",资产负债表!AS76/资产负债表!AS93)</f>
        <v>—</v>
      </c>
      <c r="Q48" s="1080" t="str">
        <f>IF(ISERROR(资产负债表!AT76/资产负债表!AT93),"—",资产负债表!AT76/资产负债表!AT93)</f>
        <v>—</v>
      </c>
    </row>
    <row r="49" spans="1:17" ht="15" customHeight="1">
      <c r="B49" s="44" t="s">
        <v>387</v>
      </c>
      <c r="C49" s="1080" t="str">
        <f>资产负债表!Q102</f>
        <v>—</v>
      </c>
      <c r="D49" s="1080" t="str">
        <f>资产负债表!U102</f>
        <v>—</v>
      </c>
      <c r="E49" s="1080" t="str">
        <f>资产负债表!Y102</f>
        <v>—</v>
      </c>
      <c r="F49" s="1080" t="str">
        <f>资产负债表!AC102</f>
        <v>—</v>
      </c>
      <c r="G49" s="1080" t="str">
        <f>资产负债表!AG102</f>
        <v>—</v>
      </c>
      <c r="H49" s="1080" t="str">
        <f>IF(ISERROR(资产负债表!AK102),"—",资产负债表!AK102)</f>
        <v>—</v>
      </c>
      <c r="I49" s="1080" t="str">
        <f>IF(ISERROR(资产负债表!AL102),"—",资产负债表!AL102)</f>
        <v>—</v>
      </c>
      <c r="J49" s="1080" t="str">
        <f>IF(ISERROR(资产负债表!AM102),"—",资产负债表!AM102)</f>
        <v>—</v>
      </c>
      <c r="K49" s="1080" t="str">
        <f>IF(ISERROR(资产负债表!AN102),"—",资产负债表!AN102)</f>
        <v>—</v>
      </c>
      <c r="L49" s="1080" t="str">
        <f>IF(ISERROR(资产负债表!AO102),"—",资产负债表!AO102)</f>
        <v>—</v>
      </c>
      <c r="M49" s="1080" t="str">
        <f>IF(ISERROR(资产负债表!AP102),"—",资产负债表!AP102)</f>
        <v>—</v>
      </c>
      <c r="N49" s="1080" t="str">
        <f>IF(ISERROR(资产负债表!AQ102),"—",资产负债表!AQ102)</f>
        <v>—</v>
      </c>
      <c r="O49" s="1080" t="str">
        <f>IF(ISERROR(资产负债表!AR102),"—",资产负债表!AR102)</f>
        <v>—</v>
      </c>
      <c r="P49" s="1080" t="str">
        <f>IF(ISERROR(资产负债表!AS102),"—",资产负债表!AS102)</f>
        <v>—</v>
      </c>
      <c r="Q49" s="1080" t="str">
        <f>IF(ISERROR(资产负债表!AT102),"—",资产负债表!AT102)</f>
        <v>—</v>
      </c>
    </row>
    <row r="50" spans="1:17" ht="15" customHeight="1">
      <c r="B50" s="44" t="s">
        <v>555</v>
      </c>
      <c r="C50" s="1083" t="str">
        <f>IF(ISERROR(资产负债表!Q89/资产负债表!Q103),"—",资产负债表!Q89/资产负债表!Q103)</f>
        <v>—</v>
      </c>
      <c r="D50" s="1083" t="str">
        <f>IF(ISERROR(资产负债表!U89/资产负债表!U103),"—",资产负债表!U89/资产负债表!U103)</f>
        <v>—</v>
      </c>
      <c r="E50" s="1083" t="str">
        <f>IF(ISERROR(资产负债表!Y89/资产负债表!Y103),"—",资产负债表!Y89/资产负债表!Y103)</f>
        <v>—</v>
      </c>
      <c r="F50" s="1083" t="str">
        <f>IF(ISERROR(资产负债表!AC89/资产负债表!AC103),"—",资产负债表!AC89/资产负债表!AC103)</f>
        <v>—</v>
      </c>
      <c r="G50" s="1083" t="str">
        <f>IF(ISERROR(资产负债表!AG89/资产负债表!AG103),"—",资产负债表!AG89/资产负债表!AG103)</f>
        <v>—</v>
      </c>
      <c r="H50" s="1083" t="str">
        <f>IF(ISERROR(资产负债表!AK89/资产负债表!AK103),"—",资产负债表!AK89/资产负债表!AK103)</f>
        <v>—</v>
      </c>
      <c r="I50" s="1083" t="str">
        <f>IF(ISERROR(资产负债表!AL89/资产负债表!AL103),"—",资产负债表!AL89/资产负债表!AL103)</f>
        <v>—</v>
      </c>
      <c r="J50" s="1083" t="str">
        <f>IF(ISERROR(资产负债表!AM89/资产负债表!AM103),"—",资产负债表!AM89/资产负债表!AM103)</f>
        <v>—</v>
      </c>
      <c r="K50" s="1083" t="str">
        <f>IF(ISERROR(资产负债表!AN89/资产负债表!AN103),"—",资产负债表!AN89/资产负债表!AN103)</f>
        <v>—</v>
      </c>
      <c r="L50" s="1083" t="str">
        <f>IF(ISERROR(资产负债表!AO89/资产负债表!AO103),"—",资产负债表!AO89/资产负债表!AO103)</f>
        <v>—</v>
      </c>
      <c r="M50" s="1083" t="str">
        <f>IF(ISERROR(资产负债表!AP89/资产负债表!AP103),"—",资产负债表!AP89/资产负债表!AP103)</f>
        <v>—</v>
      </c>
      <c r="N50" s="1083" t="str">
        <f>IF(ISERROR(资产负债表!AQ89/资产负债表!AQ103),"—",资产负债表!AQ89/资产负债表!AQ103)</f>
        <v>—</v>
      </c>
      <c r="O50" s="1083" t="str">
        <f>IF(ISERROR(资产负债表!AR89/资产负债表!AR103),"—",资产负债表!AR89/资产负债表!AR103)</f>
        <v>—</v>
      </c>
      <c r="P50" s="1083" t="str">
        <f>IF(ISERROR(资产负债表!AS89/资产负债表!AS103),"—",资产负债表!AS89/资产负债表!AS103)</f>
        <v>—</v>
      </c>
      <c r="Q50" s="1083" t="str">
        <f>IF(ISERROR(资产负债表!AT89/资产负债表!AT103),"—",资产负债表!AT89/资产负债表!AT103)</f>
        <v>—</v>
      </c>
    </row>
    <row r="51" spans="1:17" ht="15" customHeight="1">
      <c r="B51" s="44"/>
      <c r="C51" s="1081"/>
      <c r="D51" s="1081"/>
      <c r="E51" s="1081"/>
      <c r="F51" s="1081"/>
      <c r="G51" s="1088"/>
      <c r="H51" s="1088"/>
      <c r="I51" s="1088"/>
      <c r="J51" s="1088"/>
      <c r="K51" s="1088"/>
      <c r="L51" s="1088"/>
      <c r="M51" s="1088"/>
      <c r="N51" s="1088"/>
      <c r="O51" s="1088"/>
      <c r="P51" s="1088"/>
      <c r="Q51" s="1088"/>
    </row>
    <row r="52" spans="1:17" ht="15" customHeight="1">
      <c r="B52" s="1085" t="s">
        <v>556</v>
      </c>
      <c r="C52" s="1081"/>
      <c r="D52" s="1081"/>
      <c r="E52" s="1081"/>
      <c r="F52" s="1081"/>
      <c r="G52" s="1088"/>
      <c r="H52" s="1088"/>
      <c r="I52" s="1088"/>
      <c r="J52" s="1088"/>
      <c r="K52" s="1088"/>
      <c r="L52" s="1088"/>
      <c r="M52" s="1088"/>
      <c r="N52" s="1088"/>
      <c r="O52" s="1088"/>
      <c r="P52" s="1088"/>
      <c r="Q52" s="1088"/>
    </row>
    <row r="53" spans="1:17" s="1082" customFormat="1" ht="15" customHeight="1">
      <c r="A53" s="39"/>
      <c r="B53" s="39" t="s">
        <v>557</v>
      </c>
      <c r="C53" s="1081" t="str">
        <f>IF(ISERROR(现金流量表!Q36/利润表!Q94),"—",现金流量表!Q36/利润表!Q94)</f>
        <v>—</v>
      </c>
      <c r="D53" s="1081" t="str">
        <f>IF(ISERROR(现金流量表!U36/利润表!U94),"—",现金流量表!U36/利润表!U94)</f>
        <v>—</v>
      </c>
      <c r="E53" s="1081" t="str">
        <f>IF(ISERROR(现金流量表!Y36/利润表!Y94),"—",现金流量表!Y36/利润表!Y94)</f>
        <v>—</v>
      </c>
      <c r="F53" s="1081" t="str">
        <f>IF(ISERROR(现金流量表!AC36/利润表!AC94),"—",现金流量表!AC36/利润表!AC94)</f>
        <v>—</v>
      </c>
      <c r="G53" s="1081" t="str">
        <f>IF(ISERROR(现金流量表!AG36/利润表!AG94),"—",现金流量表!AG36/利润表!AG94)</f>
        <v>—</v>
      </c>
      <c r="H53" s="1081" t="str">
        <f>IF(ISERROR(现金流量表!AK36/利润表!AK94),"—",现金流量表!AK36/利润表!AK94)</f>
        <v>—</v>
      </c>
      <c r="I53" s="1081" t="str">
        <f>IF(ISERROR(现金流量表!AL36/利润表!AL94),"—",现金流量表!AL36/利润表!AL94)</f>
        <v>—</v>
      </c>
      <c r="J53" s="1081" t="str">
        <f>IF(ISERROR(现金流量表!AM36/利润表!AM94),"—",现金流量表!AM36/利润表!AM94)</f>
        <v>—</v>
      </c>
      <c r="K53" s="1081" t="str">
        <f>IF(ISERROR(现金流量表!AN36/利润表!AN94),"—",现金流量表!AN36/利润表!AN94)</f>
        <v>—</v>
      </c>
      <c r="L53" s="1081" t="str">
        <f>IF(ISERROR(现金流量表!AO36/利润表!AO94),"—",现金流量表!AO36/利润表!AO94)</f>
        <v>—</v>
      </c>
      <c r="M53" s="1081" t="str">
        <f>IF(ISERROR(现金流量表!AP36/利润表!AP94),"—",现金流量表!AP36/利润表!AP94)</f>
        <v>—</v>
      </c>
      <c r="N53" s="1081" t="str">
        <f>IF(ISERROR(现金流量表!AQ36/利润表!AQ94),"—",现金流量表!AQ36/利润表!AQ94)</f>
        <v>—</v>
      </c>
      <c r="O53" s="1081" t="str">
        <f>IF(ISERROR(现金流量表!AR36/利润表!AR94),"—",现金流量表!AR36/利润表!AR94)</f>
        <v>—</v>
      </c>
      <c r="P53" s="1081" t="str">
        <f>IF(ISERROR(现金流量表!AS36/利润表!AS94),"—",现金流量表!AS36/利润表!AS94)</f>
        <v>—</v>
      </c>
      <c r="Q53" s="1081" t="str">
        <f>IF(ISERROR(现金流量表!AT36/利润表!AT94),"—",现金流量表!AT36/利润表!AT94)</f>
        <v>—</v>
      </c>
    </row>
    <row r="54" spans="1:17" ht="15" customHeight="1">
      <c r="B54" s="39" t="s">
        <v>558</v>
      </c>
      <c r="C54" s="1089" t="str">
        <f>IF(ISERROR(-现金流量表!Q47/现金流量表!Q11),"—",-现金流量表!Q47/现金流量表!Q11)</f>
        <v>—</v>
      </c>
      <c r="D54" s="1089" t="str">
        <f>IF(ISERROR(-现金流量表!U47/现金流量表!U11),"—",-现金流量表!U47/现金流量表!U11)</f>
        <v>—</v>
      </c>
      <c r="E54" s="1089" t="str">
        <f>IF(ISERROR(-现金流量表!Y47/现金流量表!Y11),"—",-现金流量表!Y47/现金流量表!Y11)</f>
        <v>—</v>
      </c>
      <c r="F54" s="1089" t="str">
        <f>IF(ISERROR(-现金流量表!AC47/现金流量表!AC11),"—",-现金流量表!AC47/现金流量表!AC11)</f>
        <v>—</v>
      </c>
      <c r="G54" s="1089" t="str">
        <f>IF(ISERROR(-现金流量表!AG47/现金流量表!AG11),"—",-现金流量表!AG47/现金流量表!AG11)</f>
        <v>—</v>
      </c>
      <c r="H54" s="1089" t="str">
        <f>IF(ISERROR(-现金流量表!AK47/现金流量表!AK11),"—",-现金流量表!AK47/现金流量表!AK11)</f>
        <v>—</v>
      </c>
      <c r="I54" s="1089" t="str">
        <f>IF(ISERROR(-现金流量表!AL47/现金流量表!AL11),"—",-现金流量表!AL47/现金流量表!AL11)</f>
        <v>—</v>
      </c>
      <c r="J54" s="1089" t="str">
        <f>IF(ISERROR(-现金流量表!AM47/现金流量表!AM11),"—",-现金流量表!AM47/现金流量表!AM11)</f>
        <v>—</v>
      </c>
      <c r="K54" s="1089" t="str">
        <f>IF(ISERROR(-现金流量表!AN47/现金流量表!AN11),"—",-现金流量表!AN47/现金流量表!AN11)</f>
        <v>—</v>
      </c>
      <c r="L54" s="1089" t="str">
        <f>IF(ISERROR(-现金流量表!AO47/现金流量表!AO11),"—",-现金流量表!AO47/现金流量表!AO11)</f>
        <v>—</v>
      </c>
      <c r="M54" s="1089" t="str">
        <f>IF(ISERROR(-现金流量表!AP47/现金流量表!AP11),"—",-现金流量表!AP47/现金流量表!AP11)</f>
        <v>—</v>
      </c>
      <c r="N54" s="1089" t="str">
        <f>IF(ISERROR(-现金流量表!AQ47/现金流量表!AQ11),"—",-现金流量表!AQ47/现金流量表!AQ11)</f>
        <v>—</v>
      </c>
      <c r="O54" s="1089" t="str">
        <f>IF(ISERROR(-现金流量表!AR47/现金流量表!AR11),"—",-现金流量表!AR47/现金流量表!AR11)</f>
        <v>—</v>
      </c>
      <c r="P54" s="1089" t="str">
        <f>IF(ISERROR(-现金流量表!AS47/现金流量表!AS11),"—",-现金流量表!AS47/现金流量表!AS11)</f>
        <v>—</v>
      </c>
      <c r="Q54" s="1089" t="str">
        <f>IF(ISERROR(-现金流量表!AT47/现金流量表!AT11),"—",-现金流量表!AT47/现金流量表!AT11)</f>
        <v>—</v>
      </c>
    </row>
    <row r="55" spans="1:17" ht="15" customHeight="1">
      <c r="B55" s="1090" t="s">
        <v>559</v>
      </c>
      <c r="C55" s="1091" t="str">
        <f>IF(ISERROR(现金流量表!Q36/资产负债表!Q45),"—",现金流量表!Q36/资产负债表!Q45)</f>
        <v>—</v>
      </c>
      <c r="D55" s="1091" t="str">
        <f>IF(ISERROR(现金流量表!U36/资产负债表!U45),"—",现金流量表!U36/资产负债表!U45)</f>
        <v>—</v>
      </c>
      <c r="E55" s="1091" t="str">
        <f>IF(ISERROR(现金流量表!Y36/资产负债表!Y45),"—",现金流量表!Y36/资产负债表!Y45)</f>
        <v>—</v>
      </c>
      <c r="F55" s="1091" t="str">
        <f>IF(ISERROR(现金流量表!AC36/资产负债表!AC45),"—",现金流量表!AC36/资产负债表!AC45)</f>
        <v>—</v>
      </c>
      <c r="G55" s="1091" t="str">
        <f>IF(ISERROR(现金流量表!AG36/资产负债表!AG45),"—",现金流量表!AG36/资产负债表!AG45)</f>
        <v>—</v>
      </c>
      <c r="H55" s="1091" t="str">
        <f>IF(ISERROR(现金流量表!AK36/资产负债表!AK45),"—",现金流量表!AK36/资产负债表!AK45)</f>
        <v>—</v>
      </c>
      <c r="I55" s="1091" t="str">
        <f>IF(ISERROR(现金流量表!AL36/资产负债表!AL45),"—",现金流量表!AL36/资产负债表!AL45)</f>
        <v>—</v>
      </c>
      <c r="J55" s="1091" t="str">
        <f>IF(ISERROR(现金流量表!AM36/资产负债表!AM45),"—",现金流量表!AM36/资产负债表!AM45)</f>
        <v>—</v>
      </c>
      <c r="K55" s="1091" t="str">
        <f>IF(ISERROR(现金流量表!AN36/资产负债表!AN45),"—",现金流量表!AN36/资产负债表!AN45)</f>
        <v>—</v>
      </c>
      <c r="L55" s="1091" t="str">
        <f>IF(ISERROR(现金流量表!AO36/资产负债表!AO45),"—",现金流量表!AO36/资产负债表!AO45)</f>
        <v>—</v>
      </c>
      <c r="M55" s="1091" t="str">
        <f>IF(ISERROR(现金流量表!AP36/资产负债表!AP45),"—",现金流量表!AP36/资产负债表!AP45)</f>
        <v>—</v>
      </c>
      <c r="N55" s="1091" t="str">
        <f>IF(ISERROR(现金流量表!AQ36/资产负债表!AQ45),"—",现金流量表!AQ36/资产负债表!AQ45)</f>
        <v>—</v>
      </c>
      <c r="O55" s="1091" t="str">
        <f>IF(ISERROR(现金流量表!AR36/资产负债表!AR45),"—",现金流量表!AR36/资产负债表!AR45)</f>
        <v>—</v>
      </c>
      <c r="P55" s="1091" t="str">
        <f>IF(ISERROR(现金流量表!AS36/资产负债表!AS45),"—",现金流量表!AS36/资产负债表!AS45)</f>
        <v>—</v>
      </c>
      <c r="Q55" s="1091" t="str">
        <f>IF(ISERROR(现金流量表!AT36/资产负债表!AT45),"—",现金流量表!AT36/资产负债表!AT45)</f>
        <v>—</v>
      </c>
    </row>
    <row r="56" spans="1:17">
      <c r="B56" s="39"/>
      <c r="C56" s="1092"/>
      <c r="D56" s="1092"/>
      <c r="E56" s="1092"/>
      <c r="F56" s="1092"/>
      <c r="G56" s="205"/>
      <c r="H56" s="205"/>
      <c r="I56" s="205"/>
      <c r="J56" s="205"/>
      <c r="K56" s="205"/>
      <c r="L56" s="205"/>
    </row>
    <row r="57" spans="1:17">
      <c r="B57" s="369"/>
      <c r="C57" s="1092"/>
      <c r="D57" s="1092"/>
      <c r="E57" s="1092"/>
      <c r="F57" s="1092"/>
      <c r="G57" s="205"/>
      <c r="H57" s="205"/>
      <c r="I57" s="205"/>
      <c r="J57" s="205"/>
      <c r="K57" s="205"/>
      <c r="L57" s="205"/>
    </row>
    <row r="58" spans="1:17">
      <c r="B58" s="44"/>
      <c r="C58" s="1092"/>
      <c r="D58" s="1092"/>
      <c r="E58" s="1092"/>
      <c r="F58" s="1092"/>
      <c r="G58" s="1093"/>
      <c r="H58" s="1093"/>
      <c r="I58" s="1093"/>
      <c r="J58" s="1093"/>
      <c r="K58" s="1093"/>
      <c r="L58" s="1093"/>
    </row>
    <row r="59" spans="1:17">
      <c r="B59" s="44"/>
      <c r="C59" s="1092"/>
      <c r="D59" s="1092"/>
      <c r="E59" s="1092"/>
      <c r="F59" s="1092"/>
      <c r="G59" s="1093"/>
      <c r="H59" s="1093"/>
      <c r="I59" s="1093"/>
      <c r="J59" s="1093"/>
      <c r="K59" s="1093"/>
      <c r="L59" s="1093"/>
    </row>
    <row r="60" spans="1:17">
      <c r="B60" s="1094"/>
      <c r="C60" s="1092"/>
      <c r="D60" s="1092"/>
      <c r="E60" s="1092"/>
      <c r="F60" s="1092"/>
      <c r="G60" s="1093"/>
      <c r="H60" s="1093"/>
      <c r="I60" s="1093"/>
      <c r="J60" s="1093"/>
      <c r="K60" s="1093"/>
      <c r="L60" s="1093"/>
    </row>
    <row r="61" spans="1:17">
      <c r="A61" s="155"/>
      <c r="B61" s="44"/>
      <c r="C61" s="1092"/>
      <c r="D61" s="1092"/>
      <c r="E61" s="1092"/>
      <c r="F61" s="1092"/>
      <c r="G61" s="205"/>
      <c r="H61" s="205"/>
      <c r="I61" s="205"/>
      <c r="J61" s="205"/>
      <c r="K61" s="205"/>
      <c r="L61" s="205"/>
    </row>
    <row r="62" spans="1:17">
      <c r="B62" s="44"/>
      <c r="C62" s="1092"/>
      <c r="D62" s="1092"/>
      <c r="E62" s="1092"/>
      <c r="F62" s="1092"/>
      <c r="G62" s="1093"/>
      <c r="H62" s="1093"/>
      <c r="I62" s="1093"/>
      <c r="J62" s="1093"/>
      <c r="K62" s="1093"/>
      <c r="L62" s="1093"/>
    </row>
    <row r="63" spans="1:17">
      <c r="B63" s="44"/>
      <c r="C63" s="1095"/>
      <c r="D63" s="1095"/>
      <c r="E63" s="1095"/>
      <c r="F63" s="1095"/>
      <c r="G63" s="1093"/>
      <c r="H63" s="1093"/>
      <c r="I63" s="1093"/>
      <c r="J63" s="1093"/>
      <c r="K63" s="1093"/>
      <c r="L63" s="1093"/>
    </row>
    <row r="64" spans="1:17">
      <c r="B64" s="44"/>
      <c r="C64" s="637"/>
      <c r="D64" s="637"/>
      <c r="E64" s="637"/>
      <c r="F64" s="637"/>
      <c r="G64" s="1093"/>
      <c r="H64" s="1093"/>
      <c r="I64" s="1093"/>
      <c r="J64" s="1093"/>
      <c r="K64" s="1093"/>
      <c r="L64" s="1093"/>
    </row>
    <row r="65" spans="1:12">
      <c r="B65" s="1085"/>
      <c r="C65" s="637"/>
      <c r="D65" s="637"/>
      <c r="E65" s="637"/>
      <c r="F65" s="637"/>
      <c r="G65" s="205"/>
      <c r="H65" s="205"/>
      <c r="I65" s="205"/>
      <c r="J65" s="205"/>
      <c r="K65" s="205"/>
      <c r="L65" s="205"/>
    </row>
    <row r="66" spans="1:12">
      <c r="B66" s="44"/>
      <c r="C66" s="637"/>
      <c r="D66" s="637"/>
      <c r="E66" s="637"/>
      <c r="F66" s="637"/>
      <c r="G66" s="205"/>
      <c r="H66" s="205"/>
      <c r="I66" s="205"/>
      <c r="J66" s="205"/>
      <c r="K66" s="205"/>
      <c r="L66" s="205"/>
    </row>
    <row r="67" spans="1:12">
      <c r="B67" s="29"/>
      <c r="C67" s="637"/>
      <c r="D67" s="637"/>
      <c r="E67" s="637"/>
      <c r="F67" s="637"/>
      <c r="G67" s="205"/>
      <c r="H67" s="205"/>
      <c r="I67" s="205"/>
      <c r="J67" s="205"/>
      <c r="K67" s="205"/>
      <c r="L67" s="205"/>
    </row>
    <row r="68" spans="1:12">
      <c r="A68" s="155"/>
      <c r="B68" s="29"/>
      <c r="C68" s="637"/>
      <c r="D68" s="637"/>
      <c r="E68" s="637"/>
      <c r="F68" s="637"/>
      <c r="G68" s="205"/>
      <c r="H68" s="205"/>
      <c r="I68" s="205"/>
      <c r="J68" s="205"/>
      <c r="K68" s="205"/>
      <c r="L68" s="205"/>
    </row>
    <row r="69" spans="1:12">
      <c r="A69" s="155"/>
      <c r="B69" s="44"/>
      <c r="C69" s="1096"/>
      <c r="D69" s="1096"/>
      <c r="E69" s="1096"/>
      <c r="F69" s="1096"/>
      <c r="G69" s="205"/>
      <c r="H69" s="205"/>
      <c r="I69" s="205"/>
      <c r="J69" s="205"/>
      <c r="K69" s="205"/>
      <c r="L69" s="205"/>
    </row>
    <row r="70" spans="1:12">
      <c r="B70" s="1094"/>
      <c r="C70" s="1095"/>
      <c r="D70" s="1095"/>
      <c r="E70" s="1095"/>
      <c r="F70" s="1095"/>
      <c r="G70" s="205"/>
      <c r="H70" s="205"/>
      <c r="I70" s="205"/>
      <c r="J70" s="205"/>
      <c r="K70" s="205"/>
      <c r="L70" s="205"/>
    </row>
    <row r="71" spans="1:12">
      <c r="A71" s="155"/>
      <c r="B71" s="1097"/>
      <c r="C71" s="1096"/>
      <c r="D71" s="1096"/>
      <c r="E71" s="1096"/>
      <c r="F71" s="1096"/>
      <c r="G71" s="205"/>
      <c r="H71" s="205"/>
      <c r="I71" s="205"/>
      <c r="J71" s="205"/>
      <c r="K71" s="205"/>
      <c r="L71" s="205"/>
    </row>
    <row r="72" spans="1:12">
      <c r="A72" s="155"/>
      <c r="C72" s="637"/>
      <c r="D72" s="637"/>
      <c r="E72" s="637"/>
      <c r="F72" s="637"/>
      <c r="G72" s="205"/>
      <c r="H72" s="205"/>
      <c r="I72" s="205"/>
      <c r="J72" s="205"/>
      <c r="K72" s="205"/>
      <c r="L72" s="205"/>
    </row>
    <row r="73" spans="1:12">
      <c r="A73" s="155"/>
      <c r="B73" s="1097"/>
      <c r="C73" s="637"/>
      <c r="D73" s="637"/>
      <c r="E73" s="637"/>
      <c r="F73" s="637"/>
      <c r="G73" s="205"/>
      <c r="H73" s="205"/>
      <c r="I73" s="205"/>
      <c r="J73" s="205"/>
      <c r="K73" s="205"/>
      <c r="L73" s="205"/>
    </row>
    <row r="74" spans="1:12">
      <c r="A74" s="155"/>
      <c r="B74" s="29"/>
      <c r="C74" s="1092"/>
      <c r="D74" s="1092"/>
      <c r="E74" s="1092"/>
      <c r="F74" s="1092"/>
      <c r="G74" s="205"/>
      <c r="H74" s="205"/>
      <c r="I74" s="205"/>
      <c r="J74" s="205"/>
      <c r="K74" s="205"/>
      <c r="L74" s="205"/>
    </row>
    <row r="75" spans="1:12">
      <c r="A75" s="155"/>
      <c r="B75" s="29"/>
      <c r="C75" s="637"/>
      <c r="D75" s="637"/>
      <c r="E75" s="637"/>
      <c r="F75" s="637"/>
      <c r="G75" s="205"/>
      <c r="H75" s="205"/>
      <c r="I75" s="205"/>
      <c r="J75" s="205"/>
      <c r="K75" s="205"/>
      <c r="L75" s="205"/>
    </row>
    <row r="76" spans="1:12">
      <c r="B76" s="29"/>
      <c r="C76" s="1092"/>
      <c r="D76" s="1092"/>
      <c r="E76" s="1092"/>
      <c r="F76" s="1092"/>
      <c r="G76" s="205"/>
      <c r="H76" s="205"/>
      <c r="I76" s="205"/>
      <c r="J76" s="205"/>
      <c r="K76" s="205"/>
      <c r="L76" s="205"/>
    </row>
    <row r="77" spans="1:12">
      <c r="B77" s="29"/>
      <c r="C77" s="1092"/>
      <c r="D77" s="1092"/>
      <c r="E77" s="1092"/>
      <c r="F77" s="1092"/>
      <c r="G77" s="205"/>
      <c r="H77" s="205"/>
      <c r="I77" s="205"/>
      <c r="J77" s="205"/>
      <c r="K77" s="205"/>
      <c r="L77" s="205"/>
    </row>
    <row r="78" spans="1:12">
      <c r="A78" s="155"/>
      <c r="B78" s="29"/>
      <c r="C78" s="1092"/>
      <c r="D78" s="1092"/>
      <c r="E78" s="1092"/>
      <c r="F78" s="1092"/>
      <c r="G78" s="205"/>
      <c r="H78" s="205"/>
      <c r="I78" s="205"/>
      <c r="J78" s="205"/>
      <c r="K78" s="205"/>
      <c r="L78" s="205"/>
    </row>
    <row r="79" spans="1:12">
      <c r="A79" s="155"/>
      <c r="B79" s="29"/>
      <c r="C79" s="1092"/>
      <c r="D79" s="1092"/>
      <c r="E79" s="1092"/>
      <c r="F79" s="1092"/>
      <c r="G79" s="205"/>
      <c r="H79" s="205"/>
      <c r="I79" s="205"/>
      <c r="J79" s="205"/>
      <c r="K79" s="205"/>
      <c r="L79" s="205"/>
    </row>
    <row r="80" spans="1:12">
      <c r="A80" s="155"/>
      <c r="B80" s="29"/>
      <c r="C80" s="1092"/>
      <c r="D80" s="1092"/>
      <c r="E80" s="1092"/>
      <c r="F80" s="1092"/>
      <c r="G80" s="205"/>
      <c r="H80" s="205"/>
      <c r="I80" s="205"/>
      <c r="J80" s="205"/>
      <c r="K80" s="205"/>
      <c r="L80" s="205"/>
    </row>
    <row r="81" spans="1:12">
      <c r="A81" s="155"/>
      <c r="B81" s="29"/>
      <c r="C81" s="637"/>
      <c r="D81" s="637"/>
      <c r="E81" s="637"/>
      <c r="F81" s="637"/>
      <c r="G81" s="205"/>
      <c r="H81" s="205"/>
      <c r="I81" s="205"/>
      <c r="J81" s="205"/>
      <c r="K81" s="205"/>
      <c r="L81" s="205"/>
    </row>
    <row r="82" spans="1:12">
      <c r="B82" s="154"/>
      <c r="C82" s="1092"/>
      <c r="D82" s="1092"/>
      <c r="E82" s="1092"/>
      <c r="F82" s="1092"/>
      <c r="G82" s="205"/>
      <c r="H82" s="205"/>
      <c r="I82" s="205"/>
      <c r="J82" s="205"/>
      <c r="K82" s="205"/>
      <c r="L82" s="205"/>
    </row>
    <row r="83" spans="1:12">
      <c r="A83" s="1098"/>
      <c r="B83" s="29"/>
      <c r="C83" s="1092"/>
      <c r="D83" s="1092"/>
      <c r="E83" s="1092"/>
      <c r="F83" s="1092"/>
      <c r="G83" s="205"/>
      <c r="H83" s="205"/>
      <c r="I83" s="205"/>
      <c r="J83" s="205"/>
      <c r="K83" s="205"/>
      <c r="L83" s="205"/>
    </row>
    <row r="84" spans="1:12">
      <c r="B84" s="29"/>
      <c r="C84" s="1096"/>
      <c r="D84" s="1096"/>
      <c r="E84" s="1096"/>
      <c r="F84" s="1096"/>
      <c r="G84" s="205"/>
      <c r="H84" s="205"/>
      <c r="I84" s="205"/>
      <c r="J84" s="205"/>
      <c r="K84" s="205"/>
      <c r="L84" s="205"/>
    </row>
    <row r="85" spans="1:12">
      <c r="B85" s="29"/>
      <c r="C85" s="637"/>
      <c r="D85" s="637"/>
      <c r="E85" s="637"/>
      <c r="F85" s="637"/>
      <c r="G85" s="205"/>
      <c r="H85" s="205"/>
      <c r="I85" s="205"/>
      <c r="J85" s="205"/>
      <c r="K85" s="205"/>
      <c r="L85" s="205"/>
    </row>
    <row r="86" spans="1:12">
      <c r="A86" s="1075"/>
      <c r="B86" s="154"/>
      <c r="C86" s="1096"/>
      <c r="D86" s="1096"/>
      <c r="E86" s="1096"/>
      <c r="F86" s="1096"/>
      <c r="G86" s="205"/>
      <c r="H86" s="205"/>
      <c r="I86" s="205"/>
      <c r="J86" s="205"/>
      <c r="K86" s="205"/>
      <c r="L86" s="205"/>
    </row>
    <row r="87" spans="1:12">
      <c r="B87" s="29"/>
      <c r="C87" s="637"/>
      <c r="D87" s="637"/>
      <c r="E87" s="637"/>
      <c r="F87" s="637"/>
      <c r="G87" s="205"/>
      <c r="H87" s="205"/>
      <c r="I87" s="205"/>
      <c r="J87" s="205"/>
      <c r="K87" s="205"/>
      <c r="L87" s="205"/>
    </row>
    <row r="88" spans="1:12">
      <c r="B88" s="154"/>
      <c r="C88" s="1099"/>
      <c r="D88" s="1099"/>
      <c r="E88" s="1099"/>
      <c r="F88" s="1099"/>
      <c r="G88" s="205"/>
      <c r="H88" s="205"/>
      <c r="I88" s="205"/>
      <c r="J88" s="205"/>
      <c r="K88" s="205"/>
      <c r="L88" s="205"/>
    </row>
    <row r="89" spans="1:12">
      <c r="C89" s="637"/>
      <c r="D89" s="637"/>
      <c r="E89" s="637"/>
      <c r="F89" s="637"/>
      <c r="G89" s="205"/>
      <c r="H89" s="205"/>
      <c r="I89" s="205"/>
      <c r="J89" s="205"/>
      <c r="K89" s="205"/>
      <c r="L89" s="205"/>
    </row>
    <row r="90" spans="1:12">
      <c r="B90" s="39"/>
      <c r="C90" s="637"/>
      <c r="D90" s="637"/>
      <c r="E90" s="637"/>
      <c r="F90" s="637"/>
      <c r="G90" s="205"/>
      <c r="H90" s="205"/>
      <c r="I90" s="205"/>
      <c r="J90" s="205"/>
      <c r="K90" s="205"/>
      <c r="L90" s="205"/>
    </row>
    <row r="91" spans="1:12">
      <c r="B91" s="1100"/>
      <c r="C91" s="637"/>
      <c r="D91" s="637"/>
      <c r="E91" s="637"/>
      <c r="F91" s="637"/>
      <c r="G91" s="205"/>
      <c r="H91" s="205"/>
      <c r="I91" s="205"/>
      <c r="J91" s="205"/>
      <c r="K91" s="205"/>
      <c r="L91" s="205"/>
    </row>
    <row r="92" spans="1:12">
      <c r="B92" s="40"/>
      <c r="C92" s="742"/>
      <c r="D92" s="742"/>
      <c r="E92" s="742"/>
      <c r="F92" s="742"/>
      <c r="G92" s="205"/>
      <c r="H92" s="205"/>
      <c r="I92" s="205"/>
      <c r="J92" s="205"/>
      <c r="K92" s="205"/>
      <c r="L92" s="205"/>
    </row>
    <row r="93" spans="1:12" s="1075" customFormat="1">
      <c r="A93" s="30"/>
      <c r="B93" s="40"/>
      <c r="C93" s="637"/>
      <c r="D93" s="637"/>
      <c r="E93" s="637"/>
      <c r="F93" s="637"/>
      <c r="G93" s="1101"/>
      <c r="H93" s="1101"/>
      <c r="I93" s="1101"/>
      <c r="J93" s="1101"/>
      <c r="K93" s="1101"/>
      <c r="L93" s="1101"/>
    </row>
    <row r="94" spans="1:12" s="1075" customFormat="1">
      <c r="A94" s="30"/>
      <c r="B94" s="40"/>
      <c r="C94" s="742"/>
      <c r="D94" s="742"/>
      <c r="E94" s="742"/>
      <c r="F94" s="742"/>
      <c r="G94" s="1101"/>
      <c r="H94" s="1101"/>
      <c r="I94" s="1101"/>
      <c r="J94" s="1101"/>
      <c r="K94" s="1101"/>
      <c r="L94" s="1101"/>
    </row>
    <row r="95" spans="1:12">
      <c r="B95" s="40"/>
      <c r="C95" s="637"/>
      <c r="D95" s="637"/>
      <c r="E95" s="637"/>
      <c r="F95" s="637"/>
      <c r="G95" s="205"/>
      <c r="H95" s="205"/>
      <c r="I95" s="205"/>
      <c r="J95" s="205"/>
      <c r="K95" s="205"/>
      <c r="L95" s="205"/>
    </row>
    <row r="96" spans="1:12">
      <c r="B96" s="40"/>
      <c r="C96" s="637"/>
      <c r="D96" s="637"/>
      <c r="E96" s="637"/>
      <c r="F96" s="637"/>
      <c r="G96" s="205"/>
      <c r="H96" s="205"/>
      <c r="I96" s="205"/>
      <c r="J96" s="205"/>
      <c r="K96" s="205"/>
      <c r="L96" s="205"/>
    </row>
    <row r="97" spans="2:12">
      <c r="B97" s="40"/>
      <c r="C97" s="118"/>
      <c r="D97" s="118"/>
      <c r="E97" s="118"/>
      <c r="F97" s="118"/>
      <c r="G97" s="205"/>
      <c r="H97" s="205"/>
      <c r="I97" s="205"/>
      <c r="J97" s="205"/>
      <c r="K97" s="205"/>
      <c r="L97" s="205"/>
    </row>
    <row r="98" spans="2:12">
      <c r="B98" s="40"/>
      <c r="C98" s="118"/>
      <c r="D98" s="118"/>
      <c r="E98" s="118"/>
      <c r="F98" s="118"/>
      <c r="G98" s="205"/>
      <c r="H98" s="205"/>
      <c r="I98" s="205"/>
      <c r="J98" s="205"/>
      <c r="K98" s="205"/>
      <c r="L98" s="205"/>
    </row>
    <row r="99" spans="2:12">
      <c r="B99" s="1"/>
      <c r="C99" s="118"/>
      <c r="D99" s="118"/>
      <c r="E99" s="118"/>
      <c r="F99" s="118"/>
      <c r="G99" s="205"/>
      <c r="H99" s="205"/>
      <c r="I99" s="205"/>
      <c r="J99" s="205"/>
      <c r="K99" s="205"/>
      <c r="L99" s="205"/>
    </row>
    <row r="100" spans="2:12">
      <c r="B100" s="40"/>
      <c r="C100" s="742"/>
      <c r="D100" s="742"/>
      <c r="E100" s="742"/>
      <c r="F100" s="742"/>
      <c r="G100" s="205"/>
      <c r="H100" s="205"/>
      <c r="I100" s="205"/>
      <c r="J100" s="205"/>
      <c r="K100" s="205"/>
      <c r="L100" s="205"/>
    </row>
    <row r="101" spans="2:12">
      <c r="B101" s="1102"/>
      <c r="C101" s="742"/>
      <c r="D101" s="742"/>
      <c r="E101" s="742"/>
      <c r="F101" s="742"/>
      <c r="G101" s="205"/>
      <c r="H101" s="205"/>
      <c r="I101" s="205"/>
      <c r="J101" s="205"/>
      <c r="K101" s="205"/>
      <c r="L101" s="205"/>
    </row>
    <row r="102" spans="2:12">
      <c r="B102" s="39"/>
      <c r="C102" s="742"/>
      <c r="D102" s="742"/>
      <c r="E102" s="742"/>
      <c r="F102" s="742"/>
      <c r="G102" s="205"/>
      <c r="H102" s="205"/>
      <c r="I102" s="205"/>
      <c r="J102" s="205"/>
      <c r="K102" s="205"/>
      <c r="L102" s="205"/>
    </row>
    <row r="103" spans="2:12">
      <c r="B103" s="39"/>
      <c r="C103" s="742"/>
      <c r="D103" s="742"/>
      <c r="E103" s="742"/>
      <c r="F103" s="742"/>
      <c r="G103" s="205"/>
      <c r="H103" s="205"/>
      <c r="I103" s="205"/>
      <c r="J103" s="205"/>
      <c r="K103" s="205"/>
      <c r="L103" s="205"/>
    </row>
    <row r="104" spans="2:12">
      <c r="B104" s="39"/>
      <c r="C104" s="742"/>
      <c r="D104" s="742"/>
      <c r="E104" s="742"/>
      <c r="F104" s="742"/>
      <c r="G104" s="205"/>
      <c r="H104" s="205"/>
      <c r="I104" s="205"/>
      <c r="J104" s="205"/>
      <c r="K104" s="205"/>
      <c r="L104" s="205"/>
    </row>
    <row r="105" spans="2:12">
      <c r="B105" s="29"/>
      <c r="C105" s="742"/>
      <c r="D105" s="742"/>
      <c r="E105" s="742"/>
      <c r="F105" s="742"/>
      <c r="G105" s="205"/>
      <c r="H105" s="205"/>
      <c r="I105" s="205"/>
      <c r="J105" s="205"/>
      <c r="K105" s="205"/>
      <c r="L105" s="205"/>
    </row>
    <row r="106" spans="2:12">
      <c r="B106" s="29"/>
      <c r="C106" s="742"/>
      <c r="D106" s="742"/>
      <c r="E106" s="742"/>
      <c r="F106" s="742"/>
      <c r="G106" s="205"/>
      <c r="H106" s="205"/>
      <c r="I106" s="205"/>
      <c r="J106" s="205"/>
      <c r="K106" s="205"/>
      <c r="L106" s="205"/>
    </row>
    <row r="107" spans="2:12">
      <c r="B107" s="39"/>
      <c r="C107" s="742"/>
      <c r="D107" s="742"/>
      <c r="E107" s="742"/>
      <c r="F107" s="742"/>
      <c r="G107" s="205"/>
      <c r="H107" s="205"/>
      <c r="I107" s="205"/>
      <c r="J107" s="205"/>
      <c r="K107" s="205"/>
      <c r="L107" s="205"/>
    </row>
    <row r="108" spans="2:12">
      <c r="B108" s="39"/>
      <c r="C108" s="742"/>
      <c r="D108" s="742"/>
      <c r="E108" s="742"/>
      <c r="F108" s="742"/>
      <c r="G108" s="205"/>
      <c r="H108" s="205"/>
      <c r="I108" s="205"/>
      <c r="J108" s="205"/>
      <c r="K108" s="205"/>
      <c r="L108" s="205"/>
    </row>
    <row r="109" spans="2:12">
      <c r="C109" s="742"/>
      <c r="D109" s="742"/>
      <c r="E109" s="742"/>
      <c r="F109" s="742"/>
      <c r="G109" s="205"/>
      <c r="H109" s="205"/>
      <c r="I109" s="205"/>
      <c r="J109" s="205"/>
      <c r="K109" s="205"/>
      <c r="L109" s="205"/>
    </row>
    <row r="110" spans="2:12">
      <c r="B110" s="1103"/>
      <c r="C110" s="742"/>
      <c r="D110" s="742"/>
      <c r="E110" s="742"/>
      <c r="F110" s="742"/>
      <c r="G110" s="205"/>
      <c r="H110" s="205"/>
      <c r="I110" s="205"/>
      <c r="J110" s="205"/>
      <c r="K110" s="205"/>
      <c r="L110" s="205"/>
    </row>
    <row r="111" spans="2:12">
      <c r="B111" s="44"/>
      <c r="C111" s="742"/>
      <c r="D111" s="742"/>
      <c r="E111" s="742"/>
      <c r="F111" s="742"/>
      <c r="G111" s="205"/>
      <c r="H111" s="205"/>
      <c r="I111" s="205"/>
      <c r="J111" s="205"/>
      <c r="K111" s="205"/>
      <c r="L111" s="205"/>
    </row>
    <row r="112" spans="2:12">
      <c r="B112" s="44"/>
      <c r="C112" s="742"/>
      <c r="D112" s="742"/>
      <c r="E112" s="742"/>
      <c r="F112" s="742"/>
      <c r="G112" s="205"/>
      <c r="H112" s="205"/>
      <c r="I112" s="205"/>
      <c r="J112" s="205"/>
      <c r="K112" s="205"/>
      <c r="L112" s="205"/>
    </row>
    <row r="113" spans="2:12">
      <c r="B113" s="44"/>
      <c r="C113" s="742"/>
      <c r="D113" s="742"/>
      <c r="E113" s="742"/>
      <c r="F113" s="742"/>
      <c r="G113" s="205"/>
      <c r="H113" s="205"/>
      <c r="I113" s="205"/>
      <c r="J113" s="205"/>
      <c r="K113" s="205"/>
      <c r="L113" s="205"/>
    </row>
    <row r="114" spans="2:12">
      <c r="B114" s="44"/>
      <c r="C114" s="742"/>
      <c r="D114" s="742"/>
      <c r="E114" s="742"/>
      <c r="F114" s="742"/>
      <c r="G114" s="205"/>
      <c r="H114" s="205"/>
      <c r="I114" s="205"/>
      <c r="J114" s="205"/>
      <c r="K114" s="205"/>
      <c r="L114" s="205"/>
    </row>
    <row r="115" spans="2:12">
      <c r="B115" s="44"/>
      <c r="C115" s="742"/>
      <c r="D115" s="742"/>
      <c r="E115" s="742"/>
      <c r="F115" s="742"/>
      <c r="G115" s="205"/>
      <c r="H115" s="205"/>
      <c r="I115" s="205"/>
      <c r="J115" s="205"/>
      <c r="K115" s="205"/>
      <c r="L115" s="205"/>
    </row>
    <row r="116" spans="2:12">
      <c r="B116" s="44"/>
      <c r="C116" s="742"/>
      <c r="D116" s="742"/>
      <c r="E116" s="742"/>
      <c r="F116" s="742"/>
      <c r="G116" s="205"/>
      <c r="H116" s="205"/>
      <c r="I116" s="205"/>
      <c r="J116" s="205"/>
      <c r="K116" s="205"/>
      <c r="L116" s="205"/>
    </row>
    <row r="117" spans="2:12">
      <c r="B117" s="44"/>
      <c r="C117" s="742"/>
      <c r="D117" s="742"/>
      <c r="E117" s="742"/>
      <c r="F117" s="742"/>
      <c r="G117" s="205"/>
      <c r="H117" s="205"/>
      <c r="I117" s="205"/>
      <c r="J117" s="205"/>
      <c r="K117" s="205"/>
      <c r="L117" s="205"/>
    </row>
    <row r="118" spans="2:12">
      <c r="B118" s="29"/>
      <c r="C118" s="742"/>
      <c r="D118" s="742"/>
      <c r="E118" s="742"/>
      <c r="F118" s="742"/>
      <c r="G118" s="205"/>
      <c r="H118" s="205"/>
      <c r="I118" s="205"/>
      <c r="J118" s="205"/>
      <c r="K118" s="205"/>
      <c r="L118" s="205"/>
    </row>
    <row r="119" spans="2:12">
      <c r="B119" s="44"/>
      <c r="C119" s="1104"/>
      <c r="D119" s="1104"/>
      <c r="E119" s="1104"/>
      <c r="F119" s="1104"/>
      <c r="G119" s="205"/>
      <c r="H119" s="205"/>
      <c r="I119" s="205"/>
      <c r="J119" s="205"/>
      <c r="K119" s="205"/>
      <c r="L119" s="205"/>
    </row>
    <row r="120" spans="2:12">
      <c r="B120" s="44"/>
      <c r="C120" s="742"/>
      <c r="D120" s="742"/>
      <c r="E120" s="742"/>
      <c r="F120" s="742"/>
      <c r="G120" s="205"/>
      <c r="H120" s="205"/>
      <c r="I120" s="205"/>
      <c r="J120" s="205"/>
      <c r="K120" s="205"/>
      <c r="L120" s="205"/>
    </row>
    <row r="121" spans="2:12">
      <c r="B121" s="1105"/>
      <c r="C121" s="742"/>
      <c r="D121" s="742"/>
      <c r="E121" s="742"/>
      <c r="F121" s="742"/>
      <c r="G121" s="205"/>
      <c r="H121" s="205"/>
      <c r="I121" s="205"/>
      <c r="J121" s="205"/>
      <c r="K121" s="205"/>
      <c r="L121" s="205"/>
    </row>
    <row r="122" spans="2:12">
      <c r="B122" s="39"/>
      <c r="C122" s="742"/>
      <c r="D122" s="742"/>
      <c r="E122" s="742"/>
      <c r="F122" s="742"/>
      <c r="G122" s="205"/>
      <c r="H122" s="205"/>
      <c r="I122" s="205"/>
      <c r="J122" s="205"/>
      <c r="K122" s="205"/>
      <c r="L122" s="205"/>
    </row>
    <row r="123" spans="2:12">
      <c r="B123" s="39"/>
      <c r="C123" s="742"/>
      <c r="D123" s="742"/>
      <c r="E123" s="742"/>
      <c r="F123" s="742"/>
      <c r="G123" s="205"/>
      <c r="H123" s="205"/>
      <c r="I123" s="205"/>
      <c r="J123" s="205"/>
      <c r="K123" s="205"/>
      <c r="L123" s="205"/>
    </row>
    <row r="124" spans="2:12">
      <c r="B124" s="39"/>
      <c r="C124" s="742"/>
      <c r="D124" s="742"/>
      <c r="E124" s="742"/>
      <c r="F124" s="742"/>
      <c r="G124" s="205"/>
      <c r="H124" s="205"/>
      <c r="I124" s="205"/>
      <c r="J124" s="205"/>
      <c r="K124" s="205"/>
      <c r="L124" s="205"/>
    </row>
    <row r="125" spans="2:12">
      <c r="B125" s="39"/>
      <c r="C125" s="742"/>
      <c r="D125" s="742"/>
      <c r="E125" s="742"/>
      <c r="F125" s="742"/>
      <c r="G125" s="205"/>
      <c r="H125" s="205"/>
      <c r="I125" s="205"/>
      <c r="J125" s="205"/>
      <c r="K125" s="205"/>
      <c r="L125" s="205"/>
    </row>
    <row r="126" spans="2:12">
      <c r="B126" s="39"/>
      <c r="C126" s="742"/>
      <c r="D126" s="742"/>
      <c r="E126" s="742"/>
      <c r="F126" s="742"/>
      <c r="G126" s="205"/>
      <c r="H126" s="205"/>
      <c r="I126" s="205"/>
      <c r="J126" s="205"/>
      <c r="K126" s="205"/>
      <c r="L126" s="205"/>
    </row>
    <row r="127" spans="2:12">
      <c r="B127" s="39"/>
      <c r="C127" s="742"/>
      <c r="D127" s="742"/>
      <c r="E127" s="742"/>
      <c r="F127" s="742"/>
      <c r="G127" s="205"/>
      <c r="H127" s="205"/>
      <c r="I127" s="205"/>
      <c r="J127" s="205"/>
      <c r="K127" s="205"/>
      <c r="L127" s="205"/>
    </row>
    <row r="128" spans="2:12">
      <c r="B128" s="44"/>
      <c r="C128" s="742"/>
      <c r="D128" s="742"/>
      <c r="E128" s="742"/>
      <c r="F128" s="742"/>
      <c r="G128" s="205"/>
      <c r="H128" s="205"/>
      <c r="I128" s="205"/>
      <c r="J128" s="205"/>
      <c r="K128" s="205"/>
      <c r="L128" s="205"/>
    </row>
    <row r="129" spans="2:12">
      <c r="B129" s="44"/>
      <c r="C129" s="742"/>
      <c r="D129" s="742"/>
      <c r="E129" s="742"/>
      <c r="F129" s="742"/>
      <c r="G129" s="205"/>
      <c r="H129" s="205"/>
      <c r="I129" s="205"/>
      <c r="J129" s="205"/>
      <c r="K129" s="205"/>
      <c r="L129" s="205"/>
    </row>
    <row r="130" spans="2:12">
      <c r="B130" s="44"/>
      <c r="C130" s="742"/>
      <c r="D130" s="742"/>
      <c r="E130" s="742"/>
      <c r="F130" s="742"/>
      <c r="G130" s="205"/>
      <c r="H130" s="205"/>
      <c r="I130" s="205"/>
      <c r="J130" s="205"/>
      <c r="K130" s="205"/>
      <c r="L130" s="205"/>
    </row>
    <row r="131" spans="2:12">
      <c r="B131" s="44"/>
      <c r="C131" s="742"/>
      <c r="D131" s="742"/>
      <c r="E131" s="742"/>
      <c r="F131" s="742"/>
      <c r="G131" s="205"/>
      <c r="H131" s="205"/>
      <c r="I131" s="205"/>
      <c r="J131" s="205"/>
      <c r="K131" s="205"/>
      <c r="L131" s="205"/>
    </row>
    <row r="132" spans="2:12">
      <c r="B132" s="1094"/>
      <c r="C132" s="742"/>
      <c r="D132" s="742"/>
      <c r="E132" s="742"/>
      <c r="F132" s="742"/>
      <c r="G132" s="205"/>
      <c r="H132" s="205"/>
      <c r="I132" s="205"/>
      <c r="J132" s="205"/>
      <c r="K132" s="205"/>
      <c r="L132" s="205"/>
    </row>
    <row r="133" spans="2:12">
      <c r="B133" s="1094"/>
      <c r="C133" s="742"/>
      <c r="D133" s="742"/>
      <c r="E133" s="742"/>
      <c r="F133" s="742"/>
      <c r="G133" s="205"/>
      <c r="H133" s="205"/>
      <c r="I133" s="205"/>
      <c r="J133" s="205"/>
      <c r="K133" s="205"/>
      <c r="L133" s="205"/>
    </row>
    <row r="134" spans="2:12">
      <c r="B134" s="44"/>
      <c r="C134" s="742"/>
      <c r="D134" s="742"/>
      <c r="E134" s="742"/>
      <c r="F134" s="742"/>
      <c r="G134" s="205"/>
      <c r="H134" s="205"/>
      <c r="I134" s="205"/>
      <c r="J134" s="205"/>
      <c r="K134" s="205"/>
      <c r="L134" s="205"/>
    </row>
    <row r="135" spans="2:12">
      <c r="C135" s="742"/>
      <c r="D135" s="742"/>
      <c r="E135" s="742"/>
      <c r="F135" s="742"/>
      <c r="G135" s="205"/>
      <c r="H135" s="205"/>
      <c r="I135" s="205"/>
      <c r="J135" s="205"/>
      <c r="K135" s="205"/>
      <c r="L135" s="205"/>
    </row>
    <row r="136" spans="2:12">
      <c r="B136" s="29"/>
      <c r="C136" s="1106"/>
      <c r="D136" s="1106"/>
      <c r="E136" s="1106"/>
      <c r="F136" s="1106"/>
      <c r="G136" s="205"/>
      <c r="H136" s="205"/>
      <c r="I136" s="205"/>
      <c r="J136" s="205"/>
      <c r="K136" s="205"/>
      <c r="L136" s="205"/>
    </row>
    <row r="137" spans="2:12">
      <c r="C137" s="742"/>
      <c r="D137" s="742"/>
      <c r="E137" s="742"/>
      <c r="F137" s="742"/>
      <c r="G137" s="205"/>
      <c r="H137" s="205"/>
      <c r="I137" s="205"/>
      <c r="J137" s="205"/>
      <c r="K137" s="205"/>
      <c r="L137" s="205"/>
    </row>
    <row r="138" spans="2:12">
      <c r="B138" s="1107"/>
      <c r="C138" s="742"/>
      <c r="D138" s="742"/>
      <c r="E138" s="742"/>
      <c r="F138" s="742"/>
      <c r="G138" s="205"/>
      <c r="H138" s="205"/>
      <c r="I138" s="205"/>
      <c r="J138" s="205"/>
      <c r="K138" s="205"/>
      <c r="L138" s="205"/>
    </row>
    <row r="139" spans="2:12">
      <c r="B139" s="44"/>
      <c r="C139" s="742"/>
      <c r="D139" s="742"/>
      <c r="E139" s="742"/>
      <c r="F139" s="742"/>
      <c r="G139" s="205"/>
      <c r="H139" s="205"/>
      <c r="I139" s="205"/>
      <c r="J139" s="205"/>
      <c r="K139" s="205"/>
      <c r="L139" s="205"/>
    </row>
    <row r="140" spans="2:12">
      <c r="B140" s="44"/>
      <c r="C140" s="1104"/>
      <c r="D140" s="1104"/>
      <c r="E140" s="1104"/>
      <c r="F140" s="1104"/>
      <c r="G140" s="205"/>
      <c r="H140" s="205"/>
      <c r="I140" s="205"/>
      <c r="J140" s="205"/>
      <c r="K140" s="205"/>
      <c r="L140" s="205"/>
    </row>
    <row r="141" spans="2:12">
      <c r="B141" s="44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</row>
    <row r="142" spans="2:12">
      <c r="B142" s="1108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</row>
    <row r="143" spans="2:12">
      <c r="B143" s="1085"/>
    </row>
    <row r="144" spans="2:12">
      <c r="B144" s="44"/>
    </row>
  </sheetData>
  <mergeCells count="3">
    <mergeCell ref="B2:C2"/>
    <mergeCell ref="E2:F2"/>
    <mergeCell ref="H2:I2"/>
  </mergeCells>
  <phoneticPr fontId="140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"/>
  <sheetViews>
    <sheetView workbookViewId="0">
      <selection activeCell="C5" sqref="C5"/>
    </sheetView>
  </sheetViews>
  <sheetFormatPr defaultColWidth="9" defaultRowHeight="14.25"/>
  <cols>
    <col min="1" max="1" width="13.625" style="342" customWidth="1"/>
    <col min="2" max="2" width="18.625" style="343" customWidth="1"/>
    <col min="3" max="3" width="14.125" style="53" customWidth="1"/>
    <col min="4" max="4" width="14.125" style="342" customWidth="1"/>
    <col min="5" max="5" width="23" style="343" customWidth="1"/>
    <col min="6" max="6" width="26.375" style="343" customWidth="1"/>
    <col min="7" max="7" width="8.125" style="53" customWidth="1"/>
    <col min="8" max="8" width="16.625" style="53" customWidth="1"/>
    <col min="9" max="16384" width="9" style="53"/>
  </cols>
  <sheetData>
    <row r="1" spans="1:7" ht="15.95" customHeight="1">
      <c r="A1" s="344" t="str">
        <f>财务基础数据!A4</f>
        <v>XXXX</v>
      </c>
      <c r="B1" s="52" t="str">
        <f>财务基础数据!C4</f>
        <v>XXXX</v>
      </c>
      <c r="D1" s="345" t="s">
        <v>560</v>
      </c>
      <c r="E1" s="346"/>
      <c r="F1" s="347"/>
    </row>
    <row r="2" spans="1:7" ht="15.95" customHeight="1">
      <c r="A2" s="100" t="s">
        <v>561</v>
      </c>
      <c r="B2" s="348"/>
      <c r="D2" s="100" t="s">
        <v>562</v>
      </c>
      <c r="E2" s="348"/>
      <c r="F2" s="349" t="s">
        <v>563</v>
      </c>
    </row>
    <row r="3" spans="1:7" ht="15.95" customHeight="1">
      <c r="A3" s="350" t="s">
        <v>564</v>
      </c>
      <c r="B3" s="351"/>
      <c r="D3" s="350" t="s">
        <v>564</v>
      </c>
      <c r="E3" s="352"/>
      <c r="F3" s="353"/>
      <c r="G3" s="354"/>
    </row>
    <row r="4" spans="1:7" ht="15.95" customHeight="1">
      <c r="A4" s="350" t="s">
        <v>565</v>
      </c>
      <c r="B4" s="352" t="s">
        <v>566</v>
      </c>
      <c r="D4" s="350" t="s">
        <v>567</v>
      </c>
      <c r="E4" s="352"/>
      <c r="F4" s="355"/>
      <c r="G4" s="354"/>
    </row>
    <row r="5" spans="1:7" ht="15.95" customHeight="1">
      <c r="A5" s="350" t="s">
        <v>568</v>
      </c>
      <c r="B5" s="356"/>
      <c r="D5" s="350" t="s">
        <v>569</v>
      </c>
      <c r="E5" s="352"/>
      <c r="F5" s="355"/>
      <c r="G5" s="354"/>
    </row>
    <row r="6" spans="1:7" ht="15.95" customHeight="1">
      <c r="B6" s="52"/>
      <c r="C6" s="52"/>
      <c r="D6" s="350" t="s">
        <v>570</v>
      </c>
      <c r="E6" s="356"/>
      <c r="F6" s="355"/>
      <c r="G6" s="354"/>
    </row>
    <row r="7" spans="1:7" ht="15.95" customHeight="1">
      <c r="B7" s="52"/>
      <c r="C7" s="52"/>
      <c r="D7" s="350" t="s">
        <v>571</v>
      </c>
      <c r="E7" s="356"/>
      <c r="F7" s="355"/>
      <c r="G7" s="354"/>
    </row>
    <row r="8" spans="1:7" ht="15.95" customHeight="1">
      <c r="B8" s="52"/>
      <c r="C8" s="52"/>
      <c r="D8" s="350" t="s">
        <v>568</v>
      </c>
      <c r="E8" s="356"/>
      <c r="F8" s="355"/>
      <c r="G8" s="354"/>
    </row>
    <row r="9" spans="1:7" ht="15.95" customHeight="1">
      <c r="A9" s="357"/>
      <c r="B9" s="52"/>
      <c r="C9" s="52"/>
      <c r="D9" s="358" t="s">
        <v>572</v>
      </c>
      <c r="E9" s="52"/>
      <c r="F9" s="52"/>
    </row>
    <row r="10" spans="1:7" ht="15.95" customHeight="1">
      <c r="A10" s="359" t="s">
        <v>573</v>
      </c>
      <c r="B10" s="359" t="s">
        <v>574</v>
      </c>
      <c r="D10" s="359" t="s">
        <v>573</v>
      </c>
      <c r="E10" s="359" t="s">
        <v>2</v>
      </c>
      <c r="F10" s="359" t="s">
        <v>2</v>
      </c>
    </row>
    <row r="11" spans="1:7" ht="15.95" customHeight="1">
      <c r="B11" s="360"/>
      <c r="C11" s="361"/>
      <c r="E11" s="360"/>
      <c r="F11" s="360"/>
    </row>
    <row r="12" spans="1:7" ht="15.95" customHeight="1">
      <c r="B12" s="360"/>
      <c r="C12" s="361"/>
      <c r="E12" s="360"/>
      <c r="F12" s="360"/>
    </row>
    <row r="13" spans="1:7" ht="15.95" customHeight="1">
      <c r="B13" s="360"/>
      <c r="C13" s="361"/>
      <c r="E13" s="360"/>
      <c r="F13" s="360"/>
    </row>
    <row r="14" spans="1:7" ht="15.95" customHeight="1">
      <c r="B14" s="360"/>
      <c r="C14" s="361"/>
      <c r="E14" s="360"/>
      <c r="F14" s="360"/>
    </row>
    <row r="15" spans="1:7" ht="15.95" customHeight="1">
      <c r="B15" s="360"/>
      <c r="C15" s="361"/>
      <c r="E15" s="360"/>
      <c r="F15" s="360"/>
    </row>
    <row r="16" spans="1:7" ht="15.95" customHeight="1">
      <c r="B16" s="360"/>
      <c r="C16" s="361"/>
      <c r="E16" s="360"/>
      <c r="F16" s="360"/>
    </row>
    <row r="17" spans="2:6" ht="15.95" customHeight="1">
      <c r="B17" s="360"/>
      <c r="C17" s="361"/>
      <c r="E17" s="360"/>
      <c r="F17" s="360"/>
    </row>
    <row r="18" spans="2:6" ht="15.95" customHeight="1">
      <c r="B18" s="360"/>
      <c r="C18" s="361"/>
      <c r="E18" s="360"/>
      <c r="F18" s="360"/>
    </row>
    <row r="19" spans="2:6" ht="15.95" customHeight="1">
      <c r="B19" s="360"/>
      <c r="C19" s="361"/>
      <c r="E19" s="360"/>
      <c r="F19" s="360"/>
    </row>
    <row r="20" spans="2:6" ht="15.95" customHeight="1">
      <c r="B20" s="360"/>
      <c r="C20" s="361"/>
      <c r="E20" s="360"/>
      <c r="F20" s="360"/>
    </row>
    <row r="21" spans="2:6" ht="15.95" customHeight="1">
      <c r="B21" s="360"/>
      <c r="C21" s="361"/>
      <c r="E21" s="360"/>
      <c r="F21" s="360"/>
    </row>
    <row r="22" spans="2:6" ht="15.95" customHeight="1">
      <c r="B22" s="360"/>
      <c r="C22" s="361"/>
      <c r="E22" s="360"/>
      <c r="F22" s="360"/>
    </row>
    <row r="23" spans="2:6" ht="15.95" customHeight="1">
      <c r="B23" s="360"/>
      <c r="C23" s="361"/>
      <c r="E23" s="360"/>
      <c r="F23" s="360"/>
    </row>
    <row r="24" spans="2:6" ht="15.95" customHeight="1">
      <c r="B24" s="360"/>
      <c r="C24" s="361"/>
      <c r="E24" s="360"/>
      <c r="F24" s="360"/>
    </row>
    <row r="25" spans="2:6" ht="15.95" customHeight="1">
      <c r="B25" s="360"/>
      <c r="C25" s="361"/>
      <c r="E25" s="360"/>
      <c r="F25" s="360"/>
    </row>
    <row r="26" spans="2:6" ht="15.95" customHeight="1">
      <c r="B26" s="360"/>
      <c r="C26" s="361"/>
      <c r="E26" s="360"/>
      <c r="F26" s="360"/>
    </row>
    <row r="27" spans="2:6" ht="15.95" customHeight="1">
      <c r="B27" s="360"/>
      <c r="C27" s="361"/>
      <c r="E27" s="360"/>
      <c r="F27" s="360"/>
    </row>
    <row r="28" spans="2:6" ht="15.95" customHeight="1">
      <c r="B28" s="360"/>
      <c r="C28" s="361"/>
      <c r="E28" s="360"/>
      <c r="F28" s="360"/>
    </row>
    <row r="29" spans="2:6" ht="15.95" customHeight="1">
      <c r="B29" s="360"/>
      <c r="C29" s="361"/>
      <c r="E29" s="360"/>
      <c r="F29" s="360"/>
    </row>
    <row r="30" spans="2:6" ht="15.95" customHeight="1">
      <c r="B30" s="360"/>
      <c r="C30" s="361"/>
      <c r="E30" s="360"/>
      <c r="F30" s="360"/>
    </row>
    <row r="31" spans="2:6" ht="15.95" customHeight="1">
      <c r="B31" s="360"/>
      <c r="C31" s="361"/>
      <c r="E31" s="360"/>
      <c r="F31" s="360"/>
    </row>
    <row r="32" spans="2:6" ht="15.95" customHeight="1">
      <c r="B32" s="360"/>
      <c r="C32" s="361"/>
      <c r="E32" s="360"/>
      <c r="F32" s="360"/>
    </row>
    <row r="33" spans="2:6" ht="15.95" customHeight="1">
      <c r="B33" s="360"/>
      <c r="C33" s="361"/>
      <c r="E33" s="360"/>
      <c r="F33" s="360"/>
    </row>
    <row r="34" spans="2:6" ht="15.95" customHeight="1">
      <c r="B34" s="360"/>
      <c r="C34" s="361"/>
      <c r="E34" s="360"/>
      <c r="F34" s="360"/>
    </row>
    <row r="35" spans="2:6" ht="15.95" customHeight="1">
      <c r="B35" s="360"/>
      <c r="C35" s="361"/>
      <c r="E35" s="360"/>
      <c r="F35" s="360"/>
    </row>
    <row r="36" spans="2:6" ht="15.95" customHeight="1">
      <c r="B36" s="360"/>
      <c r="C36" s="361"/>
      <c r="E36" s="360"/>
      <c r="F36" s="360"/>
    </row>
    <row r="37" spans="2:6" ht="15.95" customHeight="1">
      <c r="B37" s="360"/>
      <c r="C37" s="361"/>
      <c r="E37" s="360"/>
      <c r="F37" s="360"/>
    </row>
    <row r="38" spans="2:6" ht="15.95" customHeight="1">
      <c r="B38" s="360"/>
      <c r="C38" s="361"/>
      <c r="E38" s="360"/>
      <c r="F38" s="360"/>
    </row>
    <row r="39" spans="2:6" ht="15.95" customHeight="1">
      <c r="B39" s="360"/>
      <c r="C39" s="361"/>
      <c r="E39" s="360"/>
      <c r="F39" s="360"/>
    </row>
    <row r="40" spans="2:6" ht="15.95" customHeight="1">
      <c r="B40" s="360"/>
      <c r="C40" s="361"/>
      <c r="E40" s="360"/>
      <c r="F40" s="360"/>
    </row>
    <row r="41" spans="2:6" ht="15.95" customHeight="1">
      <c r="B41" s="360"/>
      <c r="C41" s="361"/>
      <c r="E41" s="360"/>
      <c r="F41" s="360"/>
    </row>
    <row r="42" spans="2:6" ht="15.95" customHeight="1">
      <c r="B42" s="360"/>
      <c r="C42" s="361"/>
      <c r="E42" s="360"/>
      <c r="F42" s="360"/>
    </row>
    <row r="43" spans="2:6" ht="15.95" customHeight="1">
      <c r="B43" s="360"/>
      <c r="C43" s="361"/>
      <c r="E43" s="360"/>
      <c r="F43" s="360"/>
    </row>
    <row r="44" spans="2:6" ht="15.95" customHeight="1">
      <c r="B44" s="360"/>
      <c r="C44" s="361"/>
      <c r="E44" s="360"/>
      <c r="F44" s="360"/>
    </row>
    <row r="45" spans="2:6" ht="15.95" customHeight="1">
      <c r="B45" s="360"/>
      <c r="C45" s="361"/>
      <c r="E45" s="360"/>
      <c r="F45" s="360"/>
    </row>
    <row r="46" spans="2:6" ht="15.95" customHeight="1">
      <c r="B46" s="360"/>
      <c r="C46" s="361"/>
      <c r="E46" s="360"/>
      <c r="F46" s="360"/>
    </row>
    <row r="47" spans="2:6" ht="15.95" customHeight="1">
      <c r="B47" s="360"/>
      <c r="C47" s="361"/>
      <c r="E47" s="360"/>
      <c r="F47" s="360"/>
    </row>
    <row r="48" spans="2:6" ht="15.95" customHeight="1">
      <c r="B48" s="360"/>
      <c r="C48" s="361"/>
      <c r="E48" s="360"/>
      <c r="F48" s="360"/>
    </row>
    <row r="49" spans="2:6" ht="15.95" customHeight="1">
      <c r="B49" s="360"/>
      <c r="C49" s="361"/>
      <c r="E49" s="360"/>
      <c r="F49" s="360"/>
    </row>
    <row r="50" spans="2:6" ht="15.95" customHeight="1">
      <c r="B50" s="360"/>
      <c r="C50" s="361"/>
      <c r="E50" s="360"/>
      <c r="F50" s="360"/>
    </row>
    <row r="51" spans="2:6" ht="15.95" customHeight="1">
      <c r="B51" s="360"/>
      <c r="C51" s="361"/>
      <c r="E51" s="360"/>
      <c r="F51" s="360"/>
    </row>
    <row r="52" spans="2:6" ht="15.95" customHeight="1">
      <c r="B52" s="360"/>
      <c r="C52" s="361"/>
      <c r="E52" s="360"/>
      <c r="F52" s="360"/>
    </row>
    <row r="53" spans="2:6" ht="15.95" customHeight="1">
      <c r="B53" s="360"/>
      <c r="C53" s="361"/>
      <c r="E53" s="360"/>
      <c r="F53" s="360"/>
    </row>
    <row r="54" spans="2:6" ht="15.95" customHeight="1">
      <c r="B54" s="360"/>
      <c r="C54" s="361"/>
      <c r="E54" s="360"/>
      <c r="F54" s="360"/>
    </row>
    <row r="55" spans="2:6" ht="15.95" customHeight="1">
      <c r="B55" s="360"/>
      <c r="C55" s="361"/>
      <c r="E55" s="360"/>
      <c r="F55" s="360"/>
    </row>
    <row r="56" spans="2:6" ht="15.95" customHeight="1">
      <c r="B56" s="360"/>
      <c r="C56" s="361"/>
      <c r="E56" s="360"/>
      <c r="F56" s="360"/>
    </row>
    <row r="57" spans="2:6" ht="15.95" customHeight="1">
      <c r="B57" s="360"/>
      <c r="C57" s="361"/>
      <c r="E57" s="360"/>
      <c r="F57" s="360"/>
    </row>
    <row r="58" spans="2:6" ht="15.95" customHeight="1">
      <c r="B58" s="360"/>
      <c r="C58" s="361"/>
      <c r="E58" s="360"/>
      <c r="F58" s="360"/>
    </row>
    <row r="59" spans="2:6" ht="15.95" customHeight="1">
      <c r="B59" s="360"/>
      <c r="C59" s="361"/>
      <c r="E59" s="360"/>
      <c r="F59" s="360"/>
    </row>
    <row r="60" spans="2:6" ht="15.95" customHeight="1">
      <c r="B60" s="360"/>
      <c r="C60" s="361"/>
      <c r="E60" s="360"/>
      <c r="F60" s="360"/>
    </row>
    <row r="61" spans="2:6" ht="15.95" customHeight="1">
      <c r="B61" s="360"/>
      <c r="C61" s="361"/>
      <c r="E61" s="360"/>
      <c r="F61" s="360"/>
    </row>
    <row r="62" spans="2:6" ht="15.95" customHeight="1">
      <c r="B62" s="360"/>
      <c r="C62" s="361"/>
      <c r="E62" s="360"/>
      <c r="F62" s="360"/>
    </row>
    <row r="63" spans="2:6" ht="15.95" customHeight="1">
      <c r="B63" s="360"/>
      <c r="C63" s="361"/>
      <c r="E63" s="360"/>
      <c r="F63" s="360"/>
    </row>
    <row r="64" spans="2:6" ht="15.95" customHeight="1">
      <c r="B64" s="360"/>
      <c r="C64" s="361"/>
      <c r="E64" s="360"/>
      <c r="F64" s="360"/>
    </row>
    <row r="65" spans="2:6" ht="15.95" customHeight="1">
      <c r="B65" s="360"/>
      <c r="C65" s="361"/>
      <c r="E65" s="360"/>
      <c r="F65" s="360"/>
    </row>
    <row r="66" spans="2:6" ht="15.95" customHeight="1">
      <c r="B66" s="360"/>
      <c r="C66" s="361"/>
      <c r="E66" s="360"/>
      <c r="F66" s="360"/>
    </row>
    <row r="67" spans="2:6" ht="15.95" customHeight="1">
      <c r="B67" s="360"/>
      <c r="C67" s="361"/>
      <c r="E67" s="360"/>
      <c r="F67" s="360"/>
    </row>
    <row r="68" spans="2:6" ht="15.95" customHeight="1">
      <c r="B68" s="360"/>
      <c r="C68" s="361"/>
      <c r="E68" s="360"/>
      <c r="F68" s="360"/>
    </row>
    <row r="69" spans="2:6" ht="15.95" customHeight="1">
      <c r="B69" s="360"/>
      <c r="C69" s="361"/>
      <c r="E69" s="360"/>
      <c r="F69" s="360"/>
    </row>
    <row r="70" spans="2:6" ht="15.95" customHeight="1">
      <c r="B70" s="360"/>
      <c r="C70" s="361"/>
      <c r="E70" s="360"/>
      <c r="F70" s="360"/>
    </row>
    <row r="71" spans="2:6" ht="15.95" customHeight="1">
      <c r="B71" s="360"/>
      <c r="C71" s="361"/>
      <c r="E71" s="360"/>
      <c r="F71" s="360"/>
    </row>
    <row r="72" spans="2:6" ht="15.95" customHeight="1">
      <c r="B72" s="360"/>
      <c r="C72" s="361"/>
      <c r="E72" s="360"/>
      <c r="F72" s="360"/>
    </row>
    <row r="73" spans="2:6" ht="15.95" customHeight="1">
      <c r="B73" s="360"/>
      <c r="C73" s="361"/>
      <c r="E73" s="360"/>
      <c r="F73" s="360"/>
    </row>
    <row r="74" spans="2:6" ht="15.95" customHeight="1">
      <c r="B74" s="360"/>
      <c r="C74" s="361"/>
      <c r="E74" s="360"/>
      <c r="F74" s="360"/>
    </row>
    <row r="75" spans="2:6" ht="15.95" customHeight="1">
      <c r="B75" s="360"/>
      <c r="C75" s="361"/>
      <c r="E75" s="360"/>
      <c r="F75" s="360"/>
    </row>
    <row r="76" spans="2:6" ht="15.95" customHeight="1"/>
    <row r="77" spans="2:6" ht="15.95" customHeight="1"/>
    <row r="78" spans="2:6" ht="15.95" customHeight="1"/>
    <row r="79" spans="2:6" ht="15.95" customHeight="1"/>
    <row r="80" spans="2:6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</sheetData>
  <phoneticPr fontId="140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35"/>
  <sheetViews>
    <sheetView showGridLines="0" workbookViewId="0">
      <selection activeCell="B3" sqref="B3"/>
    </sheetView>
  </sheetViews>
  <sheetFormatPr defaultColWidth="9" defaultRowHeight="16.5" customHeight="1" outlineLevelRow="1"/>
  <cols>
    <col min="1" max="1" width="20.625" style="97" customWidth="1"/>
    <col min="2" max="2" width="18.25" style="240" customWidth="1"/>
    <col min="3" max="7" width="16" style="241" customWidth="1"/>
    <col min="8" max="12" width="15" style="241" customWidth="1"/>
    <col min="13" max="16384" width="9" style="241"/>
  </cols>
  <sheetData>
    <row r="1" spans="1:5" ht="16.5" customHeight="1">
      <c r="A1" s="242" t="s">
        <v>575</v>
      </c>
      <c r="B1" s="242" t="s">
        <v>576</v>
      </c>
      <c r="C1" s="242" t="s">
        <v>577</v>
      </c>
      <c r="D1" s="97"/>
      <c r="E1" s="97"/>
    </row>
    <row r="2" spans="1:5" ht="16.5" customHeight="1">
      <c r="A2" s="97" t="s">
        <v>578</v>
      </c>
      <c r="B2" s="243">
        <f>目录!D4</f>
        <v>3</v>
      </c>
      <c r="C2" s="244" t="s">
        <v>579</v>
      </c>
      <c r="D2" s="97"/>
      <c r="E2" s="97"/>
    </row>
    <row r="3" spans="1:5" ht="16.5" customHeight="1">
      <c r="A3" s="97" t="s">
        <v>580</v>
      </c>
      <c r="B3" s="243"/>
      <c r="C3" s="244" t="s">
        <v>581</v>
      </c>
      <c r="D3" s="97"/>
      <c r="E3" s="97"/>
    </row>
    <row r="4" spans="1:5" ht="16.5" customHeight="1">
      <c r="A4" s="97" t="s">
        <v>582</v>
      </c>
      <c r="B4" s="245"/>
      <c r="C4" s="244" t="s">
        <v>583</v>
      </c>
      <c r="D4" s="97"/>
      <c r="E4" s="97"/>
    </row>
    <row r="5" spans="1:5" ht="16.5" customHeight="1">
      <c r="A5" s="97" t="s">
        <v>584</v>
      </c>
      <c r="B5" s="246">
        <v>0.02</v>
      </c>
      <c r="C5" s="244" t="s">
        <v>585</v>
      </c>
      <c r="D5" s="97"/>
      <c r="E5" s="97"/>
    </row>
    <row r="6" spans="1:5" ht="16.5" customHeight="1">
      <c r="A6" s="97" t="s">
        <v>586</v>
      </c>
      <c r="B6" s="1072">
        <f>参数计算!E8</f>
        <v>0</v>
      </c>
      <c r="C6" s="244" t="s">
        <v>587</v>
      </c>
      <c r="D6" s="97"/>
      <c r="E6" s="97"/>
    </row>
    <row r="7" spans="1:5" ht="16.5" customHeight="1">
      <c r="A7" s="97" t="s">
        <v>588</v>
      </c>
      <c r="B7" s="247">
        <f>参数计算!B5/100</f>
        <v>0</v>
      </c>
      <c r="C7" s="244" t="s">
        <v>589</v>
      </c>
      <c r="D7" s="97"/>
      <c r="E7" s="97"/>
    </row>
    <row r="8" spans="1:5" ht="16.5" customHeight="1">
      <c r="A8" s="97" t="s">
        <v>590</v>
      </c>
      <c r="B8" s="245"/>
      <c r="C8" s="244" t="s">
        <v>591</v>
      </c>
      <c r="D8" s="97"/>
      <c r="E8" s="97"/>
    </row>
    <row r="9" spans="1:5" ht="16.5" customHeight="1">
      <c r="A9" s="97" t="s">
        <v>592</v>
      </c>
      <c r="B9" s="246">
        <v>0.25</v>
      </c>
      <c r="C9" s="244" t="s">
        <v>593</v>
      </c>
      <c r="D9" s="97"/>
      <c r="E9" s="97"/>
    </row>
    <row r="10" spans="1:5" ht="16.5" customHeight="1">
      <c r="A10" s="150" t="s">
        <v>594</v>
      </c>
      <c r="B10" s="248">
        <f ca="1">12-MONTH(TODAY())</f>
        <v>0</v>
      </c>
      <c r="C10" s="244" t="s">
        <v>595</v>
      </c>
      <c r="D10" s="97"/>
      <c r="E10" s="97"/>
    </row>
    <row r="11" spans="1:5" s="29" customFormat="1" ht="16.5" customHeight="1">
      <c r="A11" s="150"/>
      <c r="B11" s="249"/>
      <c r="C11" s="150"/>
    </row>
    <row r="12" spans="1:5" ht="16.5" customHeight="1">
      <c r="A12" s="242" t="s">
        <v>596</v>
      </c>
      <c r="B12" s="242" t="s">
        <v>576</v>
      </c>
      <c r="C12" s="242" t="s">
        <v>577</v>
      </c>
    </row>
    <row r="13" spans="1:5" ht="16.5" customHeight="1">
      <c r="A13" s="97" t="s">
        <v>597</v>
      </c>
      <c r="B13" s="246">
        <f>IF(ISERROR(资产预测!L207/(资产预测!L180+0.5*(资产预测!L181-资产预测!L182-资产预测!L183)+资产预测!L189+0.5*资产预测!L190+资产预测!L195+0.5*资产预测!L196+资产预测!L202+0.5*资产预测!L203)),0,资产预测!L207/(资产预测!L180+0.5*(资产预测!L181-资产预测!L182-资产预测!L183)+资产预测!L189+0.5*资产预测!L190+资产预测!L195+0.5*资产预测!L196+资产预测!L202+0.5*资产预测!L203))</f>
        <v>0</v>
      </c>
      <c r="C13" s="250" t="s">
        <v>598</v>
      </c>
    </row>
    <row r="14" spans="1:5" ht="16.5" customHeight="1">
      <c r="A14" s="97" t="s">
        <v>599</v>
      </c>
      <c r="B14" s="246">
        <f>IF(ISERROR(资产负债表!AK103/(资产负债表!AK103+目录!F6*目录!F7*1000000*目录!D6)),0,资产负债表!AK103/(资产负债表!AK103+目录!F6*目录!F7*1000000*目录!D6))</f>
        <v>0</v>
      </c>
      <c r="C14" s="250" t="s">
        <v>600</v>
      </c>
    </row>
    <row r="15" spans="1:5" ht="16.5" customHeight="1">
      <c r="A15" s="97" t="s">
        <v>601</v>
      </c>
      <c r="B15" s="251">
        <f>$B7+$B6*($B8-$B7)</f>
        <v>0</v>
      </c>
      <c r="C15" s="244" t="s">
        <v>602</v>
      </c>
    </row>
    <row r="16" spans="1:5" ht="16.5" customHeight="1">
      <c r="A16" s="97" t="s">
        <v>603</v>
      </c>
      <c r="B16" s="251">
        <f>IF(ISERROR(B13*B14*(1-$B9)+B15*(1-B14)),"—",B13*B14*(1-$B9)+B15*(1-B14))</f>
        <v>0</v>
      </c>
      <c r="C16" s="244" t="s">
        <v>604</v>
      </c>
    </row>
    <row r="18" spans="1:12" ht="16.5" customHeight="1">
      <c r="A18" s="252" t="s">
        <v>605</v>
      </c>
    </row>
    <row r="19" spans="1:12" ht="16.5" customHeight="1">
      <c r="A19" s="253" t="s">
        <v>606</v>
      </c>
      <c r="B19" s="254" t="str">
        <f ca="1">B42</f>
        <v>—</v>
      </c>
      <c r="C19" s="255">
        <v>1</v>
      </c>
      <c r="D19" s="255">
        <v>2</v>
      </c>
      <c r="E19" s="255">
        <v>3</v>
      </c>
      <c r="F19" s="255">
        <v>4</v>
      </c>
      <c r="G19" s="255">
        <v>5</v>
      </c>
      <c r="H19" s="255">
        <v>6</v>
      </c>
      <c r="I19" s="255">
        <v>7</v>
      </c>
      <c r="J19" s="255">
        <v>8</v>
      </c>
      <c r="K19" s="255">
        <v>9</v>
      </c>
      <c r="L19" s="255">
        <v>10</v>
      </c>
    </row>
    <row r="20" spans="1:12" ht="16.5" customHeight="1" outlineLevel="1">
      <c r="B20" s="256">
        <f>财务基础数据!AL5</f>
        <v>2023</v>
      </c>
      <c r="C20" s="257" t="str">
        <f>财务基础数据!AP5&amp;"E"</f>
        <v>2024E</v>
      </c>
      <c r="D20" s="257">
        <f>财务基础数据!AP5+1</f>
        <v>2025</v>
      </c>
      <c r="E20" s="257">
        <f t="shared" ref="E20:L20" si="0">D20+1</f>
        <v>2026</v>
      </c>
      <c r="F20" s="257">
        <f t="shared" si="0"/>
        <v>2027</v>
      </c>
      <c r="G20" s="257">
        <f t="shared" si="0"/>
        <v>2028</v>
      </c>
      <c r="H20" s="257">
        <f t="shared" si="0"/>
        <v>2029</v>
      </c>
      <c r="I20" s="257">
        <f t="shared" si="0"/>
        <v>2030</v>
      </c>
      <c r="J20" s="257">
        <f t="shared" si="0"/>
        <v>2031</v>
      </c>
      <c r="K20" s="257">
        <f t="shared" si="0"/>
        <v>2032</v>
      </c>
      <c r="L20" s="257">
        <f t="shared" si="0"/>
        <v>2033</v>
      </c>
    </row>
    <row r="21" spans="1:12" ht="16.5" customHeight="1" outlineLevel="1">
      <c r="A21" s="97" t="s">
        <v>456</v>
      </c>
      <c r="B21" s="258">
        <f>IF(ISERROR(利润表!AG45),"—",利润表!AG45)</f>
        <v>0</v>
      </c>
      <c r="C21" s="259">
        <f>IF(ISERROR(利润表!AK45),"—",利润表!AK45)</f>
        <v>0</v>
      </c>
      <c r="D21" s="259">
        <f>IF(ISERROR(利润表!AL45),"—",利润表!AL45)</f>
        <v>0</v>
      </c>
      <c r="E21" s="259">
        <f>IF(ISERROR(利润表!AM45),"—",利润表!AM45)</f>
        <v>0</v>
      </c>
      <c r="F21" s="259">
        <f>IF(ISERROR(利润表!AN45),"—",利润表!AN45)</f>
        <v>0</v>
      </c>
      <c r="G21" s="259">
        <f>IF(ISERROR(利润表!AO45),"—",利润表!AO45)</f>
        <v>0</v>
      </c>
      <c r="H21" s="259">
        <f>IF(ISERROR(利润表!AP45),"—",利润表!AP45)</f>
        <v>0</v>
      </c>
      <c r="I21" s="259">
        <f>IF(ISERROR(利润表!AQ45),"—",利润表!AQ45)</f>
        <v>0</v>
      </c>
      <c r="J21" s="259">
        <f>IF(ISERROR(利润表!AR45),"—",利润表!AR45)</f>
        <v>0</v>
      </c>
      <c r="K21" s="259">
        <f>IF(ISERROR(利润表!AS45),"—",利润表!AS45)</f>
        <v>0</v>
      </c>
      <c r="L21" s="259">
        <f>IF(ISERROR(利润表!AT45),"—",利润表!AT45)</f>
        <v>0</v>
      </c>
    </row>
    <row r="22" spans="1:12" ht="16.5" customHeight="1" outlineLevel="1">
      <c r="A22" s="97" t="s">
        <v>96</v>
      </c>
      <c r="B22" s="260" t="str">
        <f>IF(ISERROR(利润表!AG87),"-",利润表!AG87)</f>
        <v>—</v>
      </c>
      <c r="C22" s="261" t="str">
        <f>IF(ISERROR(利润表!AK87),"-",利润表!AK87)</f>
        <v>—</v>
      </c>
      <c r="D22" s="261" t="str">
        <f>IF(ISERROR(利润表!AL87),"-",利润表!AL87)</f>
        <v>—</v>
      </c>
      <c r="E22" s="261" t="str">
        <f>IF(ISERROR(利润表!AM87),"-",利润表!AM87)</f>
        <v>—</v>
      </c>
      <c r="F22" s="261" t="str">
        <f>IF(ISERROR(利润表!AN87),"-",利润表!AN87)</f>
        <v>—</v>
      </c>
      <c r="G22" s="261" t="str">
        <f>IF(ISERROR(利润表!AO87),"-",利润表!AO87)</f>
        <v>—</v>
      </c>
      <c r="H22" s="261" t="str">
        <f>IF(ISERROR(利润表!AP87),"-",利润表!AP87)</f>
        <v>—</v>
      </c>
      <c r="I22" s="261" t="str">
        <f>IF(ISERROR(利润表!AQ87),"-",利润表!AQ87)</f>
        <v>—</v>
      </c>
      <c r="J22" s="261" t="str">
        <f>IF(ISERROR(利润表!AR87),"-",利润表!AR87)</f>
        <v>—</v>
      </c>
      <c r="K22" s="261" t="str">
        <f>IF(ISERROR(利润表!AS87),"-",利润表!AS87)</f>
        <v>—</v>
      </c>
      <c r="L22" s="261" t="str">
        <f>IF(ISERROR(利润表!AT87),"-",利润表!AT87)</f>
        <v>—</v>
      </c>
    </row>
    <row r="23" spans="1:12" ht="16.5" customHeight="1" outlineLevel="1">
      <c r="A23" s="97" t="s">
        <v>607</v>
      </c>
      <c r="B23" s="258" t="str">
        <f>IF(ISERROR(B21*(1-B22)),"—",B21*(1-B22))</f>
        <v>—</v>
      </c>
      <c r="C23" s="262" t="str">
        <f>IF(ISERROR(C21*(1-C22)),"—",C21*(1-C22))</f>
        <v>—</v>
      </c>
      <c r="D23" s="262" t="str">
        <f t="shared" ref="D23:L23" si="1">IF(ISERROR(D21*(1-D22)),"—",D21*(1-D22))</f>
        <v>—</v>
      </c>
      <c r="E23" s="262" t="str">
        <f t="shared" si="1"/>
        <v>—</v>
      </c>
      <c r="F23" s="262" t="str">
        <f t="shared" si="1"/>
        <v>—</v>
      </c>
      <c r="G23" s="262" t="str">
        <f t="shared" si="1"/>
        <v>—</v>
      </c>
      <c r="H23" s="262" t="str">
        <f t="shared" si="1"/>
        <v>—</v>
      </c>
      <c r="I23" s="262" t="str">
        <f t="shared" si="1"/>
        <v>—</v>
      </c>
      <c r="J23" s="262" t="str">
        <f t="shared" si="1"/>
        <v>—</v>
      </c>
      <c r="K23" s="262" t="str">
        <f t="shared" si="1"/>
        <v>—</v>
      </c>
      <c r="L23" s="262" t="str">
        <f t="shared" si="1"/>
        <v>—</v>
      </c>
    </row>
    <row r="24" spans="1:12" ht="16.5" customHeight="1" outlineLevel="1">
      <c r="B24" s="174"/>
      <c r="C24" s="259"/>
      <c r="D24" s="259"/>
      <c r="E24" s="259"/>
      <c r="F24" s="259"/>
      <c r="G24" s="259"/>
      <c r="H24" s="259"/>
      <c r="I24" s="259"/>
      <c r="J24" s="259"/>
      <c r="K24" s="259"/>
      <c r="L24" s="259"/>
    </row>
    <row r="25" spans="1:12" ht="16.5" customHeight="1" outlineLevel="1">
      <c r="A25" s="97" t="s">
        <v>608</v>
      </c>
      <c r="B25" s="258">
        <f>现金流量表!AG9</f>
        <v>0</v>
      </c>
      <c r="C25" s="259">
        <f>现金流量表!AK9</f>
        <v>0</v>
      </c>
      <c r="D25" s="259">
        <f>现金流量表!AL9</f>
        <v>0</v>
      </c>
      <c r="E25" s="259">
        <f>现金流量表!AM9</f>
        <v>0</v>
      </c>
      <c r="F25" s="259">
        <f>现金流量表!AN9</f>
        <v>0</v>
      </c>
      <c r="G25" s="259">
        <f>现金流量表!AO9</f>
        <v>0</v>
      </c>
      <c r="H25" s="259">
        <f>现金流量表!AP9</f>
        <v>0</v>
      </c>
      <c r="I25" s="259">
        <f>现金流量表!AQ9</f>
        <v>0</v>
      </c>
      <c r="J25" s="259">
        <f>现金流量表!AR9</f>
        <v>0</v>
      </c>
      <c r="K25" s="259">
        <f>现金流量表!AS9</f>
        <v>0</v>
      </c>
      <c r="L25" s="259">
        <f>现金流量表!AT9</f>
        <v>0</v>
      </c>
    </row>
    <row r="26" spans="1:12" ht="16.5" customHeight="1" outlineLevel="1">
      <c r="A26" s="150" t="s">
        <v>609</v>
      </c>
      <c r="B26" s="258">
        <f>资产负债表!AG101</f>
        <v>0</v>
      </c>
      <c r="C26" s="259">
        <f>资产负债表!AK101</f>
        <v>0</v>
      </c>
      <c r="D26" s="259">
        <f>资产负债表!AL101</f>
        <v>0</v>
      </c>
      <c r="E26" s="259">
        <f>资产负债表!AM101</f>
        <v>0</v>
      </c>
      <c r="F26" s="259">
        <f>资产负债表!AN101</f>
        <v>0</v>
      </c>
      <c r="G26" s="259">
        <f>资产负债表!AO101</f>
        <v>0</v>
      </c>
      <c r="H26" s="259">
        <f>资产负债表!AP101</f>
        <v>0</v>
      </c>
      <c r="I26" s="259">
        <f>资产负债表!AQ101</f>
        <v>0</v>
      </c>
      <c r="J26" s="259">
        <f>资产负债表!AR101</f>
        <v>0</v>
      </c>
      <c r="K26" s="259">
        <f>资产负债表!AS101</f>
        <v>0</v>
      </c>
      <c r="L26" s="259">
        <f>资产负债表!AT101</f>
        <v>0</v>
      </c>
    </row>
    <row r="27" spans="1:12" ht="16.5" customHeight="1" outlineLevel="1">
      <c r="A27" s="150" t="s">
        <v>610</v>
      </c>
      <c r="B27" s="258">
        <f>-现金流量表!AG47</f>
        <v>0</v>
      </c>
      <c r="C27" s="259">
        <f>-现金流量表!AK47</f>
        <v>0</v>
      </c>
      <c r="D27" s="259">
        <f>-现金流量表!AL47</f>
        <v>0</v>
      </c>
      <c r="E27" s="259">
        <f>-现金流量表!AM47</f>
        <v>0</v>
      </c>
      <c r="F27" s="259">
        <f>-现金流量表!AN47</f>
        <v>0</v>
      </c>
      <c r="G27" s="259">
        <f>-现金流量表!AO47</f>
        <v>0</v>
      </c>
      <c r="H27" s="259">
        <f>-现金流量表!AP47</f>
        <v>0</v>
      </c>
      <c r="I27" s="259">
        <f>-现金流量表!AQ47</f>
        <v>0</v>
      </c>
      <c r="J27" s="259">
        <f>-现金流量表!AR47</f>
        <v>0</v>
      </c>
      <c r="K27" s="259">
        <f>-现金流量表!AS47</f>
        <v>0</v>
      </c>
      <c r="L27" s="259">
        <f>-现金流量表!AT47</f>
        <v>0</v>
      </c>
    </row>
    <row r="28" spans="1:12" ht="16.5" customHeight="1" outlineLevel="1">
      <c r="A28" s="143" t="s">
        <v>611</v>
      </c>
      <c r="B28" s="263">
        <f>IF(ISERROR(B23+B25-B26-B27),0,B23+B25-B26-B27)</f>
        <v>0</v>
      </c>
      <c r="C28" s="264">
        <f>IF(ISERROR(IF($B2&gt;=C19,C23+C25-C26-C27,"")),0,IF($B2&gt;=C19,C23+C25-C26-C27,""))</f>
        <v>0</v>
      </c>
      <c r="D28" s="264">
        <f t="shared" ref="D28:L28" si="2">IF(ISERROR(IF($B2&gt;=D19,D23+D25-D26-D27,"")),0,IF($B2&gt;=D19,D23+D25-D26-D27,""))</f>
        <v>0</v>
      </c>
      <c r="E28" s="264">
        <f t="shared" si="2"/>
        <v>0</v>
      </c>
      <c r="F28" s="264" t="str">
        <f t="shared" si="2"/>
        <v/>
      </c>
      <c r="G28" s="264" t="str">
        <f t="shared" si="2"/>
        <v/>
      </c>
      <c r="H28" s="264" t="str">
        <f t="shared" si="2"/>
        <v/>
      </c>
      <c r="I28" s="264" t="str">
        <f t="shared" si="2"/>
        <v/>
      </c>
      <c r="J28" s="264" t="str">
        <f t="shared" si="2"/>
        <v/>
      </c>
      <c r="K28" s="264" t="str">
        <f t="shared" si="2"/>
        <v/>
      </c>
      <c r="L28" s="264" t="str">
        <f t="shared" si="2"/>
        <v/>
      </c>
    </row>
    <row r="29" spans="1:12" ht="16.5" customHeight="1" outlineLevel="1">
      <c r="A29" s="143"/>
      <c r="B29" s="265"/>
      <c r="C29" s="266"/>
      <c r="D29" s="266"/>
      <c r="E29" s="266"/>
      <c r="F29" s="266"/>
      <c r="G29" s="266"/>
      <c r="H29" s="266"/>
      <c r="I29" s="266"/>
      <c r="J29" s="266"/>
      <c r="K29" s="266"/>
      <c r="L29" s="266"/>
    </row>
    <row r="30" spans="1:12" ht="16.5" customHeight="1" outlineLevel="1">
      <c r="A30" s="143"/>
      <c r="B30" s="257">
        <f>INDEX(C20:L20,MATCH(B2,C19:L19))+1</f>
        <v>2027</v>
      </c>
      <c r="C30" s="257">
        <f t="shared" ref="C30:L30" si="3">B30+1</f>
        <v>2028</v>
      </c>
      <c r="D30" s="257">
        <f t="shared" si="3"/>
        <v>2029</v>
      </c>
      <c r="E30" s="257">
        <f t="shared" si="3"/>
        <v>2030</v>
      </c>
      <c r="F30" s="257">
        <f t="shared" si="3"/>
        <v>2031</v>
      </c>
      <c r="G30" s="257">
        <f t="shared" si="3"/>
        <v>2032</v>
      </c>
      <c r="H30" s="257">
        <f t="shared" si="3"/>
        <v>2033</v>
      </c>
      <c r="I30" s="257">
        <f t="shared" si="3"/>
        <v>2034</v>
      </c>
      <c r="J30" s="257">
        <f t="shared" si="3"/>
        <v>2035</v>
      </c>
      <c r="K30" s="257">
        <f t="shared" si="3"/>
        <v>2036</v>
      </c>
      <c r="L30" s="257">
        <f t="shared" si="3"/>
        <v>2037</v>
      </c>
    </row>
    <row r="31" spans="1:12" ht="16.5" customHeight="1" outlineLevel="1">
      <c r="A31" s="162" t="s">
        <v>612</v>
      </c>
      <c r="B31" s="263">
        <f>IF($B3&gt;0,INDEX(C28:L28,MATCH(B2,C19:L19))*(1+B4),0)</f>
        <v>0</v>
      </c>
      <c r="C31" s="263" t="str">
        <f t="shared" ref="C31:L31" si="4">IF(($B3-C19)&gt;0,B31*(1+$B4),"")</f>
        <v/>
      </c>
      <c r="D31" s="263" t="str">
        <f t="shared" si="4"/>
        <v/>
      </c>
      <c r="E31" s="263" t="str">
        <f t="shared" si="4"/>
        <v/>
      </c>
      <c r="F31" s="263" t="str">
        <f t="shared" si="4"/>
        <v/>
      </c>
      <c r="G31" s="263" t="str">
        <f t="shared" si="4"/>
        <v/>
      </c>
      <c r="H31" s="263" t="str">
        <f t="shared" si="4"/>
        <v/>
      </c>
      <c r="I31" s="263" t="str">
        <f t="shared" si="4"/>
        <v/>
      </c>
      <c r="J31" s="263" t="str">
        <f t="shared" si="4"/>
        <v/>
      </c>
      <c r="K31" s="263" t="str">
        <f t="shared" si="4"/>
        <v/>
      </c>
      <c r="L31" s="263" t="str">
        <f t="shared" si="4"/>
        <v/>
      </c>
    </row>
    <row r="32" spans="1:12" ht="16.5" customHeight="1" outlineLevel="1">
      <c r="B32" s="267"/>
      <c r="C32" s="268"/>
      <c r="D32" s="268"/>
      <c r="E32" s="268"/>
      <c r="F32" s="268"/>
      <c r="G32" s="268"/>
      <c r="H32" s="268"/>
      <c r="I32" s="268"/>
      <c r="J32" s="268"/>
      <c r="K32" s="268"/>
      <c r="L32" s="268"/>
    </row>
    <row r="33" spans="1:12" ht="16.5" customHeight="1" outlineLevel="1">
      <c r="A33" s="97" t="s">
        <v>613</v>
      </c>
      <c r="B33" s="174">
        <f ca="1">IF(ISERROR((NPV(B16,D28:L28)+C28*$B$10/12)/(1+B16)^($B$10/12)),"0.00",(NPV(B16,D28:L28)+C28*$B$10/12)/(1+B16)^($B$10/12))</f>
        <v>0</v>
      </c>
    </row>
    <row r="34" spans="1:12" ht="16.5" customHeight="1" outlineLevel="1">
      <c r="A34" s="97" t="s">
        <v>614</v>
      </c>
      <c r="B34" s="262">
        <f>IF(ISERROR(IF(B3=0,0,NPV(B16,B31:L31)/(1+B16)^(B2-1+B10/12))),"0.00",IF(B3=0,0,NPV(B16,B31:L31)/(1+B16)^(B2-1+B10/12)))</f>
        <v>0</v>
      </c>
      <c r="C34" s="267"/>
    </row>
    <row r="35" spans="1:12" ht="16.5" customHeight="1" outlineLevel="1">
      <c r="A35" s="97" t="s">
        <v>615</v>
      </c>
      <c r="B35" s="174">
        <f ca="1">IF(ISERROR(INDEX(C28:L28,MATCH(B2,C19:L19))*(1+B4)^B3*(1+B5)/(B16-B5)/(POWER((1+B16),B2+B3-1+B10/12))),"—",INDEX(C28:L28,MATCH(B2,C19:L19))*(1+B4)^B3*(1+B5)/(B16-B5)/(POWER((1+B16),B2+B3-1+B10/12)))</f>
        <v>0</v>
      </c>
    </row>
    <row r="36" spans="1:12" ht="16.5" customHeight="1" outlineLevel="1">
      <c r="A36" s="162" t="s">
        <v>616</v>
      </c>
      <c r="B36" s="269">
        <f ca="1">SUM(B33:B35)</f>
        <v>0</v>
      </c>
    </row>
    <row r="37" spans="1:12" ht="16.5" customHeight="1" outlineLevel="1">
      <c r="A37" s="150" t="s">
        <v>617</v>
      </c>
      <c r="B37" s="174">
        <f>IF(财务基础数据!AM4=0,资产负债表!AG106-资产负债表!AG107,IF(财务基础数据!AM4=1,资产负债表!AH106-资产负债表!AH107,IF(财务基础数据!AM4=2,资产负债表!AI106-资产负债表!AI107,资产负债表!AJ106-资产负债表!AJ107)))</f>
        <v>0</v>
      </c>
    </row>
    <row r="38" spans="1:12" ht="16.5" customHeight="1" outlineLevel="1">
      <c r="A38" s="150" t="s">
        <v>618</v>
      </c>
      <c r="B38" s="174">
        <f>IF(财务基础数据!AM4=0,资产负债表!AG103,IF(财务基础数据!AM4=1,资产负债表!AH103,IF(财务基础数据!AM4=2,资产负债表!AI103,资产负债表!AJ103)))</f>
        <v>0</v>
      </c>
    </row>
    <row r="39" spans="1:12" ht="16.5" customHeight="1" outlineLevel="1">
      <c r="A39" s="150" t="s">
        <v>619</v>
      </c>
      <c r="B39" s="174">
        <f>IF(财务基础数据!AM4=0,资产负债表!AG91,IF(财务基础数据!AM4=1,资产负债表!AH91,IF(财务基础数据!AM4=2,资产负债表!AI91,资产负债表!AJ91)))</f>
        <v>0</v>
      </c>
    </row>
    <row r="40" spans="1:12" ht="16.5" customHeight="1" outlineLevel="1">
      <c r="A40" s="162" t="s">
        <v>620</v>
      </c>
      <c r="B40" s="264">
        <f ca="1">B36+B37-B38-B39</f>
        <v>0</v>
      </c>
    </row>
    <row r="41" spans="1:12" ht="16.5" customHeight="1" outlineLevel="1">
      <c r="A41" s="97" t="s">
        <v>621</v>
      </c>
      <c r="B41" s="174" t="e">
        <f>目录!F7*1000000*目录!D6</f>
        <v>#VALUE!</v>
      </c>
    </row>
    <row r="42" spans="1:12" ht="16.5" customHeight="1" outlineLevel="1">
      <c r="A42" s="270" t="s">
        <v>622</v>
      </c>
      <c r="B42" s="271" t="str">
        <f ca="1">IF(ISERROR(B40/B41),"—",B40/B41)</f>
        <v>—</v>
      </c>
    </row>
    <row r="43" spans="1:12" s="29" customFormat="1" ht="16.5" customHeight="1" outlineLevel="1" thickBot="1">
      <c r="A43" s="272"/>
      <c r="B43" s="273"/>
      <c r="D43" s="274"/>
      <c r="E43" s="275"/>
      <c r="F43" s="174"/>
      <c r="G43" s="174"/>
      <c r="H43" s="174"/>
      <c r="I43" s="174"/>
      <c r="J43" s="174"/>
      <c r="K43" s="174"/>
      <c r="L43" s="174"/>
    </row>
    <row r="44" spans="1:12" s="29" customFormat="1" ht="16.5" customHeight="1" outlineLevel="1">
      <c r="A44" s="276"/>
      <c r="B44" s="277" t="s">
        <v>623</v>
      </c>
      <c r="C44" s="278"/>
      <c r="D44" s="279">
        <v>5.0000000000000001E-3</v>
      </c>
      <c r="E44" s="280"/>
      <c r="F44" s="280"/>
      <c r="G44" s="280"/>
      <c r="H44" s="280"/>
      <c r="I44" s="296"/>
    </row>
    <row r="45" spans="1:12" s="29" customFormat="1" ht="16.5" customHeight="1" outlineLevel="1" thickBot="1">
      <c r="A45" s="281"/>
      <c r="B45" s="282" t="s">
        <v>624</v>
      </c>
      <c r="C45" s="283"/>
      <c r="D45" s="284">
        <v>5.0000000000000001E-3</v>
      </c>
      <c r="E45" s="285"/>
      <c r="F45" s="285"/>
      <c r="G45" s="285"/>
      <c r="H45" s="285"/>
      <c r="I45" s="297"/>
    </row>
    <row r="46" spans="1:12" s="29" customFormat="1" ht="16.5" customHeight="1" outlineLevel="1">
      <c r="A46" s="1171" t="s">
        <v>625</v>
      </c>
      <c r="B46" s="286" t="str">
        <f ca="1">B42</f>
        <v>—</v>
      </c>
      <c r="C46" s="287">
        <f>IF(ISERROR(D46-$D$44),"—",D46-$D$44)</f>
        <v>-1.4999999999999999E-2</v>
      </c>
      <c r="D46" s="287">
        <f>IF(ISERROR(E46-$D$44),"—",E46-$D$44)</f>
        <v>-0.01</v>
      </c>
      <c r="E46" s="287">
        <f>IF(ISERROR(F46-$D$44),"—",F46-$D$44)</f>
        <v>-5.0000000000000001E-3</v>
      </c>
      <c r="F46" s="288">
        <f>B16</f>
        <v>0</v>
      </c>
      <c r="G46" s="287">
        <f>IF(ISERROR(F46+$D$44),"—",F46+$D$44)</f>
        <v>5.0000000000000001E-3</v>
      </c>
      <c r="H46" s="287">
        <f>IF(ISERROR(G46+$D$44),"—",G46+$D$44)</f>
        <v>0.01</v>
      </c>
      <c r="I46" s="298">
        <f>IF(ISERROR(H46+$D$44),"—",H46+$D$44)</f>
        <v>1.4999999999999999E-2</v>
      </c>
    </row>
    <row r="47" spans="1:12" s="29" customFormat="1" ht="16.5" customHeight="1" outlineLevel="1">
      <c r="A47" s="1172"/>
      <c r="B47" s="289">
        <f>B48-$D$45</f>
        <v>4.9999999999999984E-3</v>
      </c>
      <c r="C47" s="174" t="e">
        <f t="shared" ref="C47:I53" ca="1" si="5">((NPV(C$46,$D$28:$L$28)+$C$28*$B$10/12)/(1+C$46)^($B$10/12)+NPV(C$46,$B$31:$L$31)/(1+C$46)^($B$2-1+$B$10/12)+INDEX($C$28:$L$28,MATCH($B$2,$C$19:$L$19))*(1+$B$4)^$B$3*(1+$B47)/(C$46-$B47)/(POWER((1+C$46),$B$2+$B$3-1+$B$10/12))+$B$37-$B$38-$B$39)/$B$41</f>
        <v>#VALUE!</v>
      </c>
      <c r="D47" s="174" t="e">
        <f t="shared" ca="1" si="5"/>
        <v>#VALUE!</v>
      </c>
      <c r="E47" s="174" t="e">
        <f t="shared" ca="1" si="5"/>
        <v>#VALUE!</v>
      </c>
      <c r="F47" s="290" t="e">
        <f t="shared" ca="1" si="5"/>
        <v>#VALUE!</v>
      </c>
      <c r="G47" s="174" t="e">
        <f t="shared" ca="1" si="5"/>
        <v>#VALUE!</v>
      </c>
      <c r="H47" s="174" t="e">
        <f t="shared" ca="1" si="5"/>
        <v>#VALUE!</v>
      </c>
      <c r="I47" s="193" t="e">
        <f t="shared" ca="1" si="5"/>
        <v>#VALUE!</v>
      </c>
    </row>
    <row r="48" spans="1:12" s="29" customFormat="1" ht="16.5" customHeight="1" outlineLevel="1">
      <c r="A48" s="1172"/>
      <c r="B48" s="289">
        <f>B49-$D$45</f>
        <v>9.9999999999999985E-3</v>
      </c>
      <c r="C48" s="174" t="e">
        <f t="shared" ca="1" si="5"/>
        <v>#VALUE!</v>
      </c>
      <c r="D48" s="174" t="e">
        <f t="shared" ca="1" si="5"/>
        <v>#VALUE!</v>
      </c>
      <c r="E48" s="174" t="e">
        <f t="shared" ca="1" si="5"/>
        <v>#VALUE!</v>
      </c>
      <c r="F48" s="290" t="e">
        <f t="shared" ca="1" si="5"/>
        <v>#VALUE!</v>
      </c>
      <c r="G48" s="174" t="e">
        <f t="shared" ca="1" si="5"/>
        <v>#VALUE!</v>
      </c>
      <c r="H48" s="174" t="e">
        <f t="shared" ca="1" si="5"/>
        <v>#VALUE!</v>
      </c>
      <c r="I48" s="193" t="e">
        <f t="shared" ca="1" si="5"/>
        <v>#VALUE!</v>
      </c>
    </row>
    <row r="49" spans="1:12" s="29" customFormat="1" ht="16.5" customHeight="1" outlineLevel="1">
      <c r="A49" s="1172"/>
      <c r="B49" s="289">
        <f>B50-$D$45</f>
        <v>1.4999999999999999E-2</v>
      </c>
      <c r="C49" s="174" t="e">
        <f t="shared" ca="1" si="5"/>
        <v>#VALUE!</v>
      </c>
      <c r="D49" s="174" t="e">
        <f t="shared" ca="1" si="5"/>
        <v>#VALUE!</v>
      </c>
      <c r="E49" s="174" t="e">
        <f t="shared" ca="1" si="5"/>
        <v>#VALUE!</v>
      </c>
      <c r="F49" s="290" t="e">
        <f t="shared" ca="1" si="5"/>
        <v>#VALUE!</v>
      </c>
      <c r="G49" s="174" t="e">
        <f t="shared" ca="1" si="5"/>
        <v>#VALUE!</v>
      </c>
      <c r="H49" s="174" t="e">
        <f t="shared" ca="1" si="5"/>
        <v>#VALUE!</v>
      </c>
      <c r="I49" s="193" t="e">
        <f t="shared" ca="1" si="5"/>
        <v>#DIV/0!</v>
      </c>
    </row>
    <row r="50" spans="1:12" s="29" customFormat="1" ht="16.5" customHeight="1" outlineLevel="1">
      <c r="A50" s="1172"/>
      <c r="B50" s="291">
        <f>B5</f>
        <v>0.02</v>
      </c>
      <c r="C50" s="290" t="e">
        <f t="shared" ca="1" si="5"/>
        <v>#VALUE!</v>
      </c>
      <c r="D50" s="290" t="e">
        <f t="shared" ca="1" si="5"/>
        <v>#VALUE!</v>
      </c>
      <c r="E50" s="290" t="e">
        <f t="shared" ca="1" si="5"/>
        <v>#VALUE!</v>
      </c>
      <c r="F50" s="290" t="e">
        <f t="shared" ca="1" si="5"/>
        <v>#VALUE!</v>
      </c>
      <c r="G50" s="290" t="e">
        <f t="shared" ca="1" si="5"/>
        <v>#VALUE!</v>
      </c>
      <c r="H50" s="290" t="e">
        <f t="shared" ca="1" si="5"/>
        <v>#VALUE!</v>
      </c>
      <c r="I50" s="299" t="e">
        <f t="shared" ca="1" si="5"/>
        <v>#VALUE!</v>
      </c>
    </row>
    <row r="51" spans="1:12" s="29" customFormat="1" ht="16.5" customHeight="1" outlineLevel="1">
      <c r="A51" s="1172"/>
      <c r="B51" s="289">
        <f>B50+$D$45</f>
        <v>2.5000000000000001E-2</v>
      </c>
      <c r="C51" s="174" t="e">
        <f t="shared" ca="1" si="5"/>
        <v>#VALUE!</v>
      </c>
      <c r="D51" s="174" t="e">
        <f t="shared" ca="1" si="5"/>
        <v>#VALUE!</v>
      </c>
      <c r="E51" s="174" t="e">
        <f t="shared" ca="1" si="5"/>
        <v>#VALUE!</v>
      </c>
      <c r="F51" s="290" t="e">
        <f t="shared" ca="1" si="5"/>
        <v>#VALUE!</v>
      </c>
      <c r="G51" s="174" t="e">
        <f t="shared" ca="1" si="5"/>
        <v>#VALUE!</v>
      </c>
      <c r="H51" s="174" t="e">
        <f t="shared" ca="1" si="5"/>
        <v>#VALUE!</v>
      </c>
      <c r="I51" s="193" t="e">
        <f t="shared" ca="1" si="5"/>
        <v>#VALUE!</v>
      </c>
    </row>
    <row r="52" spans="1:12" s="29" customFormat="1" ht="16.5" customHeight="1" outlineLevel="1">
      <c r="A52" s="1172"/>
      <c r="B52" s="289">
        <f>B51+$D$45</f>
        <v>3.0000000000000002E-2</v>
      </c>
      <c r="C52" s="174" t="e">
        <f t="shared" ca="1" si="5"/>
        <v>#VALUE!</v>
      </c>
      <c r="D52" s="174" t="e">
        <f t="shared" ca="1" si="5"/>
        <v>#VALUE!</v>
      </c>
      <c r="E52" s="174" t="e">
        <f t="shared" ca="1" si="5"/>
        <v>#VALUE!</v>
      </c>
      <c r="F52" s="290" t="e">
        <f t="shared" ca="1" si="5"/>
        <v>#VALUE!</v>
      </c>
      <c r="G52" s="174" t="e">
        <f t="shared" ca="1" si="5"/>
        <v>#VALUE!</v>
      </c>
      <c r="H52" s="174" t="e">
        <f t="shared" ca="1" si="5"/>
        <v>#VALUE!</v>
      </c>
      <c r="I52" s="193" t="e">
        <f t="shared" ca="1" si="5"/>
        <v>#VALUE!</v>
      </c>
    </row>
    <row r="53" spans="1:12" s="29" customFormat="1" ht="16.5" customHeight="1" outlineLevel="1" thickBot="1">
      <c r="A53" s="1173"/>
      <c r="B53" s="292">
        <f>B52+$D$45</f>
        <v>3.5000000000000003E-2</v>
      </c>
      <c r="C53" s="176" t="e">
        <f t="shared" ca="1" si="5"/>
        <v>#VALUE!</v>
      </c>
      <c r="D53" s="176" t="e">
        <f t="shared" ca="1" si="5"/>
        <v>#VALUE!</v>
      </c>
      <c r="E53" s="176" t="e">
        <f t="shared" ca="1" si="5"/>
        <v>#VALUE!</v>
      </c>
      <c r="F53" s="293" t="e">
        <f t="shared" ca="1" si="5"/>
        <v>#VALUE!</v>
      </c>
      <c r="G53" s="176" t="e">
        <f t="shared" ca="1" si="5"/>
        <v>#VALUE!</v>
      </c>
      <c r="H53" s="176" t="e">
        <f t="shared" ca="1" si="5"/>
        <v>#VALUE!</v>
      </c>
      <c r="I53" s="194" t="e">
        <f t="shared" ca="1" si="5"/>
        <v>#VALUE!</v>
      </c>
    </row>
    <row r="54" spans="1:12" s="29" customFormat="1" ht="16.5" customHeight="1" outlineLevel="1">
      <c r="A54" s="1171" t="s">
        <v>626</v>
      </c>
      <c r="B54" s="286">
        <f ca="1">B40</f>
        <v>0</v>
      </c>
      <c r="C54" s="287">
        <f>C46</f>
        <v>-1.4999999999999999E-2</v>
      </c>
      <c r="D54" s="287">
        <f t="shared" ref="D54:I54" si="6">D46</f>
        <v>-0.01</v>
      </c>
      <c r="E54" s="287">
        <f t="shared" si="6"/>
        <v>-5.0000000000000001E-3</v>
      </c>
      <c r="F54" s="288">
        <f t="shared" si="6"/>
        <v>0</v>
      </c>
      <c r="G54" s="287">
        <f t="shared" si="6"/>
        <v>5.0000000000000001E-3</v>
      </c>
      <c r="H54" s="287">
        <f t="shared" si="6"/>
        <v>0.01</v>
      </c>
      <c r="I54" s="298">
        <f t="shared" si="6"/>
        <v>1.4999999999999999E-2</v>
      </c>
      <c r="J54" s="174"/>
      <c r="K54" s="174"/>
      <c r="L54" s="174"/>
    </row>
    <row r="55" spans="1:12" s="29" customFormat="1" ht="16.5" customHeight="1" outlineLevel="1">
      <c r="A55" s="1172"/>
      <c r="B55" s="289">
        <f>B47</f>
        <v>4.9999999999999984E-3</v>
      </c>
      <c r="C55" s="174" t="e">
        <f ca="1">C47*$B$41</f>
        <v>#VALUE!</v>
      </c>
      <c r="D55" s="174" t="e">
        <f t="shared" ref="D55:I55" ca="1" si="7">D47*$B$41</f>
        <v>#VALUE!</v>
      </c>
      <c r="E55" s="174" t="e">
        <f t="shared" ca="1" si="7"/>
        <v>#VALUE!</v>
      </c>
      <c r="F55" s="290" t="e">
        <f t="shared" ca="1" si="7"/>
        <v>#VALUE!</v>
      </c>
      <c r="G55" s="174" t="e">
        <f t="shared" ca="1" si="7"/>
        <v>#VALUE!</v>
      </c>
      <c r="H55" s="174" t="e">
        <f t="shared" ca="1" si="7"/>
        <v>#VALUE!</v>
      </c>
      <c r="I55" s="193" t="e">
        <f t="shared" ca="1" si="7"/>
        <v>#VALUE!</v>
      </c>
      <c r="J55" s="174"/>
      <c r="K55" s="174"/>
      <c r="L55" s="174"/>
    </row>
    <row r="56" spans="1:12" s="29" customFormat="1" ht="16.5" customHeight="1" outlineLevel="1">
      <c r="A56" s="1172"/>
      <c r="B56" s="289">
        <f t="shared" ref="B56:B61" si="8">B48</f>
        <v>9.9999999999999985E-3</v>
      </c>
      <c r="C56" s="174" t="e">
        <f t="shared" ref="C56:I56" ca="1" si="9">C48*$B$41</f>
        <v>#VALUE!</v>
      </c>
      <c r="D56" s="174" t="e">
        <f t="shared" ca="1" si="9"/>
        <v>#VALUE!</v>
      </c>
      <c r="E56" s="174" t="e">
        <f t="shared" ca="1" si="9"/>
        <v>#VALUE!</v>
      </c>
      <c r="F56" s="290" t="e">
        <f t="shared" ca="1" si="9"/>
        <v>#VALUE!</v>
      </c>
      <c r="G56" s="174" t="e">
        <f t="shared" ca="1" si="9"/>
        <v>#VALUE!</v>
      </c>
      <c r="H56" s="174" t="e">
        <f t="shared" ca="1" si="9"/>
        <v>#VALUE!</v>
      </c>
      <c r="I56" s="193" t="e">
        <f t="shared" ca="1" si="9"/>
        <v>#VALUE!</v>
      </c>
      <c r="J56" s="174"/>
      <c r="K56" s="174"/>
      <c r="L56" s="174"/>
    </row>
    <row r="57" spans="1:12" s="29" customFormat="1" ht="16.5" customHeight="1" outlineLevel="1">
      <c r="A57" s="1172"/>
      <c r="B57" s="289">
        <f t="shared" si="8"/>
        <v>1.4999999999999999E-2</v>
      </c>
      <c r="C57" s="174" t="e">
        <f t="shared" ref="C57:I57" ca="1" si="10">C49*$B$41</f>
        <v>#VALUE!</v>
      </c>
      <c r="D57" s="174" t="e">
        <f t="shared" ca="1" si="10"/>
        <v>#VALUE!</v>
      </c>
      <c r="E57" s="174" t="e">
        <f t="shared" ca="1" si="10"/>
        <v>#VALUE!</v>
      </c>
      <c r="F57" s="290" t="e">
        <f t="shared" ca="1" si="10"/>
        <v>#VALUE!</v>
      </c>
      <c r="G57" s="174" t="e">
        <f t="shared" ca="1" si="10"/>
        <v>#VALUE!</v>
      </c>
      <c r="H57" s="174" t="e">
        <f t="shared" ca="1" si="10"/>
        <v>#VALUE!</v>
      </c>
      <c r="I57" s="193" t="e">
        <f t="shared" ca="1" si="10"/>
        <v>#DIV/0!</v>
      </c>
      <c r="J57" s="174"/>
      <c r="K57" s="174"/>
      <c r="L57" s="174"/>
    </row>
    <row r="58" spans="1:12" s="29" customFormat="1" ht="16.5" customHeight="1" outlineLevel="1">
      <c r="A58" s="1172"/>
      <c r="B58" s="291">
        <f t="shared" si="8"/>
        <v>0.02</v>
      </c>
      <c r="C58" s="290" t="e">
        <f t="shared" ref="C58:I58" ca="1" si="11">C50*$B$41</f>
        <v>#VALUE!</v>
      </c>
      <c r="D58" s="290" t="e">
        <f t="shared" ca="1" si="11"/>
        <v>#VALUE!</v>
      </c>
      <c r="E58" s="290" t="e">
        <f t="shared" ca="1" si="11"/>
        <v>#VALUE!</v>
      </c>
      <c r="F58" s="290" t="e">
        <f t="shared" ca="1" si="11"/>
        <v>#VALUE!</v>
      </c>
      <c r="G58" s="290" t="e">
        <f t="shared" ca="1" si="11"/>
        <v>#VALUE!</v>
      </c>
      <c r="H58" s="290" t="e">
        <f t="shared" ca="1" si="11"/>
        <v>#VALUE!</v>
      </c>
      <c r="I58" s="299" t="e">
        <f t="shared" ca="1" si="11"/>
        <v>#VALUE!</v>
      </c>
      <c r="J58" s="174"/>
      <c r="K58" s="174"/>
      <c r="L58" s="174"/>
    </row>
    <row r="59" spans="1:12" s="29" customFormat="1" ht="16.5" customHeight="1" outlineLevel="1">
      <c r="A59" s="1172"/>
      <c r="B59" s="289">
        <f t="shared" si="8"/>
        <v>2.5000000000000001E-2</v>
      </c>
      <c r="C59" s="174" t="e">
        <f t="shared" ref="C59:I59" ca="1" si="12">C51*$B$41</f>
        <v>#VALUE!</v>
      </c>
      <c r="D59" s="174" t="e">
        <f t="shared" ca="1" si="12"/>
        <v>#VALUE!</v>
      </c>
      <c r="E59" s="174" t="e">
        <f t="shared" ca="1" si="12"/>
        <v>#VALUE!</v>
      </c>
      <c r="F59" s="290" t="e">
        <f t="shared" ca="1" si="12"/>
        <v>#VALUE!</v>
      </c>
      <c r="G59" s="174" t="e">
        <f t="shared" ca="1" si="12"/>
        <v>#VALUE!</v>
      </c>
      <c r="H59" s="174" t="e">
        <f t="shared" ca="1" si="12"/>
        <v>#VALUE!</v>
      </c>
      <c r="I59" s="193" t="e">
        <f t="shared" ca="1" si="12"/>
        <v>#VALUE!</v>
      </c>
      <c r="J59" s="174"/>
      <c r="K59" s="174"/>
      <c r="L59" s="174"/>
    </row>
    <row r="60" spans="1:12" s="29" customFormat="1" ht="16.5" customHeight="1" outlineLevel="1">
      <c r="A60" s="1172"/>
      <c r="B60" s="289">
        <f t="shared" si="8"/>
        <v>3.0000000000000002E-2</v>
      </c>
      <c r="C60" s="174" t="e">
        <f t="shared" ref="C60:I60" ca="1" si="13">C52*$B$41</f>
        <v>#VALUE!</v>
      </c>
      <c r="D60" s="174" t="e">
        <f t="shared" ca="1" si="13"/>
        <v>#VALUE!</v>
      </c>
      <c r="E60" s="174" t="e">
        <f t="shared" ca="1" si="13"/>
        <v>#VALUE!</v>
      </c>
      <c r="F60" s="290" t="e">
        <f t="shared" ca="1" si="13"/>
        <v>#VALUE!</v>
      </c>
      <c r="G60" s="174" t="e">
        <f t="shared" ca="1" si="13"/>
        <v>#VALUE!</v>
      </c>
      <c r="H60" s="174" t="e">
        <f t="shared" ca="1" si="13"/>
        <v>#VALUE!</v>
      </c>
      <c r="I60" s="193" t="e">
        <f t="shared" ca="1" si="13"/>
        <v>#VALUE!</v>
      </c>
      <c r="J60" s="174"/>
      <c r="K60" s="174"/>
      <c r="L60" s="174"/>
    </row>
    <row r="61" spans="1:12" s="29" customFormat="1" ht="16.5" customHeight="1" outlineLevel="1" thickBot="1">
      <c r="A61" s="1173"/>
      <c r="B61" s="292">
        <f t="shared" si="8"/>
        <v>3.5000000000000003E-2</v>
      </c>
      <c r="C61" s="176" t="e">
        <f t="shared" ref="C61:I61" ca="1" si="14">C53*$B$41</f>
        <v>#VALUE!</v>
      </c>
      <c r="D61" s="176" t="e">
        <f t="shared" ca="1" si="14"/>
        <v>#VALUE!</v>
      </c>
      <c r="E61" s="176" t="e">
        <f t="shared" ca="1" si="14"/>
        <v>#VALUE!</v>
      </c>
      <c r="F61" s="293" t="e">
        <f t="shared" ca="1" si="14"/>
        <v>#VALUE!</v>
      </c>
      <c r="G61" s="176" t="e">
        <f t="shared" ca="1" si="14"/>
        <v>#VALUE!</v>
      </c>
      <c r="H61" s="176" t="e">
        <f t="shared" ca="1" si="14"/>
        <v>#VALUE!</v>
      </c>
      <c r="I61" s="194" t="e">
        <f t="shared" ca="1" si="14"/>
        <v>#VALUE!</v>
      </c>
      <c r="J61" s="174"/>
      <c r="K61" s="174"/>
      <c r="L61" s="174"/>
    </row>
    <row r="62" spans="1:12" s="29" customFormat="1" ht="16.5" customHeight="1" outlineLevel="1">
      <c r="A62" s="150"/>
      <c r="B62" s="249"/>
      <c r="D62" s="274"/>
      <c r="E62" s="275"/>
      <c r="F62" s="174"/>
      <c r="G62" s="174"/>
      <c r="H62" s="174"/>
      <c r="I62" s="174"/>
      <c r="J62" s="174"/>
      <c r="K62" s="174"/>
      <c r="L62" s="174"/>
    </row>
    <row r="63" spans="1:12" ht="16.5" customHeight="1" outlineLevel="1"/>
    <row r="64" spans="1:12" ht="16.5" customHeight="1" outlineLevel="1">
      <c r="A64" s="294"/>
      <c r="B64" s="295" t="str">
        <f t="shared" ref="B64:K64" si="15">C20</f>
        <v>2024E</v>
      </c>
      <c r="C64" s="295">
        <f t="shared" si="15"/>
        <v>2025</v>
      </c>
      <c r="D64" s="295">
        <f t="shared" si="15"/>
        <v>2026</v>
      </c>
      <c r="E64" s="295">
        <f t="shared" si="15"/>
        <v>2027</v>
      </c>
      <c r="F64" s="295">
        <f t="shared" si="15"/>
        <v>2028</v>
      </c>
      <c r="G64" s="295">
        <f t="shared" si="15"/>
        <v>2029</v>
      </c>
      <c r="H64" s="295">
        <f t="shared" si="15"/>
        <v>2030</v>
      </c>
      <c r="I64" s="295">
        <f t="shared" si="15"/>
        <v>2031</v>
      </c>
      <c r="J64" s="295">
        <f t="shared" si="15"/>
        <v>2032</v>
      </c>
      <c r="K64" s="295">
        <f t="shared" si="15"/>
        <v>2033</v>
      </c>
    </row>
    <row r="65" spans="1:12" ht="16.5" customHeight="1" outlineLevel="1">
      <c r="A65" s="300" t="s">
        <v>627</v>
      </c>
      <c r="B65" s="301" t="str">
        <f ca="1">IF(ISERROR($B$40/利润表!AK94),"—",$B$40/利润表!AK94)</f>
        <v>—</v>
      </c>
      <c r="C65" s="301" t="str">
        <f ca="1">IF(ISERROR($B$40/利润表!AL94),"—",$B$40/利润表!AL94)</f>
        <v>—</v>
      </c>
      <c r="D65" s="301" t="str">
        <f ca="1">IF(ISERROR($B$40/利润表!AM94),"—",$B$40/利润表!AM94)</f>
        <v>—</v>
      </c>
      <c r="E65" s="302" t="str">
        <f>IF($B$2&gt;3,$B$40/利润表!AN94,"—")</f>
        <v>—</v>
      </c>
      <c r="F65" s="301" t="str">
        <f>IF($B$2&gt;3,$B$40/利润表!AO94,"—")</f>
        <v>—</v>
      </c>
      <c r="G65" s="301" t="str">
        <f>IF($B$2&gt;3,$B$40/利润表!AP94,"—")</f>
        <v>—</v>
      </c>
      <c r="H65" s="301" t="str">
        <f>IF($B$2&gt;3,$B$40/利润表!AQ94,"—")</f>
        <v>—</v>
      </c>
      <c r="I65" s="301" t="str">
        <f>IF($B$2&gt;3,$B$40/利润表!AR94,"—")</f>
        <v>—</v>
      </c>
      <c r="J65" s="301" t="str">
        <f>IF($B$2&gt;3,$B$40/利润表!AS94,"—")</f>
        <v>—</v>
      </c>
      <c r="K65" s="301" t="str">
        <f>IF($B$2&gt;3,$B$40/利润表!AT94,"—")</f>
        <v>—</v>
      </c>
    </row>
    <row r="66" spans="1:12" ht="16.5" customHeight="1" outlineLevel="1">
      <c r="A66" s="300" t="s">
        <v>628</v>
      </c>
      <c r="B66" s="301" t="str">
        <f ca="1">IF(ISERROR($B$40/资产负债表!AK89),"—",$B$40/资产负债表!AK89)</f>
        <v>—</v>
      </c>
      <c r="C66" s="301" t="str">
        <f ca="1">IF(ISERROR($B$40/资产负债表!AL89),"—",$B$40/资产负债表!AL89)</f>
        <v>—</v>
      </c>
      <c r="D66" s="301" t="str">
        <f ca="1">IF(ISERROR($B$40/资产负债表!AM89),"—",$B$40/资产负债表!AM89)</f>
        <v>—</v>
      </c>
      <c r="E66" s="302" t="str">
        <f>IF($B$2&gt;3,$B$40/资产负债表!AN89,"—")</f>
        <v>—</v>
      </c>
      <c r="F66" s="301" t="str">
        <f>IF($B$2&gt;3,$B$40/资产负债表!AO89,"—")</f>
        <v>—</v>
      </c>
      <c r="G66" s="301" t="str">
        <f>IF($B$2&gt;3,$B$40/资产负债表!AP89,"—")</f>
        <v>—</v>
      </c>
      <c r="H66" s="301" t="str">
        <f>IF($B$2&gt;3,$B$40/资产负债表!AQ89,"—")</f>
        <v>—</v>
      </c>
      <c r="I66" s="301" t="str">
        <f>IF($B$2&gt;3,$B$40/资产负债表!AR89,"—")</f>
        <v>—</v>
      </c>
      <c r="J66" s="301" t="str">
        <f>IF($B$2&gt;3,$B$40/资产负债表!AS89,"—")</f>
        <v>—</v>
      </c>
      <c r="K66" s="301" t="str">
        <f>IF($B$2&gt;3,$B$40/资产负债表!AT89,"—")</f>
        <v>—</v>
      </c>
    </row>
    <row r="67" spans="1:12" ht="16.5" customHeight="1" outlineLevel="1" collapsed="1">
      <c r="A67" s="300" t="s">
        <v>629</v>
      </c>
      <c r="B67" s="301" t="str">
        <f ca="1">IF(ISERROR($B$40/利润表!AK8),"—",$B$40/利润表!AK8)</f>
        <v>—</v>
      </c>
      <c r="C67" s="301" t="str">
        <f ca="1">IF(ISERROR($B$40/利润表!AL8),"—",$B$40/利润表!AL8)</f>
        <v>—</v>
      </c>
      <c r="D67" s="301" t="str">
        <f ca="1">IF(ISERROR($B$40/利润表!AM8),"—",$B$40/利润表!AM8)</f>
        <v>—</v>
      </c>
      <c r="E67" s="302" t="str">
        <f>IF($B$2&gt;3,$B$40/利润表!AN8,"—")</f>
        <v>—</v>
      </c>
      <c r="F67" s="301" t="str">
        <f>IF($B$2&gt;3,$B$40/利润表!AO8,"—")</f>
        <v>—</v>
      </c>
      <c r="G67" s="301" t="str">
        <f>IF($B$2&gt;3,$B$40/利润表!AP8,"—")</f>
        <v>—</v>
      </c>
      <c r="H67" s="301" t="str">
        <f>IF($B$2&gt;3,$B$40/利润表!AQ8,"—")</f>
        <v>—</v>
      </c>
      <c r="I67" s="301" t="str">
        <f>IF($B$2&gt;3,$B$40/利润表!AR8,"—")</f>
        <v>—</v>
      </c>
      <c r="J67" s="301" t="str">
        <f>IF($B$2&gt;3,$B$40/利润表!AS8,"—")</f>
        <v>—</v>
      </c>
      <c r="K67" s="301" t="str">
        <f>IF($B$2&gt;3,$B$40/利润表!AT8,"—")</f>
        <v>—</v>
      </c>
    </row>
    <row r="69" spans="1:12" ht="16.5" customHeight="1">
      <c r="A69" s="253" t="s">
        <v>630</v>
      </c>
      <c r="B69" s="254" t="str">
        <f ca="1">B87</f>
        <v>—</v>
      </c>
      <c r="C69" s="303">
        <v>1</v>
      </c>
      <c r="D69" s="303">
        <v>2</v>
      </c>
      <c r="E69" s="303">
        <v>3</v>
      </c>
      <c r="F69" s="303">
        <v>4</v>
      </c>
      <c r="G69" s="303">
        <v>5</v>
      </c>
      <c r="H69" s="303">
        <v>6</v>
      </c>
      <c r="I69" s="303">
        <v>7</v>
      </c>
      <c r="J69" s="303">
        <v>8</v>
      </c>
      <c r="K69" s="303">
        <v>9</v>
      </c>
      <c r="L69" s="303">
        <v>10</v>
      </c>
    </row>
    <row r="70" spans="1:12" ht="16.5" hidden="1" customHeight="1" outlineLevel="1">
      <c r="B70" s="304">
        <f t="shared" ref="B70:L70" si="16">B20</f>
        <v>2023</v>
      </c>
      <c r="C70" s="304" t="str">
        <f t="shared" si="16"/>
        <v>2024E</v>
      </c>
      <c r="D70" s="305">
        <f t="shared" si="16"/>
        <v>2025</v>
      </c>
      <c r="E70" s="305">
        <f t="shared" si="16"/>
        <v>2026</v>
      </c>
      <c r="F70" s="305">
        <f t="shared" si="16"/>
        <v>2027</v>
      </c>
      <c r="G70" s="305">
        <f t="shared" si="16"/>
        <v>2028</v>
      </c>
      <c r="H70" s="305">
        <f t="shared" si="16"/>
        <v>2029</v>
      </c>
      <c r="I70" s="305">
        <f t="shared" si="16"/>
        <v>2030</v>
      </c>
      <c r="J70" s="305">
        <f t="shared" si="16"/>
        <v>2031</v>
      </c>
      <c r="K70" s="305">
        <f t="shared" si="16"/>
        <v>2032</v>
      </c>
      <c r="L70" s="305">
        <f t="shared" si="16"/>
        <v>2033</v>
      </c>
    </row>
    <row r="71" spans="1:12" ht="16.5" hidden="1" customHeight="1" outlineLevel="1">
      <c r="A71" s="150" t="s">
        <v>364</v>
      </c>
      <c r="B71" s="188">
        <f>利润表!AG94</f>
        <v>0</v>
      </c>
      <c r="C71" s="206">
        <f>利润表!AK94</f>
        <v>0</v>
      </c>
      <c r="D71" s="206">
        <f>利润表!AL94</f>
        <v>0</v>
      </c>
      <c r="E71" s="206">
        <f>利润表!AM94</f>
        <v>0</v>
      </c>
      <c r="F71" s="206">
        <f>利润表!AN94</f>
        <v>0</v>
      </c>
      <c r="G71" s="206">
        <f>利润表!AO94</f>
        <v>0</v>
      </c>
      <c r="H71" s="206">
        <f>利润表!AP94</f>
        <v>0</v>
      </c>
      <c r="I71" s="206">
        <f>利润表!AQ94</f>
        <v>0</v>
      </c>
      <c r="J71" s="206">
        <f>利润表!AR94</f>
        <v>0</v>
      </c>
      <c r="K71" s="206">
        <f>利润表!AS94</f>
        <v>0</v>
      </c>
      <c r="L71" s="206">
        <f>利润表!AT94</f>
        <v>0</v>
      </c>
    </row>
    <row r="72" spans="1:12" ht="16.5" hidden="1" customHeight="1" outlineLevel="1">
      <c r="A72" s="150" t="s">
        <v>631</v>
      </c>
      <c r="B72" s="188">
        <f>现金流量表!AG11</f>
        <v>0</v>
      </c>
      <c r="C72" s="206">
        <f>现金流量表!AK11</f>
        <v>0</v>
      </c>
      <c r="D72" s="206">
        <f>现金流量表!AL11</f>
        <v>0</v>
      </c>
      <c r="E72" s="206">
        <f>现金流量表!AM11</f>
        <v>0</v>
      </c>
      <c r="F72" s="206">
        <f>现金流量表!AN11</f>
        <v>0</v>
      </c>
      <c r="G72" s="206">
        <f>现金流量表!AO11</f>
        <v>0</v>
      </c>
      <c r="H72" s="206">
        <f>现金流量表!AP11</f>
        <v>0</v>
      </c>
      <c r="I72" s="206">
        <f>现金流量表!AQ11</f>
        <v>0</v>
      </c>
      <c r="J72" s="206">
        <f>现金流量表!AR11</f>
        <v>0</v>
      </c>
      <c r="K72" s="206">
        <f>现金流量表!AS11</f>
        <v>0</v>
      </c>
      <c r="L72" s="206">
        <f>现金流量表!AT11</f>
        <v>0</v>
      </c>
    </row>
    <row r="73" spans="1:12" ht="16.5" hidden="1" customHeight="1" outlineLevel="1">
      <c r="A73" s="150" t="s">
        <v>609</v>
      </c>
      <c r="B73" s="188">
        <f>资产负债表!AG101</f>
        <v>0</v>
      </c>
      <c r="C73" s="206">
        <f>资产负债表!AK101</f>
        <v>0</v>
      </c>
      <c r="D73" s="206">
        <f>资产负债表!AL101</f>
        <v>0</v>
      </c>
      <c r="E73" s="206">
        <f>资产负债表!AM101</f>
        <v>0</v>
      </c>
      <c r="F73" s="206">
        <f>资产负债表!AN101</f>
        <v>0</v>
      </c>
      <c r="G73" s="206">
        <f>资产负债表!AO101</f>
        <v>0</v>
      </c>
      <c r="H73" s="206">
        <f>资产负债表!AP101</f>
        <v>0</v>
      </c>
      <c r="I73" s="206">
        <f>资产负债表!AQ101</f>
        <v>0</v>
      </c>
      <c r="J73" s="206">
        <f>资产负债表!AR101</f>
        <v>0</v>
      </c>
      <c r="K73" s="206">
        <f>资产负债表!AS101</f>
        <v>0</v>
      </c>
      <c r="L73" s="206">
        <f>资产负债表!AT101</f>
        <v>0</v>
      </c>
    </row>
    <row r="74" spans="1:12" ht="16.5" hidden="1" customHeight="1" outlineLevel="1">
      <c r="A74" s="150" t="s">
        <v>610</v>
      </c>
      <c r="B74" s="188">
        <f>-现金流量表!AG47</f>
        <v>0</v>
      </c>
      <c r="C74" s="206">
        <f>-现金流量表!AK47</f>
        <v>0</v>
      </c>
      <c r="D74" s="206">
        <f>-现金流量表!AL47</f>
        <v>0</v>
      </c>
      <c r="E74" s="206">
        <f>-现金流量表!AM47</f>
        <v>0</v>
      </c>
      <c r="F74" s="206">
        <f>-现金流量表!AN47</f>
        <v>0</v>
      </c>
      <c r="G74" s="206">
        <f>-现金流量表!AO47</f>
        <v>0</v>
      </c>
      <c r="H74" s="206">
        <f>-现金流量表!AP47</f>
        <v>0</v>
      </c>
      <c r="I74" s="206">
        <f>-现金流量表!AQ47</f>
        <v>0</v>
      </c>
      <c r="J74" s="206">
        <f>-现金流量表!AR47</f>
        <v>0</v>
      </c>
      <c r="K74" s="206">
        <f>-现金流量表!AS47</f>
        <v>0</v>
      </c>
      <c r="L74" s="206">
        <f>-现金流量表!AT47</f>
        <v>0</v>
      </c>
    </row>
    <row r="75" spans="1:12" ht="16.5" hidden="1" customHeight="1" outlineLevel="1">
      <c r="A75" s="150" t="s">
        <v>632</v>
      </c>
      <c r="B75" s="188">
        <f>资产预测!H181+资产预测!H190+资产预测!H196+资产预测!H203</f>
        <v>0</v>
      </c>
      <c r="C75" s="205">
        <f>资产预测!L181-资产预测!L182+资产预测!L190+资产预测!L196+资产预测!L203</f>
        <v>0</v>
      </c>
      <c r="D75" s="205">
        <f>资产预测!M181-资产预测!M182+资产预测!M190+资产预测!M196+资产预测!M203</f>
        <v>0</v>
      </c>
      <c r="E75" s="205">
        <f>资产预测!N181-资产预测!N182+资产预测!N190+资产预测!N196+资产预测!N203</f>
        <v>0</v>
      </c>
      <c r="F75" s="205">
        <f>资产预测!O181-资产预测!O182+资产预测!O190+资产预测!O196+资产预测!O203</f>
        <v>0</v>
      </c>
      <c r="G75" s="205">
        <f>资产预测!P181-资产预测!P182+资产预测!P190+资产预测!P196+资产预测!P203</f>
        <v>0</v>
      </c>
      <c r="H75" s="205">
        <f>资产预测!Q181-资产预测!Q182+资产预测!Q190+资产预测!Q196+资产预测!Q203</f>
        <v>0</v>
      </c>
      <c r="I75" s="205">
        <f>资产预测!R181-资产预测!R182+资产预测!R190+资产预测!R196+资产预测!R203</f>
        <v>0</v>
      </c>
      <c r="J75" s="205">
        <f>资产预测!S181-资产预测!S182+资产预测!S190+资产预测!S196+资产预测!S203</f>
        <v>0</v>
      </c>
      <c r="K75" s="205">
        <f>资产预测!T181-资产预测!T182+资产预测!T190+资产预测!T196+资产预测!T203</f>
        <v>0</v>
      </c>
      <c r="L75" s="205">
        <f>资产预测!U181-资产预测!U182+资产预测!U190+资产预测!U196+资产预测!U203</f>
        <v>0</v>
      </c>
    </row>
    <row r="76" spans="1:12" ht="16.5" hidden="1" customHeight="1" outlineLevel="1">
      <c r="A76" s="150" t="s">
        <v>633</v>
      </c>
      <c r="B76" s="188">
        <f>现金流量表!AG10</f>
        <v>0</v>
      </c>
      <c r="C76" s="206">
        <f>现金流量表!AK10</f>
        <v>0</v>
      </c>
      <c r="D76" s="206">
        <f>现金流量表!AL10</f>
        <v>0</v>
      </c>
      <c r="E76" s="206">
        <f>现金流量表!AM10</f>
        <v>0</v>
      </c>
      <c r="F76" s="206">
        <f>现金流量表!AN10</f>
        <v>0</v>
      </c>
      <c r="G76" s="206">
        <f>现金流量表!AO10</f>
        <v>0</v>
      </c>
      <c r="H76" s="206">
        <f>现金流量表!AP10</f>
        <v>0</v>
      </c>
      <c r="I76" s="206">
        <f>现金流量表!AQ10</f>
        <v>0</v>
      </c>
      <c r="J76" s="206">
        <f>现金流量表!AR10</f>
        <v>0</v>
      </c>
      <c r="K76" s="206">
        <f>现金流量表!AS10</f>
        <v>0</v>
      </c>
      <c r="L76" s="206">
        <f>现金流量表!AT10</f>
        <v>0</v>
      </c>
    </row>
    <row r="77" spans="1:12" ht="16.5" hidden="1" customHeight="1" outlineLevel="1">
      <c r="A77" s="143" t="s">
        <v>634</v>
      </c>
      <c r="B77" s="306">
        <f>B71+B72-B73-B74+B75+B76</f>
        <v>0</v>
      </c>
      <c r="C77" s="306">
        <f t="shared" ref="C77:L77" si="17">IF($B2&gt;=C69,C71+C72-C73-C74+C75+C76,"")</f>
        <v>0</v>
      </c>
      <c r="D77" s="306">
        <f t="shared" si="17"/>
        <v>0</v>
      </c>
      <c r="E77" s="306">
        <f t="shared" si="17"/>
        <v>0</v>
      </c>
      <c r="F77" s="306" t="str">
        <f t="shared" si="17"/>
        <v/>
      </c>
      <c r="G77" s="306" t="str">
        <f t="shared" si="17"/>
        <v/>
      </c>
      <c r="H77" s="306" t="str">
        <f t="shared" si="17"/>
        <v/>
      </c>
      <c r="I77" s="306" t="str">
        <f t="shared" si="17"/>
        <v/>
      </c>
      <c r="J77" s="306" t="str">
        <f t="shared" si="17"/>
        <v/>
      </c>
      <c r="K77" s="306" t="str">
        <f t="shared" si="17"/>
        <v/>
      </c>
      <c r="L77" s="306" t="str">
        <f t="shared" si="17"/>
        <v/>
      </c>
    </row>
    <row r="78" spans="1:12" ht="16.5" hidden="1" customHeight="1" outlineLevel="1">
      <c r="A78" s="150"/>
      <c r="B78" s="188"/>
      <c r="C78" s="206"/>
      <c r="D78" s="206"/>
      <c r="E78" s="206"/>
      <c r="F78" s="206"/>
      <c r="G78" s="206"/>
      <c r="H78" s="206"/>
      <c r="I78" s="206"/>
      <c r="J78" s="206"/>
      <c r="K78" s="206"/>
      <c r="L78" s="206"/>
    </row>
    <row r="79" spans="1:12" ht="16.5" hidden="1" customHeight="1" outlineLevel="1">
      <c r="A79" s="150"/>
      <c r="B79" s="305">
        <f>INDEX(C70:L70,MATCH(B2,C69:K69))+1</f>
        <v>2027</v>
      </c>
      <c r="C79" s="305">
        <f t="shared" ref="C79:L79" si="18">B79+1</f>
        <v>2028</v>
      </c>
      <c r="D79" s="305">
        <f t="shared" si="18"/>
        <v>2029</v>
      </c>
      <c r="E79" s="305">
        <f t="shared" si="18"/>
        <v>2030</v>
      </c>
      <c r="F79" s="305">
        <f t="shared" si="18"/>
        <v>2031</v>
      </c>
      <c r="G79" s="305">
        <f t="shared" si="18"/>
        <v>2032</v>
      </c>
      <c r="H79" s="305">
        <f t="shared" si="18"/>
        <v>2033</v>
      </c>
      <c r="I79" s="305">
        <f t="shared" si="18"/>
        <v>2034</v>
      </c>
      <c r="J79" s="305">
        <f t="shared" si="18"/>
        <v>2035</v>
      </c>
      <c r="K79" s="305">
        <f t="shared" si="18"/>
        <v>2036</v>
      </c>
      <c r="L79" s="305">
        <f t="shared" si="18"/>
        <v>2037</v>
      </c>
    </row>
    <row r="80" spans="1:12" ht="16.5" hidden="1" customHeight="1" outlineLevel="1">
      <c r="A80" s="143" t="s">
        <v>612</v>
      </c>
      <c r="B80" s="306">
        <f>IF($B3&gt;0,INDEX(C77:L77,MATCH(B2,C69:L69))*(1+B4),0)</f>
        <v>0</v>
      </c>
      <c r="C80" s="306" t="str">
        <f t="shared" ref="C80:L80" si="19">IF(($B3-C69)&gt;0,B80*(1+$B4),"")</f>
        <v/>
      </c>
      <c r="D80" s="306" t="str">
        <f t="shared" si="19"/>
        <v/>
      </c>
      <c r="E80" s="306" t="str">
        <f t="shared" si="19"/>
        <v/>
      </c>
      <c r="F80" s="306" t="str">
        <f t="shared" si="19"/>
        <v/>
      </c>
      <c r="G80" s="306" t="str">
        <f t="shared" si="19"/>
        <v/>
      </c>
      <c r="H80" s="306" t="str">
        <f t="shared" si="19"/>
        <v/>
      </c>
      <c r="I80" s="306" t="str">
        <f t="shared" si="19"/>
        <v/>
      </c>
      <c r="J80" s="306" t="str">
        <f t="shared" si="19"/>
        <v/>
      </c>
      <c r="K80" s="306" t="str">
        <f t="shared" si="19"/>
        <v/>
      </c>
      <c r="L80" s="306" t="str">
        <f t="shared" si="19"/>
        <v/>
      </c>
    </row>
    <row r="81" spans="1:12" ht="16.5" hidden="1" customHeight="1" outlineLevel="1"/>
    <row r="82" spans="1:12" ht="16.5" hidden="1" customHeight="1" outlineLevel="1">
      <c r="A82" s="97" t="s">
        <v>635</v>
      </c>
      <c r="B82" s="262">
        <f ca="1">(NPV(B15,D77:L77)+C77*B10/12)/(1+B15)^(B10/12)</f>
        <v>0</v>
      </c>
    </row>
    <row r="83" spans="1:12" ht="16.5" hidden="1" customHeight="1" outlineLevel="1">
      <c r="A83" s="97" t="s">
        <v>636</v>
      </c>
      <c r="B83" s="262">
        <f>IF(B3=0,0,NPV(B15,B80:L80)/(1+B15)^(B2-1+B10/12))</f>
        <v>0</v>
      </c>
    </row>
    <row r="84" spans="1:12" ht="16.5" hidden="1" customHeight="1" outlineLevel="1">
      <c r="A84" s="97" t="s">
        <v>637</v>
      </c>
      <c r="B84" s="262">
        <f ca="1">INDEX(C77:L77,MATCH(B2,C69:L69))*(1+B4)^B3*(1+B5)/(B15-B5)/(POWER((1+B15),B2+B3-1+B10/12))</f>
        <v>0</v>
      </c>
    </row>
    <row r="85" spans="1:12" ht="16.5" hidden="1" customHeight="1" outlineLevel="1">
      <c r="A85" s="162" t="s">
        <v>620</v>
      </c>
      <c r="B85" s="264">
        <f ca="1">SUM(B82:B84)</f>
        <v>0</v>
      </c>
    </row>
    <row r="86" spans="1:12" ht="16.5" hidden="1" customHeight="1" outlineLevel="1">
      <c r="A86" s="97" t="s">
        <v>621</v>
      </c>
      <c r="B86" s="174" t="e">
        <f>目录!F7*1000000*目录!D6</f>
        <v>#VALUE!</v>
      </c>
    </row>
    <row r="87" spans="1:12" ht="16.5" hidden="1" customHeight="1" outlineLevel="1">
      <c r="A87" s="307" t="s">
        <v>622</v>
      </c>
      <c r="B87" s="308" t="str">
        <f ca="1">IF(ISERROR(B85/B86),"—",B85/B86)</f>
        <v>—</v>
      </c>
    </row>
    <row r="88" spans="1:12" ht="16.5" hidden="1" customHeight="1" outlineLevel="1"/>
    <row r="89" spans="1:12" ht="16.5" hidden="1" customHeight="1" outlineLevel="1">
      <c r="A89" s="276"/>
      <c r="B89" s="277" t="s">
        <v>623</v>
      </c>
      <c r="C89" s="278"/>
      <c r="D89" s="279">
        <v>5.0000000000000001E-3</v>
      </c>
      <c r="E89" s="280"/>
      <c r="F89" s="280"/>
      <c r="G89" s="280"/>
      <c r="H89" s="280"/>
      <c r="I89" s="296"/>
    </row>
    <row r="90" spans="1:12" s="29" customFormat="1" ht="16.5" hidden="1" customHeight="1" outlineLevel="1">
      <c r="A90" s="281"/>
      <c r="B90" s="282" t="s">
        <v>624</v>
      </c>
      <c r="C90" s="283"/>
      <c r="D90" s="284">
        <v>5.0000000000000001E-3</v>
      </c>
      <c r="E90" s="285"/>
      <c r="F90" s="285"/>
      <c r="G90" s="285"/>
      <c r="H90" s="285"/>
      <c r="I90" s="297"/>
      <c r="J90" s="174"/>
      <c r="K90" s="174"/>
      <c r="L90" s="174"/>
    </row>
    <row r="91" spans="1:12" s="29" customFormat="1" ht="16.5" hidden="1" customHeight="1" outlineLevel="1">
      <c r="A91" s="1171" t="s">
        <v>625</v>
      </c>
      <c r="B91" s="286" t="str">
        <f ca="1">B87</f>
        <v>—</v>
      </c>
      <c r="C91" s="287">
        <f>D91-$D$89</f>
        <v>-1.4999999999999999E-2</v>
      </c>
      <c r="D91" s="287">
        <f>E91-$D$89</f>
        <v>-0.01</v>
      </c>
      <c r="E91" s="287">
        <f>F91-$D$89</f>
        <v>-5.0000000000000001E-3</v>
      </c>
      <c r="F91" s="288">
        <f>B15</f>
        <v>0</v>
      </c>
      <c r="G91" s="287">
        <f>F91+$D$89</f>
        <v>5.0000000000000001E-3</v>
      </c>
      <c r="H91" s="287">
        <f>G91+$D$89</f>
        <v>0.01</v>
      </c>
      <c r="I91" s="298">
        <f>H91+$D$89</f>
        <v>1.4999999999999999E-2</v>
      </c>
      <c r="J91" s="174"/>
      <c r="K91" s="174"/>
      <c r="L91" s="174"/>
    </row>
    <row r="92" spans="1:12" s="29" customFormat="1" ht="16.5" hidden="1" customHeight="1" outlineLevel="1">
      <c r="A92" s="1172"/>
      <c r="B92" s="289">
        <f>B93-$D$90</f>
        <v>4.9999999999999984E-3</v>
      </c>
      <c r="C92" s="174" t="e">
        <f t="shared" ref="C92:I98" ca="1" si="20">((NPV(C$91,$D$77:$L$77)+$C$77*$B$10/12)/(1+C$91)^($B$10/12)+NPV(C$91,$B$80:$L$80)/(1+C$91)^($B$2-1+$B$10/12)+INDEX($C$77:$L$77,MATCH($B$2,$C$69:$L$69))*(1+$B$4)^$B$3*(1+$B92)/(C$91-$B92)/(POWER((1+C$91),$B$2+$B$3-1+$B$10/12)))/$B$86</f>
        <v>#VALUE!</v>
      </c>
      <c r="D92" s="174" t="e">
        <f t="shared" ca="1" si="20"/>
        <v>#VALUE!</v>
      </c>
      <c r="E92" s="174" t="e">
        <f t="shared" ca="1" si="20"/>
        <v>#VALUE!</v>
      </c>
      <c r="F92" s="290" t="e">
        <f t="shared" ca="1" si="20"/>
        <v>#VALUE!</v>
      </c>
      <c r="G92" s="174" t="e">
        <f t="shared" ca="1" si="20"/>
        <v>#VALUE!</v>
      </c>
      <c r="H92" s="174" t="e">
        <f t="shared" ca="1" si="20"/>
        <v>#VALUE!</v>
      </c>
      <c r="I92" s="193" t="e">
        <f t="shared" ca="1" si="20"/>
        <v>#VALUE!</v>
      </c>
      <c r="J92" s="174"/>
      <c r="K92" s="174"/>
      <c r="L92" s="174"/>
    </row>
    <row r="93" spans="1:12" s="29" customFormat="1" ht="16.5" hidden="1" customHeight="1" outlineLevel="1">
      <c r="A93" s="1172"/>
      <c r="B93" s="289">
        <f>B94-$D$90</f>
        <v>9.9999999999999985E-3</v>
      </c>
      <c r="C93" s="174" t="e">
        <f t="shared" ca="1" si="20"/>
        <v>#VALUE!</v>
      </c>
      <c r="D93" s="174" t="e">
        <f t="shared" ca="1" si="20"/>
        <v>#VALUE!</v>
      </c>
      <c r="E93" s="174" t="e">
        <f t="shared" ca="1" si="20"/>
        <v>#VALUE!</v>
      </c>
      <c r="F93" s="290" t="e">
        <f t="shared" ca="1" si="20"/>
        <v>#VALUE!</v>
      </c>
      <c r="G93" s="174" t="e">
        <f t="shared" ca="1" si="20"/>
        <v>#VALUE!</v>
      </c>
      <c r="H93" s="174" t="e">
        <f t="shared" ca="1" si="20"/>
        <v>#VALUE!</v>
      </c>
      <c r="I93" s="193" t="e">
        <f t="shared" ca="1" si="20"/>
        <v>#VALUE!</v>
      </c>
      <c r="J93" s="174"/>
      <c r="K93" s="174"/>
      <c r="L93" s="174"/>
    </row>
    <row r="94" spans="1:12" s="29" customFormat="1" ht="16.5" hidden="1" customHeight="1" outlineLevel="1">
      <c r="A94" s="1172"/>
      <c r="B94" s="289">
        <f>B95-$D$90</f>
        <v>1.4999999999999999E-2</v>
      </c>
      <c r="C94" s="174" t="e">
        <f t="shared" ca="1" si="20"/>
        <v>#VALUE!</v>
      </c>
      <c r="D94" s="174" t="e">
        <f t="shared" ca="1" si="20"/>
        <v>#VALUE!</v>
      </c>
      <c r="E94" s="174" t="e">
        <f t="shared" ca="1" si="20"/>
        <v>#VALUE!</v>
      </c>
      <c r="F94" s="290" t="e">
        <f t="shared" ca="1" si="20"/>
        <v>#VALUE!</v>
      </c>
      <c r="G94" s="174" t="e">
        <f t="shared" ca="1" si="20"/>
        <v>#VALUE!</v>
      </c>
      <c r="H94" s="174" t="e">
        <f t="shared" ca="1" si="20"/>
        <v>#VALUE!</v>
      </c>
      <c r="I94" s="193" t="e">
        <f t="shared" ca="1" si="20"/>
        <v>#DIV/0!</v>
      </c>
      <c r="J94" s="174"/>
      <c r="K94" s="174"/>
      <c r="L94" s="174"/>
    </row>
    <row r="95" spans="1:12" s="29" customFormat="1" ht="16.5" hidden="1" customHeight="1" outlineLevel="1">
      <c r="A95" s="1172"/>
      <c r="B95" s="291">
        <f>B5</f>
        <v>0.02</v>
      </c>
      <c r="C95" s="290" t="e">
        <f t="shared" ca="1" si="20"/>
        <v>#VALUE!</v>
      </c>
      <c r="D95" s="290" t="e">
        <f t="shared" ca="1" si="20"/>
        <v>#VALUE!</v>
      </c>
      <c r="E95" s="290" t="e">
        <f t="shared" ca="1" si="20"/>
        <v>#VALUE!</v>
      </c>
      <c r="F95" s="290" t="e">
        <f t="shared" ca="1" si="20"/>
        <v>#VALUE!</v>
      </c>
      <c r="G95" s="290" t="e">
        <f t="shared" ca="1" si="20"/>
        <v>#VALUE!</v>
      </c>
      <c r="H95" s="290" t="e">
        <f t="shared" ca="1" si="20"/>
        <v>#VALUE!</v>
      </c>
      <c r="I95" s="299" t="e">
        <f t="shared" ca="1" si="20"/>
        <v>#VALUE!</v>
      </c>
      <c r="J95" s="174"/>
      <c r="K95" s="174"/>
      <c r="L95" s="174"/>
    </row>
    <row r="96" spans="1:12" s="29" customFormat="1" ht="16.5" hidden="1" customHeight="1" outlineLevel="1">
      <c r="A96" s="1172"/>
      <c r="B96" s="289">
        <f>B95+$D$90</f>
        <v>2.5000000000000001E-2</v>
      </c>
      <c r="C96" s="174" t="e">
        <f t="shared" ca="1" si="20"/>
        <v>#VALUE!</v>
      </c>
      <c r="D96" s="174" t="e">
        <f t="shared" ca="1" si="20"/>
        <v>#VALUE!</v>
      </c>
      <c r="E96" s="174" t="e">
        <f t="shared" ca="1" si="20"/>
        <v>#VALUE!</v>
      </c>
      <c r="F96" s="290" t="e">
        <f t="shared" ca="1" si="20"/>
        <v>#VALUE!</v>
      </c>
      <c r="G96" s="174" t="e">
        <f t="shared" ca="1" si="20"/>
        <v>#VALUE!</v>
      </c>
      <c r="H96" s="174" t="e">
        <f t="shared" ca="1" si="20"/>
        <v>#VALUE!</v>
      </c>
      <c r="I96" s="193" t="e">
        <f t="shared" ca="1" si="20"/>
        <v>#VALUE!</v>
      </c>
      <c r="J96" s="174"/>
      <c r="K96" s="174"/>
      <c r="L96" s="174"/>
    </row>
    <row r="97" spans="1:11" ht="16.5" hidden="1" customHeight="1" outlineLevel="1">
      <c r="A97" s="1172"/>
      <c r="B97" s="289">
        <f>B96+$D$90</f>
        <v>3.0000000000000002E-2</v>
      </c>
      <c r="C97" s="174" t="e">
        <f t="shared" ca="1" si="20"/>
        <v>#VALUE!</v>
      </c>
      <c r="D97" s="174" t="e">
        <f t="shared" ca="1" si="20"/>
        <v>#VALUE!</v>
      </c>
      <c r="E97" s="174" t="e">
        <f t="shared" ca="1" si="20"/>
        <v>#VALUE!</v>
      </c>
      <c r="F97" s="290" t="e">
        <f t="shared" ca="1" si="20"/>
        <v>#VALUE!</v>
      </c>
      <c r="G97" s="174" t="e">
        <f t="shared" ca="1" si="20"/>
        <v>#VALUE!</v>
      </c>
      <c r="H97" s="174" t="e">
        <f t="shared" ca="1" si="20"/>
        <v>#VALUE!</v>
      </c>
      <c r="I97" s="193" t="e">
        <f t="shared" ca="1" si="20"/>
        <v>#VALUE!</v>
      </c>
    </row>
    <row r="98" spans="1:11" ht="16.5" hidden="1" customHeight="1" outlineLevel="1">
      <c r="A98" s="1173"/>
      <c r="B98" s="292">
        <f>B97+$D$90</f>
        <v>3.5000000000000003E-2</v>
      </c>
      <c r="C98" s="176" t="e">
        <f t="shared" ca="1" si="20"/>
        <v>#VALUE!</v>
      </c>
      <c r="D98" s="176" t="e">
        <f t="shared" ca="1" si="20"/>
        <v>#VALUE!</v>
      </c>
      <c r="E98" s="176" t="e">
        <f t="shared" ca="1" si="20"/>
        <v>#VALUE!</v>
      </c>
      <c r="F98" s="293" t="e">
        <f t="shared" ca="1" si="20"/>
        <v>#VALUE!</v>
      </c>
      <c r="G98" s="176" t="e">
        <f t="shared" ca="1" si="20"/>
        <v>#VALUE!</v>
      </c>
      <c r="H98" s="176" t="e">
        <f t="shared" ca="1" si="20"/>
        <v>#VALUE!</v>
      </c>
      <c r="I98" s="194" t="e">
        <f t="shared" ca="1" si="20"/>
        <v>#VALUE!</v>
      </c>
    </row>
    <row r="99" spans="1:11" ht="16.5" hidden="1" customHeight="1" outlineLevel="1">
      <c r="A99" s="1171" t="s">
        <v>626</v>
      </c>
      <c r="B99" s="286">
        <f ca="1">B85</f>
        <v>0</v>
      </c>
      <c r="C99" s="287">
        <f>C91</f>
        <v>-1.4999999999999999E-2</v>
      </c>
      <c r="D99" s="287">
        <f t="shared" ref="D99:I99" si="21">D91</f>
        <v>-0.01</v>
      </c>
      <c r="E99" s="287">
        <f t="shared" si="21"/>
        <v>-5.0000000000000001E-3</v>
      </c>
      <c r="F99" s="288">
        <f t="shared" si="21"/>
        <v>0</v>
      </c>
      <c r="G99" s="287">
        <f t="shared" si="21"/>
        <v>5.0000000000000001E-3</v>
      </c>
      <c r="H99" s="287">
        <f t="shared" si="21"/>
        <v>0.01</v>
      </c>
      <c r="I99" s="298">
        <f t="shared" si="21"/>
        <v>1.4999999999999999E-2</v>
      </c>
    </row>
    <row r="100" spans="1:11" ht="16.5" hidden="1" customHeight="1" outlineLevel="1">
      <c r="A100" s="1172"/>
      <c r="B100" s="289">
        <f>B92</f>
        <v>4.9999999999999984E-3</v>
      </c>
      <c r="C100" s="174" t="e">
        <f t="shared" ref="C100:I106" ca="1" si="22">C92*$B$86</f>
        <v>#VALUE!</v>
      </c>
      <c r="D100" s="174" t="e">
        <f t="shared" ca="1" si="22"/>
        <v>#VALUE!</v>
      </c>
      <c r="E100" s="174" t="e">
        <f t="shared" ca="1" si="22"/>
        <v>#VALUE!</v>
      </c>
      <c r="F100" s="290" t="e">
        <f t="shared" ca="1" si="22"/>
        <v>#VALUE!</v>
      </c>
      <c r="G100" s="174" t="e">
        <f t="shared" ca="1" si="22"/>
        <v>#VALUE!</v>
      </c>
      <c r="H100" s="174" t="e">
        <f t="shared" ca="1" si="22"/>
        <v>#VALUE!</v>
      </c>
      <c r="I100" s="193" t="e">
        <f t="shared" ca="1" si="22"/>
        <v>#VALUE!</v>
      </c>
    </row>
    <row r="101" spans="1:11" ht="16.5" hidden="1" customHeight="1" outlineLevel="1">
      <c r="A101" s="1172"/>
      <c r="B101" s="289">
        <f t="shared" ref="B101:B106" si="23">B93</f>
        <v>9.9999999999999985E-3</v>
      </c>
      <c r="C101" s="174" t="e">
        <f t="shared" ca="1" si="22"/>
        <v>#VALUE!</v>
      </c>
      <c r="D101" s="174" t="e">
        <f t="shared" ca="1" si="22"/>
        <v>#VALUE!</v>
      </c>
      <c r="E101" s="174" t="e">
        <f t="shared" ca="1" si="22"/>
        <v>#VALUE!</v>
      </c>
      <c r="F101" s="290" t="e">
        <f t="shared" ca="1" si="22"/>
        <v>#VALUE!</v>
      </c>
      <c r="G101" s="174" t="e">
        <f t="shared" ca="1" si="22"/>
        <v>#VALUE!</v>
      </c>
      <c r="H101" s="174" t="e">
        <f t="shared" ca="1" si="22"/>
        <v>#VALUE!</v>
      </c>
      <c r="I101" s="193" t="e">
        <f t="shared" ca="1" si="22"/>
        <v>#VALUE!</v>
      </c>
    </row>
    <row r="102" spans="1:11" ht="16.5" hidden="1" customHeight="1" outlineLevel="1">
      <c r="A102" s="1172"/>
      <c r="B102" s="289">
        <f t="shared" si="23"/>
        <v>1.4999999999999999E-2</v>
      </c>
      <c r="C102" s="174" t="e">
        <f t="shared" ca="1" si="22"/>
        <v>#VALUE!</v>
      </c>
      <c r="D102" s="174" t="e">
        <f t="shared" ca="1" si="22"/>
        <v>#VALUE!</v>
      </c>
      <c r="E102" s="174" t="e">
        <f t="shared" ca="1" si="22"/>
        <v>#VALUE!</v>
      </c>
      <c r="F102" s="290" t="e">
        <f t="shared" ca="1" si="22"/>
        <v>#VALUE!</v>
      </c>
      <c r="G102" s="174" t="e">
        <f t="shared" ca="1" si="22"/>
        <v>#VALUE!</v>
      </c>
      <c r="H102" s="174" t="e">
        <f t="shared" ca="1" si="22"/>
        <v>#VALUE!</v>
      </c>
      <c r="I102" s="193" t="e">
        <f t="shared" ca="1" si="22"/>
        <v>#DIV/0!</v>
      </c>
    </row>
    <row r="103" spans="1:11" ht="16.5" hidden="1" customHeight="1" outlineLevel="1">
      <c r="A103" s="1172"/>
      <c r="B103" s="291">
        <f t="shared" si="23"/>
        <v>0.02</v>
      </c>
      <c r="C103" s="290" t="e">
        <f t="shared" ca="1" si="22"/>
        <v>#VALUE!</v>
      </c>
      <c r="D103" s="290" t="e">
        <f t="shared" ca="1" si="22"/>
        <v>#VALUE!</v>
      </c>
      <c r="E103" s="290" t="e">
        <f t="shared" ca="1" si="22"/>
        <v>#VALUE!</v>
      </c>
      <c r="F103" s="290" t="e">
        <f t="shared" ca="1" si="22"/>
        <v>#VALUE!</v>
      </c>
      <c r="G103" s="290" t="e">
        <f t="shared" ca="1" si="22"/>
        <v>#VALUE!</v>
      </c>
      <c r="H103" s="290" t="e">
        <f t="shared" ca="1" si="22"/>
        <v>#VALUE!</v>
      </c>
      <c r="I103" s="299" t="e">
        <f t="shared" ca="1" si="22"/>
        <v>#VALUE!</v>
      </c>
    </row>
    <row r="104" spans="1:11" ht="16.5" hidden="1" customHeight="1" outlineLevel="1">
      <c r="A104" s="1172"/>
      <c r="B104" s="289">
        <f t="shared" si="23"/>
        <v>2.5000000000000001E-2</v>
      </c>
      <c r="C104" s="174" t="e">
        <f t="shared" ca="1" si="22"/>
        <v>#VALUE!</v>
      </c>
      <c r="D104" s="174" t="e">
        <f t="shared" ca="1" si="22"/>
        <v>#VALUE!</v>
      </c>
      <c r="E104" s="174" t="e">
        <f t="shared" ca="1" si="22"/>
        <v>#VALUE!</v>
      </c>
      <c r="F104" s="290" t="e">
        <f t="shared" ca="1" si="22"/>
        <v>#VALUE!</v>
      </c>
      <c r="G104" s="174" t="e">
        <f t="shared" ca="1" si="22"/>
        <v>#VALUE!</v>
      </c>
      <c r="H104" s="174" t="e">
        <f t="shared" ca="1" si="22"/>
        <v>#VALUE!</v>
      </c>
      <c r="I104" s="193" t="e">
        <f t="shared" ca="1" si="22"/>
        <v>#VALUE!</v>
      </c>
    </row>
    <row r="105" spans="1:11" ht="16.5" hidden="1" customHeight="1" outlineLevel="1">
      <c r="A105" s="1172"/>
      <c r="B105" s="289">
        <f t="shared" si="23"/>
        <v>3.0000000000000002E-2</v>
      </c>
      <c r="C105" s="174" t="e">
        <f t="shared" ca="1" si="22"/>
        <v>#VALUE!</v>
      </c>
      <c r="D105" s="174" t="e">
        <f t="shared" ca="1" si="22"/>
        <v>#VALUE!</v>
      </c>
      <c r="E105" s="174" t="e">
        <f t="shared" ca="1" si="22"/>
        <v>#VALUE!</v>
      </c>
      <c r="F105" s="290" t="e">
        <f t="shared" ca="1" si="22"/>
        <v>#VALUE!</v>
      </c>
      <c r="G105" s="174" t="e">
        <f t="shared" ca="1" si="22"/>
        <v>#VALUE!</v>
      </c>
      <c r="H105" s="174" t="e">
        <f t="shared" ca="1" si="22"/>
        <v>#VALUE!</v>
      </c>
      <c r="I105" s="193" t="e">
        <f t="shared" ca="1" si="22"/>
        <v>#VALUE!</v>
      </c>
    </row>
    <row r="106" spans="1:11" ht="16.5" hidden="1" customHeight="1" outlineLevel="1">
      <c r="A106" s="1173"/>
      <c r="B106" s="292">
        <f t="shared" si="23"/>
        <v>3.5000000000000003E-2</v>
      </c>
      <c r="C106" s="176" t="e">
        <f t="shared" ca="1" si="22"/>
        <v>#VALUE!</v>
      </c>
      <c r="D106" s="176" t="e">
        <f t="shared" ca="1" si="22"/>
        <v>#VALUE!</v>
      </c>
      <c r="E106" s="176" t="e">
        <f t="shared" ca="1" si="22"/>
        <v>#VALUE!</v>
      </c>
      <c r="F106" s="293" t="e">
        <f t="shared" ca="1" si="22"/>
        <v>#VALUE!</v>
      </c>
      <c r="G106" s="176" t="e">
        <f t="shared" ca="1" si="22"/>
        <v>#VALUE!</v>
      </c>
      <c r="H106" s="176" t="e">
        <f t="shared" ca="1" si="22"/>
        <v>#VALUE!</v>
      </c>
      <c r="I106" s="194" t="e">
        <f t="shared" ca="1" si="22"/>
        <v>#VALUE!</v>
      </c>
    </row>
    <row r="107" spans="1:11" ht="16.5" hidden="1" customHeight="1" outlineLevel="1"/>
    <row r="108" spans="1:11" ht="16.5" hidden="1" customHeight="1" outlineLevel="1"/>
    <row r="109" spans="1:11" ht="16.5" hidden="1" customHeight="1" outlineLevel="1">
      <c r="A109" s="309"/>
      <c r="B109" s="295" t="str">
        <f t="shared" ref="B109:K109" si="24">C70</f>
        <v>2024E</v>
      </c>
      <c r="C109" s="295">
        <f t="shared" si="24"/>
        <v>2025</v>
      </c>
      <c r="D109" s="295">
        <f t="shared" si="24"/>
        <v>2026</v>
      </c>
      <c r="E109" s="295">
        <f t="shared" si="24"/>
        <v>2027</v>
      </c>
      <c r="F109" s="295">
        <f t="shared" si="24"/>
        <v>2028</v>
      </c>
      <c r="G109" s="295">
        <f t="shared" si="24"/>
        <v>2029</v>
      </c>
      <c r="H109" s="295">
        <f t="shared" si="24"/>
        <v>2030</v>
      </c>
      <c r="I109" s="295">
        <f t="shared" si="24"/>
        <v>2031</v>
      </c>
      <c r="J109" s="295">
        <f t="shared" si="24"/>
        <v>2032</v>
      </c>
      <c r="K109" s="295">
        <f t="shared" si="24"/>
        <v>2033</v>
      </c>
    </row>
    <row r="110" spans="1:11" ht="16.5" hidden="1" customHeight="1" outlineLevel="1">
      <c r="A110" s="300" t="s">
        <v>627</v>
      </c>
      <c r="B110" s="301" t="str">
        <f ca="1">IF(ISERROR($B$85/利润表!AK94),"—",$B$85/利润表!AK94)</f>
        <v>—</v>
      </c>
      <c r="C110" s="301" t="str">
        <f ca="1">IF(ISERROR($B$85/利润表!AL94),"—",$B$85/利润表!AL94)</f>
        <v>—</v>
      </c>
      <c r="D110" s="301" t="str">
        <f ca="1">IF(ISERROR($B$85/利润表!AM94),"—",$B$85/利润表!AM94)</f>
        <v>—</v>
      </c>
      <c r="E110" s="302" t="str">
        <f>IF($B$2&gt;3,$B$85/利润表!AN94,"—")</f>
        <v>—</v>
      </c>
      <c r="F110" s="301" t="str">
        <f>IF($B$2&gt;3,$B$85/利润表!AO94,"—")</f>
        <v>—</v>
      </c>
      <c r="G110" s="301" t="str">
        <f>IF($B$2&gt;3,$B$85/利润表!AP94,"—")</f>
        <v>—</v>
      </c>
      <c r="H110" s="301" t="str">
        <f>IF($B$2&gt;3,$B$85/利润表!AQ94,"—")</f>
        <v>—</v>
      </c>
      <c r="I110" s="301" t="str">
        <f>IF($B$2&gt;3,$B$85/利润表!AR94,"—")</f>
        <v>—</v>
      </c>
      <c r="J110" s="301" t="str">
        <f>IF($B$2&gt;3,$B$85/利润表!AS94,"—")</f>
        <v>—</v>
      </c>
      <c r="K110" s="301" t="str">
        <f>IF($B$2&gt;3,$B$85/利润表!AT94,"—")</f>
        <v>—</v>
      </c>
    </row>
    <row r="111" spans="1:11" ht="16.5" hidden="1" customHeight="1" outlineLevel="1">
      <c r="A111" s="300" t="s">
        <v>628</v>
      </c>
      <c r="B111" s="301" t="str">
        <f ca="1">IF(ISERROR($B$85/资产负债表!AK89),"—",$B$85/资产负债表!AK89)</f>
        <v>—</v>
      </c>
      <c r="C111" s="301" t="str">
        <f ca="1">IF(ISERROR($B$85/资产负债表!AL89),"—",$B$85/资产负债表!AL89)</f>
        <v>—</v>
      </c>
      <c r="D111" s="301" t="str">
        <f ca="1">IF(ISERROR($B$85/资产负债表!AM89),"—",$B$85/资产负债表!AM89)</f>
        <v>—</v>
      </c>
      <c r="E111" s="302" t="str">
        <f>IF($B$2&gt;3,$B$85/资产负债表!AN89,"—")</f>
        <v>—</v>
      </c>
      <c r="F111" s="301" t="str">
        <f>IF($B$2&gt;3,$B$85/资产负债表!AO89,"—")</f>
        <v>—</v>
      </c>
      <c r="G111" s="301" t="str">
        <f>IF($B$2&gt;3,$B$85/资产负债表!AP89,"—")</f>
        <v>—</v>
      </c>
      <c r="H111" s="301" t="str">
        <f>IF($B$2&gt;3,$B$85/资产负债表!AQ89,"—")</f>
        <v>—</v>
      </c>
      <c r="I111" s="301" t="str">
        <f>IF($B$2&gt;3,$B$85/资产负债表!AR89,"—")</f>
        <v>—</v>
      </c>
      <c r="J111" s="301" t="str">
        <f>IF($B$2&gt;3,$B$85/资产负债表!AS89,"—")</f>
        <v>—</v>
      </c>
      <c r="K111" s="301" t="str">
        <f>IF($B$2&gt;3,$B$85/资产负债表!AT89,"—")</f>
        <v>—</v>
      </c>
    </row>
    <row r="112" spans="1:11" ht="16.5" hidden="1" customHeight="1" outlineLevel="1">
      <c r="A112" s="300" t="s">
        <v>629</v>
      </c>
      <c r="B112" s="301" t="str">
        <f ca="1">IF(ISERROR($B$85/利润表!AK8),"—",$B$85/利润表!AK8)</f>
        <v>—</v>
      </c>
      <c r="C112" s="301" t="str">
        <f ca="1">IF(ISERROR($B$85/利润表!AL8),"—",$B$85/利润表!AL8)</f>
        <v>—</v>
      </c>
      <c r="D112" s="301" t="str">
        <f ca="1">IF(ISERROR($B$85/利润表!AM8),"—",$B$85/利润表!AM8)</f>
        <v>—</v>
      </c>
      <c r="E112" s="302" t="str">
        <f>IF($B$2&gt;3,$B$85/利润表!AN8,"—")</f>
        <v>—</v>
      </c>
      <c r="F112" s="301" t="str">
        <f>IF($B$2&gt;3,$B$85/利润表!AO8,"—")</f>
        <v>—</v>
      </c>
      <c r="G112" s="301" t="str">
        <f>IF($B$2&gt;3,$B$85/利润表!AP8,"—")</f>
        <v>—</v>
      </c>
      <c r="H112" s="301" t="str">
        <f>IF($B$2&gt;3,$B$85/利润表!AQ8,"—")</f>
        <v>—</v>
      </c>
      <c r="I112" s="301" t="str">
        <f>IF($B$2&gt;3,$B$85/利润表!AR8,"—")</f>
        <v>—</v>
      </c>
      <c r="J112" s="301" t="str">
        <f>IF($B$2&gt;3,$B$85/利润表!AS8,"—")</f>
        <v>—</v>
      </c>
      <c r="K112" s="301" t="str">
        <f>IF($B$2&gt;3,$B$85/利润表!AT8,"—")</f>
        <v>—</v>
      </c>
    </row>
    <row r="113" spans="1:13" ht="16.5" hidden="1" customHeight="1" outlineLevel="1"/>
    <row r="114" spans="1:13" ht="16.5" customHeight="1" collapsed="1"/>
    <row r="115" spans="1:13" ht="16.5" customHeight="1">
      <c r="A115" s="253" t="s">
        <v>638</v>
      </c>
      <c r="B115" s="254" t="str">
        <f ca="1">B129</f>
        <v>—</v>
      </c>
      <c r="C115" s="303">
        <v>1</v>
      </c>
      <c r="D115" s="303">
        <v>2</v>
      </c>
      <c r="E115" s="303">
        <v>3</v>
      </c>
      <c r="F115" s="303">
        <v>4</v>
      </c>
      <c r="G115" s="303">
        <v>5</v>
      </c>
      <c r="H115" s="303">
        <v>6</v>
      </c>
      <c r="I115" s="303">
        <v>7</v>
      </c>
      <c r="J115" s="303">
        <v>8</v>
      </c>
      <c r="K115" s="303">
        <v>9</v>
      </c>
      <c r="L115" s="303">
        <v>10</v>
      </c>
    </row>
    <row r="116" spans="1:13" ht="16.5" hidden="1" customHeight="1" outlineLevel="1">
      <c r="A116" s="310"/>
      <c r="B116" s="304">
        <f t="shared" ref="B116:L116" si="25">B20</f>
        <v>2023</v>
      </c>
      <c r="C116" s="304" t="str">
        <f t="shared" si="25"/>
        <v>2024E</v>
      </c>
      <c r="D116" s="305">
        <f t="shared" si="25"/>
        <v>2025</v>
      </c>
      <c r="E116" s="305">
        <f t="shared" si="25"/>
        <v>2026</v>
      </c>
      <c r="F116" s="305">
        <f t="shared" si="25"/>
        <v>2027</v>
      </c>
      <c r="G116" s="305">
        <f t="shared" si="25"/>
        <v>2028</v>
      </c>
      <c r="H116" s="305">
        <f t="shared" si="25"/>
        <v>2029</v>
      </c>
      <c r="I116" s="305">
        <f t="shared" si="25"/>
        <v>2030</v>
      </c>
      <c r="J116" s="305">
        <f t="shared" si="25"/>
        <v>2031</v>
      </c>
      <c r="K116" s="305">
        <f t="shared" si="25"/>
        <v>2032</v>
      </c>
      <c r="L116" s="305">
        <f t="shared" si="25"/>
        <v>2033</v>
      </c>
      <c r="M116" s="312"/>
    </row>
    <row r="117" spans="1:13" ht="16.5" hidden="1" customHeight="1" outlineLevel="1">
      <c r="A117" s="162" t="s">
        <v>639</v>
      </c>
      <c r="B117" s="306">
        <f>资产预测!H163</f>
        <v>0</v>
      </c>
      <c r="C117" s="306">
        <f>IF($B$2&gt;=C115,资产预测!L163,"")</f>
        <v>0</v>
      </c>
      <c r="D117" s="306">
        <f>IF($B$2&gt;=D115,资产预测!M163,"")</f>
        <v>0</v>
      </c>
      <c r="E117" s="306">
        <f>IF($B$2&gt;=E115,资产预测!N163,"")</f>
        <v>0</v>
      </c>
      <c r="F117" s="306" t="str">
        <f>IF($B$2&gt;=F115,资产预测!O163,"")</f>
        <v/>
      </c>
      <c r="G117" s="306" t="str">
        <f>IF($B$2&gt;=G115,资产预测!P163,"")</f>
        <v/>
      </c>
      <c r="H117" s="306" t="str">
        <f>IF($B$2&gt;=H115,资产预测!Q163,"")</f>
        <v/>
      </c>
      <c r="I117" s="306" t="str">
        <f>IF($B$2&gt;=I115,资产预测!R163,"")</f>
        <v/>
      </c>
      <c r="J117" s="306" t="str">
        <f>IF($B$2&gt;=J115,资产预测!S163,"")</f>
        <v/>
      </c>
      <c r="K117" s="306" t="str">
        <f>IF($B$2&gt;=K115,资产预测!T163,"")</f>
        <v/>
      </c>
      <c r="L117" s="306" t="str">
        <f>IF($B$2&gt;=L115,资产预测!U163,"")</f>
        <v/>
      </c>
    </row>
    <row r="118" spans="1:13" ht="16.5" hidden="1" customHeight="1" outlineLevel="1">
      <c r="A118" s="162"/>
      <c r="B118" s="305">
        <f>INDEX(C116:L116,MATCH($B$2,C115:L115))+1</f>
        <v>2027</v>
      </c>
      <c r="C118" s="305">
        <f t="shared" ref="C118:L118" si="26">B118+1</f>
        <v>2028</v>
      </c>
      <c r="D118" s="305">
        <f t="shared" si="26"/>
        <v>2029</v>
      </c>
      <c r="E118" s="305">
        <f t="shared" si="26"/>
        <v>2030</v>
      </c>
      <c r="F118" s="305">
        <f t="shared" si="26"/>
        <v>2031</v>
      </c>
      <c r="G118" s="305">
        <f t="shared" si="26"/>
        <v>2032</v>
      </c>
      <c r="H118" s="305">
        <f t="shared" si="26"/>
        <v>2033</v>
      </c>
      <c r="I118" s="305">
        <f t="shared" si="26"/>
        <v>2034</v>
      </c>
      <c r="J118" s="305">
        <f t="shared" si="26"/>
        <v>2035</v>
      </c>
      <c r="K118" s="305">
        <f t="shared" si="26"/>
        <v>2036</v>
      </c>
      <c r="L118" s="305">
        <f t="shared" si="26"/>
        <v>2037</v>
      </c>
    </row>
    <row r="119" spans="1:13" ht="16.5" hidden="1" customHeight="1" outlineLevel="1">
      <c r="A119" s="162" t="s">
        <v>640</v>
      </c>
      <c r="B119" s="306">
        <f>IF($B3&gt;0,INDEX(C117:L117,MATCH(B2,C115:L115))*(1+B4),0)</f>
        <v>0</v>
      </c>
      <c r="C119" s="306" t="str">
        <f t="shared" ref="C119:L119" si="27">IF(($B3-C115)&gt;0,B119*(1+$B4),"")</f>
        <v/>
      </c>
      <c r="D119" s="306" t="str">
        <f t="shared" si="27"/>
        <v/>
      </c>
      <c r="E119" s="306" t="str">
        <f t="shared" si="27"/>
        <v/>
      </c>
      <c r="F119" s="306" t="str">
        <f t="shared" si="27"/>
        <v/>
      </c>
      <c r="G119" s="306" t="str">
        <f t="shared" si="27"/>
        <v/>
      </c>
      <c r="H119" s="306" t="str">
        <f t="shared" si="27"/>
        <v/>
      </c>
      <c r="I119" s="306" t="str">
        <f t="shared" si="27"/>
        <v/>
      </c>
      <c r="J119" s="306" t="str">
        <f t="shared" si="27"/>
        <v/>
      </c>
      <c r="K119" s="306" t="str">
        <f t="shared" si="27"/>
        <v/>
      </c>
      <c r="L119" s="306" t="str">
        <f t="shared" si="27"/>
        <v/>
      </c>
    </row>
    <row r="120" spans="1:13" ht="16.5" hidden="1" customHeight="1" outlineLevel="1"/>
    <row r="121" spans="1:13" ht="16.5" hidden="1" customHeight="1" outlineLevel="1"/>
    <row r="122" spans="1:13" ht="16.5" hidden="1" customHeight="1" outlineLevel="1"/>
    <row r="123" spans="1:13" ht="16.5" hidden="1" customHeight="1" outlineLevel="1">
      <c r="B123" s="311"/>
    </row>
    <row r="124" spans="1:13" ht="16.5" hidden="1" customHeight="1" outlineLevel="1">
      <c r="A124" s="97" t="s">
        <v>641</v>
      </c>
      <c r="B124" s="262">
        <f ca="1">(C117+NPV(B15,D117:L117))/(1+B15)^(B10/12)</f>
        <v>0</v>
      </c>
    </row>
    <row r="125" spans="1:13" ht="16.5" hidden="1" customHeight="1" outlineLevel="1">
      <c r="A125" s="97" t="s">
        <v>642</v>
      </c>
      <c r="B125" s="262">
        <f>IF(B3=0,0,NPV(B15,B119:L119)/(1+B15)^(B2-1+B10/12))</f>
        <v>0</v>
      </c>
    </row>
    <row r="126" spans="1:13" ht="16.5" hidden="1" customHeight="1" outlineLevel="1">
      <c r="A126" s="97" t="s">
        <v>643</v>
      </c>
      <c r="B126" s="262">
        <f ca="1">INDEX(C117:L117,MATCH(B2,C115:L115))*(1+B4)^B3*(1+B5)/(B15-B5)/(POWER((1+B15),B2+B3-1+B10/12))</f>
        <v>0</v>
      </c>
    </row>
    <row r="127" spans="1:13" ht="16.5" hidden="1" customHeight="1" outlineLevel="1">
      <c r="A127" s="162" t="s">
        <v>620</v>
      </c>
      <c r="B127" s="264">
        <f ca="1">SUM(B124:B126)</f>
        <v>0</v>
      </c>
    </row>
    <row r="128" spans="1:13" ht="16.5" hidden="1" customHeight="1" outlineLevel="1">
      <c r="A128" s="97" t="s">
        <v>621</v>
      </c>
      <c r="B128" s="174" t="e">
        <f>目录!F7*1000000*目录!D6</f>
        <v>#VALUE!</v>
      </c>
    </row>
    <row r="129" spans="1:9" ht="16.5" hidden="1" customHeight="1" outlineLevel="1">
      <c r="A129" s="307" t="s">
        <v>622</v>
      </c>
      <c r="B129" s="308" t="str">
        <f ca="1">IF(ISERROR(B127/B128),"—",B127/B128)</f>
        <v>—</v>
      </c>
    </row>
    <row r="130" spans="1:9" ht="16.5" hidden="1" customHeight="1" outlineLevel="1" thickBot="1"/>
    <row r="131" spans="1:9" ht="16.5" hidden="1" customHeight="1" outlineLevel="1">
      <c r="A131" s="276"/>
      <c r="B131" s="277" t="s">
        <v>623</v>
      </c>
      <c r="C131" s="278"/>
      <c r="D131" s="279">
        <v>5.0000000000000001E-3</v>
      </c>
      <c r="E131" s="280"/>
      <c r="F131" s="280"/>
      <c r="G131" s="280"/>
      <c r="H131" s="280"/>
      <c r="I131" s="296"/>
    </row>
    <row r="132" spans="1:9" ht="16.5" hidden="1" customHeight="1" outlineLevel="1" thickBot="1">
      <c r="A132" s="281"/>
      <c r="B132" s="282" t="s">
        <v>624</v>
      </c>
      <c r="C132" s="283"/>
      <c r="D132" s="284">
        <v>5.0000000000000001E-3</v>
      </c>
      <c r="E132" s="285"/>
      <c r="F132" s="285"/>
      <c r="G132" s="285"/>
      <c r="H132" s="285"/>
      <c r="I132" s="297"/>
    </row>
    <row r="133" spans="1:9" ht="16.5" hidden="1" customHeight="1" outlineLevel="1">
      <c r="A133" s="1171" t="s">
        <v>625</v>
      </c>
      <c r="B133" s="286" t="str">
        <f ca="1">B129</f>
        <v>—</v>
      </c>
      <c r="C133" s="287">
        <f>D133-$D$131</f>
        <v>-1.4999999999999999E-2</v>
      </c>
      <c r="D133" s="287">
        <f>E133-$D$131</f>
        <v>-0.01</v>
      </c>
      <c r="E133" s="287">
        <f>F133-$D$131</f>
        <v>-5.0000000000000001E-3</v>
      </c>
      <c r="F133" s="288">
        <f>B15</f>
        <v>0</v>
      </c>
      <c r="G133" s="287">
        <f>F133+$D$131</f>
        <v>5.0000000000000001E-3</v>
      </c>
      <c r="H133" s="287">
        <f>G133+$D$131</f>
        <v>0.01</v>
      </c>
      <c r="I133" s="298">
        <f>H133+$D$131</f>
        <v>1.4999999999999999E-2</v>
      </c>
    </row>
    <row r="134" spans="1:9" ht="16.5" hidden="1" customHeight="1" outlineLevel="1">
      <c r="A134" s="1172"/>
      <c r="B134" s="289">
        <f>B135-$D$132</f>
        <v>4.9999999999999984E-3</v>
      </c>
      <c r="C134" s="174" t="e">
        <f t="shared" ref="C134:I140" ca="1" si="28">(($C$117+NPV(C$133,$D$117:$L$117))/(1+C$133)^($B$10/12)+NPV(C$133,$B$119:$L$119)/(1+C$133)^($B$2-1+$B$10/12)+INDEX($C$117:$L$117,MATCH($B$2,$C$115:$L$115))*(1+$B$4)^$B$3*(1+$B134)/(C$133-$B134)/(POWER((1+C$133),$B$2+$B$3-1+$B$10/12)))/$B$128</f>
        <v>#VALUE!</v>
      </c>
      <c r="D134" s="174" t="e">
        <f t="shared" ca="1" si="28"/>
        <v>#VALUE!</v>
      </c>
      <c r="E134" s="174" t="e">
        <f t="shared" ca="1" si="28"/>
        <v>#VALUE!</v>
      </c>
      <c r="F134" s="290" t="e">
        <f t="shared" ca="1" si="28"/>
        <v>#VALUE!</v>
      </c>
      <c r="G134" s="174" t="e">
        <f t="shared" ca="1" si="28"/>
        <v>#VALUE!</v>
      </c>
      <c r="H134" s="174" t="e">
        <f t="shared" ca="1" si="28"/>
        <v>#VALUE!</v>
      </c>
      <c r="I134" s="193" t="e">
        <f t="shared" ca="1" si="28"/>
        <v>#VALUE!</v>
      </c>
    </row>
    <row r="135" spans="1:9" ht="16.5" hidden="1" customHeight="1" outlineLevel="1">
      <c r="A135" s="1172"/>
      <c r="B135" s="289">
        <f>B136-$D$132</f>
        <v>9.9999999999999985E-3</v>
      </c>
      <c r="C135" s="174" t="e">
        <f t="shared" ca="1" si="28"/>
        <v>#VALUE!</v>
      </c>
      <c r="D135" s="174" t="e">
        <f t="shared" ca="1" si="28"/>
        <v>#VALUE!</v>
      </c>
      <c r="E135" s="174" t="e">
        <f t="shared" ca="1" si="28"/>
        <v>#VALUE!</v>
      </c>
      <c r="F135" s="290" t="e">
        <f t="shared" ca="1" si="28"/>
        <v>#VALUE!</v>
      </c>
      <c r="G135" s="174" t="e">
        <f t="shared" ca="1" si="28"/>
        <v>#VALUE!</v>
      </c>
      <c r="H135" s="174" t="e">
        <f t="shared" ca="1" si="28"/>
        <v>#VALUE!</v>
      </c>
      <c r="I135" s="193" t="e">
        <f t="shared" ca="1" si="28"/>
        <v>#VALUE!</v>
      </c>
    </row>
    <row r="136" spans="1:9" ht="16.5" hidden="1" customHeight="1" outlineLevel="1">
      <c r="A136" s="1172"/>
      <c r="B136" s="289">
        <f>B137-$D$132</f>
        <v>1.4999999999999999E-2</v>
      </c>
      <c r="C136" s="174" t="e">
        <f t="shared" ca="1" si="28"/>
        <v>#VALUE!</v>
      </c>
      <c r="D136" s="174" t="e">
        <f t="shared" ca="1" si="28"/>
        <v>#VALUE!</v>
      </c>
      <c r="E136" s="174" t="e">
        <f t="shared" ca="1" si="28"/>
        <v>#VALUE!</v>
      </c>
      <c r="F136" s="290" t="e">
        <f t="shared" ca="1" si="28"/>
        <v>#VALUE!</v>
      </c>
      <c r="G136" s="174" t="e">
        <f t="shared" ca="1" si="28"/>
        <v>#VALUE!</v>
      </c>
      <c r="H136" s="174" t="e">
        <f t="shared" ca="1" si="28"/>
        <v>#VALUE!</v>
      </c>
      <c r="I136" s="193" t="e">
        <f t="shared" ca="1" si="28"/>
        <v>#DIV/0!</v>
      </c>
    </row>
    <row r="137" spans="1:9" ht="16.5" hidden="1" customHeight="1" outlineLevel="1">
      <c r="A137" s="1172"/>
      <c r="B137" s="291">
        <f>B5</f>
        <v>0.02</v>
      </c>
      <c r="C137" s="290" t="e">
        <f t="shared" ca="1" si="28"/>
        <v>#VALUE!</v>
      </c>
      <c r="D137" s="290" t="e">
        <f t="shared" ca="1" si="28"/>
        <v>#VALUE!</v>
      </c>
      <c r="E137" s="290" t="e">
        <f t="shared" ca="1" si="28"/>
        <v>#VALUE!</v>
      </c>
      <c r="F137" s="290" t="e">
        <f t="shared" ca="1" si="28"/>
        <v>#VALUE!</v>
      </c>
      <c r="G137" s="290" t="e">
        <f t="shared" ca="1" si="28"/>
        <v>#VALUE!</v>
      </c>
      <c r="H137" s="290" t="e">
        <f t="shared" ca="1" si="28"/>
        <v>#VALUE!</v>
      </c>
      <c r="I137" s="299" t="e">
        <f t="shared" ca="1" si="28"/>
        <v>#VALUE!</v>
      </c>
    </row>
    <row r="138" spans="1:9" ht="16.5" hidden="1" customHeight="1" outlineLevel="1">
      <c r="A138" s="1172"/>
      <c r="B138" s="289">
        <f>B137+$D$132</f>
        <v>2.5000000000000001E-2</v>
      </c>
      <c r="C138" s="174" t="e">
        <f t="shared" ca="1" si="28"/>
        <v>#VALUE!</v>
      </c>
      <c r="D138" s="174" t="e">
        <f t="shared" ca="1" si="28"/>
        <v>#VALUE!</v>
      </c>
      <c r="E138" s="174" t="e">
        <f t="shared" ca="1" si="28"/>
        <v>#VALUE!</v>
      </c>
      <c r="F138" s="290" t="e">
        <f t="shared" ca="1" si="28"/>
        <v>#VALUE!</v>
      </c>
      <c r="G138" s="174" t="e">
        <f t="shared" ca="1" si="28"/>
        <v>#VALUE!</v>
      </c>
      <c r="H138" s="174" t="e">
        <f t="shared" ca="1" si="28"/>
        <v>#VALUE!</v>
      </c>
      <c r="I138" s="193" t="e">
        <f t="shared" ca="1" si="28"/>
        <v>#VALUE!</v>
      </c>
    </row>
    <row r="139" spans="1:9" ht="16.5" hidden="1" customHeight="1" outlineLevel="1">
      <c r="A139" s="1172"/>
      <c r="B139" s="289">
        <f>B138+$D$132</f>
        <v>3.0000000000000002E-2</v>
      </c>
      <c r="C139" s="174" t="e">
        <f t="shared" ca="1" si="28"/>
        <v>#VALUE!</v>
      </c>
      <c r="D139" s="174" t="e">
        <f t="shared" ca="1" si="28"/>
        <v>#VALUE!</v>
      </c>
      <c r="E139" s="174" t="e">
        <f t="shared" ca="1" si="28"/>
        <v>#VALUE!</v>
      </c>
      <c r="F139" s="290" t="e">
        <f t="shared" ca="1" si="28"/>
        <v>#VALUE!</v>
      </c>
      <c r="G139" s="174" t="e">
        <f t="shared" ca="1" si="28"/>
        <v>#VALUE!</v>
      </c>
      <c r="H139" s="174" t="e">
        <f t="shared" ca="1" si="28"/>
        <v>#VALUE!</v>
      </c>
      <c r="I139" s="193" t="e">
        <f t="shared" ca="1" si="28"/>
        <v>#VALUE!</v>
      </c>
    </row>
    <row r="140" spans="1:9" ht="16.5" hidden="1" customHeight="1" outlineLevel="1" thickBot="1">
      <c r="A140" s="1173"/>
      <c r="B140" s="292">
        <f>B139+$D$132</f>
        <v>3.5000000000000003E-2</v>
      </c>
      <c r="C140" s="176" t="e">
        <f t="shared" ca="1" si="28"/>
        <v>#VALUE!</v>
      </c>
      <c r="D140" s="176" t="e">
        <f t="shared" ca="1" si="28"/>
        <v>#VALUE!</v>
      </c>
      <c r="E140" s="176" t="e">
        <f t="shared" ca="1" si="28"/>
        <v>#VALUE!</v>
      </c>
      <c r="F140" s="293" t="e">
        <f t="shared" ca="1" si="28"/>
        <v>#VALUE!</v>
      </c>
      <c r="G140" s="176" t="e">
        <f t="shared" ca="1" si="28"/>
        <v>#VALUE!</v>
      </c>
      <c r="H140" s="176" t="e">
        <f t="shared" ca="1" si="28"/>
        <v>#VALUE!</v>
      </c>
      <c r="I140" s="194" t="e">
        <f t="shared" ca="1" si="28"/>
        <v>#VALUE!</v>
      </c>
    </row>
    <row r="141" spans="1:9" ht="16.5" hidden="1" customHeight="1" outlineLevel="1">
      <c r="A141" s="1171" t="s">
        <v>626</v>
      </c>
      <c r="B141" s="286">
        <f ca="1">B127</f>
        <v>0</v>
      </c>
      <c r="C141" s="287">
        <f>C133</f>
        <v>-1.4999999999999999E-2</v>
      </c>
      <c r="D141" s="287">
        <f t="shared" ref="D141:I141" si="29">D133</f>
        <v>-0.01</v>
      </c>
      <c r="E141" s="287">
        <f t="shared" si="29"/>
        <v>-5.0000000000000001E-3</v>
      </c>
      <c r="F141" s="288">
        <f t="shared" si="29"/>
        <v>0</v>
      </c>
      <c r="G141" s="287">
        <f t="shared" si="29"/>
        <v>5.0000000000000001E-3</v>
      </c>
      <c r="H141" s="287">
        <f t="shared" si="29"/>
        <v>0.01</v>
      </c>
      <c r="I141" s="298">
        <f t="shared" si="29"/>
        <v>1.4999999999999999E-2</v>
      </c>
    </row>
    <row r="142" spans="1:9" ht="16.5" hidden="1" customHeight="1" outlineLevel="1">
      <c r="A142" s="1172"/>
      <c r="B142" s="289">
        <f>B134</f>
        <v>4.9999999999999984E-3</v>
      </c>
      <c r="C142" s="174" t="e">
        <f t="shared" ref="C142:I148" ca="1" si="30">C134*$B$128</f>
        <v>#VALUE!</v>
      </c>
      <c r="D142" s="174" t="e">
        <f t="shared" ca="1" si="30"/>
        <v>#VALUE!</v>
      </c>
      <c r="E142" s="174" t="e">
        <f t="shared" ca="1" si="30"/>
        <v>#VALUE!</v>
      </c>
      <c r="F142" s="290" t="e">
        <f t="shared" ca="1" si="30"/>
        <v>#VALUE!</v>
      </c>
      <c r="G142" s="174" t="e">
        <f t="shared" ca="1" si="30"/>
        <v>#VALUE!</v>
      </c>
      <c r="H142" s="174" t="e">
        <f t="shared" ca="1" si="30"/>
        <v>#VALUE!</v>
      </c>
      <c r="I142" s="193" t="e">
        <f t="shared" ca="1" si="30"/>
        <v>#VALUE!</v>
      </c>
    </row>
    <row r="143" spans="1:9" ht="16.5" hidden="1" customHeight="1" outlineLevel="1">
      <c r="A143" s="1172"/>
      <c r="B143" s="289">
        <f t="shared" ref="B143:B148" si="31">B135</f>
        <v>9.9999999999999985E-3</v>
      </c>
      <c r="C143" s="174" t="e">
        <f t="shared" ca="1" si="30"/>
        <v>#VALUE!</v>
      </c>
      <c r="D143" s="174" t="e">
        <f t="shared" ca="1" si="30"/>
        <v>#VALUE!</v>
      </c>
      <c r="E143" s="174" t="e">
        <f t="shared" ca="1" si="30"/>
        <v>#VALUE!</v>
      </c>
      <c r="F143" s="290" t="e">
        <f t="shared" ca="1" si="30"/>
        <v>#VALUE!</v>
      </c>
      <c r="G143" s="174" t="e">
        <f t="shared" ca="1" si="30"/>
        <v>#VALUE!</v>
      </c>
      <c r="H143" s="174" t="e">
        <f t="shared" ca="1" si="30"/>
        <v>#VALUE!</v>
      </c>
      <c r="I143" s="193" t="e">
        <f t="shared" ca="1" si="30"/>
        <v>#VALUE!</v>
      </c>
    </row>
    <row r="144" spans="1:9" ht="16.5" hidden="1" customHeight="1" outlineLevel="1">
      <c r="A144" s="1172"/>
      <c r="B144" s="289">
        <f t="shared" si="31"/>
        <v>1.4999999999999999E-2</v>
      </c>
      <c r="C144" s="174" t="e">
        <f t="shared" ca="1" si="30"/>
        <v>#VALUE!</v>
      </c>
      <c r="D144" s="174" t="e">
        <f t="shared" ca="1" si="30"/>
        <v>#VALUE!</v>
      </c>
      <c r="E144" s="174" t="e">
        <f t="shared" ca="1" si="30"/>
        <v>#VALUE!</v>
      </c>
      <c r="F144" s="290" t="e">
        <f t="shared" ca="1" si="30"/>
        <v>#VALUE!</v>
      </c>
      <c r="G144" s="174" t="e">
        <f t="shared" ca="1" si="30"/>
        <v>#VALUE!</v>
      </c>
      <c r="H144" s="174" t="e">
        <f t="shared" ca="1" si="30"/>
        <v>#VALUE!</v>
      </c>
      <c r="I144" s="193" t="e">
        <f t="shared" ca="1" si="30"/>
        <v>#DIV/0!</v>
      </c>
    </row>
    <row r="145" spans="1:12" ht="16.5" hidden="1" customHeight="1" outlineLevel="1">
      <c r="A145" s="1172"/>
      <c r="B145" s="291">
        <f t="shared" si="31"/>
        <v>0.02</v>
      </c>
      <c r="C145" s="290" t="e">
        <f t="shared" ca="1" si="30"/>
        <v>#VALUE!</v>
      </c>
      <c r="D145" s="290" t="e">
        <f t="shared" ca="1" si="30"/>
        <v>#VALUE!</v>
      </c>
      <c r="E145" s="290" t="e">
        <f t="shared" ca="1" si="30"/>
        <v>#VALUE!</v>
      </c>
      <c r="F145" s="290" t="e">
        <f t="shared" ca="1" si="30"/>
        <v>#VALUE!</v>
      </c>
      <c r="G145" s="290" t="e">
        <f t="shared" ca="1" si="30"/>
        <v>#VALUE!</v>
      </c>
      <c r="H145" s="290" t="e">
        <f t="shared" ca="1" si="30"/>
        <v>#VALUE!</v>
      </c>
      <c r="I145" s="299" t="e">
        <f t="shared" ca="1" si="30"/>
        <v>#VALUE!</v>
      </c>
    </row>
    <row r="146" spans="1:12" ht="16.5" hidden="1" customHeight="1" outlineLevel="1">
      <c r="A146" s="1172"/>
      <c r="B146" s="289">
        <f t="shared" si="31"/>
        <v>2.5000000000000001E-2</v>
      </c>
      <c r="C146" s="174" t="e">
        <f t="shared" ca="1" si="30"/>
        <v>#VALUE!</v>
      </c>
      <c r="D146" s="174" t="e">
        <f t="shared" ca="1" si="30"/>
        <v>#VALUE!</v>
      </c>
      <c r="E146" s="174" t="e">
        <f t="shared" ca="1" si="30"/>
        <v>#VALUE!</v>
      </c>
      <c r="F146" s="290" t="e">
        <f t="shared" ca="1" si="30"/>
        <v>#VALUE!</v>
      </c>
      <c r="G146" s="174" t="e">
        <f t="shared" ca="1" si="30"/>
        <v>#VALUE!</v>
      </c>
      <c r="H146" s="174" t="e">
        <f t="shared" ca="1" si="30"/>
        <v>#VALUE!</v>
      </c>
      <c r="I146" s="193" t="e">
        <f t="shared" ca="1" si="30"/>
        <v>#VALUE!</v>
      </c>
    </row>
    <row r="147" spans="1:12" ht="16.5" hidden="1" customHeight="1" outlineLevel="1">
      <c r="A147" s="1172"/>
      <c r="B147" s="289">
        <f t="shared" si="31"/>
        <v>3.0000000000000002E-2</v>
      </c>
      <c r="C147" s="174" t="e">
        <f t="shared" ca="1" si="30"/>
        <v>#VALUE!</v>
      </c>
      <c r="D147" s="174" t="e">
        <f t="shared" ca="1" si="30"/>
        <v>#VALUE!</v>
      </c>
      <c r="E147" s="174" t="e">
        <f t="shared" ca="1" si="30"/>
        <v>#VALUE!</v>
      </c>
      <c r="F147" s="290" t="e">
        <f t="shared" ca="1" si="30"/>
        <v>#VALUE!</v>
      </c>
      <c r="G147" s="174" t="e">
        <f t="shared" ca="1" si="30"/>
        <v>#VALUE!</v>
      </c>
      <c r="H147" s="174" t="e">
        <f t="shared" ca="1" si="30"/>
        <v>#VALUE!</v>
      </c>
      <c r="I147" s="193" t="e">
        <f t="shared" ca="1" si="30"/>
        <v>#VALUE!</v>
      </c>
    </row>
    <row r="148" spans="1:12" ht="16.5" hidden="1" customHeight="1" outlineLevel="1" thickBot="1">
      <c r="A148" s="1173"/>
      <c r="B148" s="292">
        <f t="shared" si="31"/>
        <v>3.5000000000000003E-2</v>
      </c>
      <c r="C148" s="176" t="e">
        <f t="shared" ca="1" si="30"/>
        <v>#VALUE!</v>
      </c>
      <c r="D148" s="176" t="e">
        <f t="shared" ca="1" si="30"/>
        <v>#VALUE!</v>
      </c>
      <c r="E148" s="176" t="e">
        <f t="shared" ca="1" si="30"/>
        <v>#VALUE!</v>
      </c>
      <c r="F148" s="293" t="e">
        <f t="shared" ca="1" si="30"/>
        <v>#VALUE!</v>
      </c>
      <c r="G148" s="176" t="e">
        <f t="shared" ca="1" si="30"/>
        <v>#VALUE!</v>
      </c>
      <c r="H148" s="176" t="e">
        <f t="shared" ca="1" si="30"/>
        <v>#VALUE!</v>
      </c>
      <c r="I148" s="194" t="e">
        <f t="shared" ca="1" si="30"/>
        <v>#VALUE!</v>
      </c>
    </row>
    <row r="149" spans="1:12" ht="16.5" hidden="1" customHeight="1" outlineLevel="1"/>
    <row r="150" spans="1:12" ht="16.5" hidden="1" customHeight="1" outlineLevel="1"/>
    <row r="151" spans="1:12" ht="16.5" hidden="1" customHeight="1" outlineLevel="1">
      <c r="A151" s="309"/>
      <c r="B151" s="295" t="str">
        <f t="shared" ref="B151:K151" si="32">C116</f>
        <v>2024E</v>
      </c>
      <c r="C151" s="295">
        <f t="shared" si="32"/>
        <v>2025</v>
      </c>
      <c r="D151" s="295">
        <f t="shared" si="32"/>
        <v>2026</v>
      </c>
      <c r="E151" s="295">
        <f t="shared" si="32"/>
        <v>2027</v>
      </c>
      <c r="F151" s="295">
        <f t="shared" si="32"/>
        <v>2028</v>
      </c>
      <c r="G151" s="295">
        <f t="shared" si="32"/>
        <v>2029</v>
      </c>
      <c r="H151" s="295">
        <f t="shared" si="32"/>
        <v>2030</v>
      </c>
      <c r="I151" s="295">
        <f t="shared" si="32"/>
        <v>2031</v>
      </c>
      <c r="J151" s="295">
        <f t="shared" si="32"/>
        <v>2032</v>
      </c>
      <c r="K151" s="295">
        <f t="shared" si="32"/>
        <v>2033</v>
      </c>
    </row>
    <row r="152" spans="1:12" ht="16.5" hidden="1" customHeight="1" outlineLevel="1">
      <c r="A152" s="300" t="s">
        <v>627</v>
      </c>
      <c r="B152" s="301" t="str">
        <f ca="1">IF(ISERROR($B$127/利润表!AK94),"—",$B$127/利润表!AK94)</f>
        <v>—</v>
      </c>
      <c r="C152" s="301" t="str">
        <f ca="1">IF(ISERROR($B$127/利润表!AL94),"—",$B$127/利润表!AL94)</f>
        <v>—</v>
      </c>
      <c r="D152" s="301" t="str">
        <f ca="1">IF(ISERROR($B$127/利润表!AM94),"—",$B$127/利润表!AM94)</f>
        <v>—</v>
      </c>
      <c r="E152" s="302" t="str">
        <f>IF($B$2&gt;3,$B$127/利润表!AN94,"—")</f>
        <v>—</v>
      </c>
      <c r="F152" s="301" t="str">
        <f>IF($B$2&gt;3,$B$127/利润表!AO94,"—")</f>
        <v>—</v>
      </c>
      <c r="G152" s="301" t="str">
        <f>IF($B$2&gt;3,$B$127/利润表!AP94,"—")</f>
        <v>—</v>
      </c>
      <c r="H152" s="301" t="str">
        <f>IF($B$2&gt;3,$B$127/利润表!AQ94,"—")</f>
        <v>—</v>
      </c>
      <c r="I152" s="301" t="str">
        <f>IF($B$2&gt;3,$B$127/利润表!AR94,"—")</f>
        <v>—</v>
      </c>
      <c r="J152" s="301" t="str">
        <f>IF($B$2&gt;3,$B$127/利润表!AS94,"—")</f>
        <v>—</v>
      </c>
      <c r="K152" s="301" t="str">
        <f>IF($B$2&gt;3,$B$127/利润表!AT94,"—")</f>
        <v>—</v>
      </c>
    </row>
    <row r="153" spans="1:12" ht="16.5" hidden="1" customHeight="1" outlineLevel="1">
      <c r="A153" s="300" t="s">
        <v>628</v>
      </c>
      <c r="B153" s="301" t="str">
        <f ca="1">IF(ISERROR($B$127/资产负债表!AK89),"—",$B$127/资产负债表!AK89)</f>
        <v>—</v>
      </c>
      <c r="C153" s="301" t="str">
        <f ca="1">IF(ISERROR($B$127/资产负债表!AL89),"—",$B$127/资产负债表!AL89)</f>
        <v>—</v>
      </c>
      <c r="D153" s="301" t="str">
        <f ca="1">IF(ISERROR($B$127/资产负债表!AM89),"—",$B$127/资产负债表!AM89)</f>
        <v>—</v>
      </c>
      <c r="E153" s="302" t="str">
        <f>IF($B$2&gt;3,$B$127/资产负债表!AN89,"—")</f>
        <v>—</v>
      </c>
      <c r="F153" s="301" t="str">
        <f>IF($B$2&gt;3,$B$127/资产负债表!AO89,"—")</f>
        <v>—</v>
      </c>
      <c r="G153" s="301" t="str">
        <f>IF($B$2&gt;3,$B$127/资产负债表!AP89,"—")</f>
        <v>—</v>
      </c>
      <c r="H153" s="301" t="str">
        <f>IF($B$2&gt;3,$B$127/资产负债表!AQ89,"—")</f>
        <v>—</v>
      </c>
      <c r="I153" s="301" t="str">
        <f>IF($B$2&gt;3,$B$127/资产负债表!AR89,"—")</f>
        <v>—</v>
      </c>
      <c r="J153" s="301" t="str">
        <f>IF($B$2&gt;3,$B$127/资产负债表!AS89,"—")</f>
        <v>—</v>
      </c>
      <c r="K153" s="301" t="str">
        <f>IF($B$2&gt;3,$B$127/资产负债表!AT89,"—")</f>
        <v>—</v>
      </c>
    </row>
    <row r="154" spans="1:12" ht="16.5" hidden="1" customHeight="1" outlineLevel="1">
      <c r="A154" s="300" t="s">
        <v>629</v>
      </c>
      <c r="B154" s="301" t="str">
        <f ca="1">IF(ISERROR($B$127/利润表!AK8),"—",$B$127/利润表!AK8)</f>
        <v>—</v>
      </c>
      <c r="C154" s="301" t="str">
        <f ca="1">IF(ISERROR($B$127/利润表!AL8),"—",$B$127/利润表!AL8)</f>
        <v>—</v>
      </c>
      <c r="D154" s="301" t="str">
        <f ca="1">IF(ISERROR($B$127/利润表!AM8),"—",$B$127/利润表!AM8)</f>
        <v>—</v>
      </c>
      <c r="E154" s="302" t="str">
        <f>IF($B$2&gt;3,$B$127/利润表!AN8,"—")</f>
        <v>—</v>
      </c>
      <c r="F154" s="301" t="str">
        <f>IF($B$2&gt;3,$B$127/利润表!AO8,"—")</f>
        <v>—</v>
      </c>
      <c r="G154" s="301" t="str">
        <f>IF($B$2&gt;3,$B$127/利润表!AP8,"—")</f>
        <v>—</v>
      </c>
      <c r="H154" s="301" t="str">
        <f>IF($B$2&gt;3,$B$127/利润表!AQ8,"—")</f>
        <v>—</v>
      </c>
      <c r="I154" s="301" t="str">
        <f>IF($B$2&gt;3,$B$127/利润表!AR8,"—")</f>
        <v>—</v>
      </c>
      <c r="J154" s="301" t="str">
        <f>IF($B$2&gt;3,$B$127/利润表!AS8,"—")</f>
        <v>—</v>
      </c>
      <c r="K154" s="301" t="str">
        <f>IF($B$2&gt;3,$B$127/利润表!AT8,"—")</f>
        <v>—</v>
      </c>
    </row>
    <row r="155" spans="1:12" ht="16.5" hidden="1" customHeight="1" outlineLevel="1"/>
    <row r="156" spans="1:12" ht="16.5" customHeight="1" collapsed="1">
      <c r="B156" s="202"/>
      <c r="C156" s="96"/>
      <c r="D156" s="96"/>
      <c r="E156" s="96"/>
      <c r="F156" s="96"/>
      <c r="G156" s="96"/>
      <c r="H156" s="96"/>
      <c r="I156" s="96"/>
      <c r="J156" s="96"/>
      <c r="K156" s="96"/>
      <c r="L156" s="96"/>
    </row>
    <row r="157" spans="1:12" ht="16.5" customHeight="1">
      <c r="A157" s="253" t="s">
        <v>644</v>
      </c>
      <c r="B157" s="254" t="str">
        <f ca="1">B175</f>
        <v>—</v>
      </c>
      <c r="C157" s="303">
        <v>1</v>
      </c>
      <c r="D157" s="303">
        <v>2</v>
      </c>
      <c r="E157" s="303">
        <v>3</v>
      </c>
      <c r="F157" s="303">
        <v>4</v>
      </c>
      <c r="G157" s="303">
        <v>5</v>
      </c>
      <c r="H157" s="303">
        <v>6</v>
      </c>
      <c r="I157" s="303">
        <v>7</v>
      </c>
      <c r="J157" s="303">
        <v>8</v>
      </c>
      <c r="K157" s="303">
        <v>9</v>
      </c>
      <c r="L157" s="303">
        <v>10</v>
      </c>
    </row>
    <row r="158" spans="1:12" ht="16.5" hidden="1" customHeight="1" outlineLevel="1">
      <c r="B158" s="304">
        <f t="shared" ref="B158:L158" si="33">B20</f>
        <v>2023</v>
      </c>
      <c r="C158" s="304" t="str">
        <f t="shared" si="33"/>
        <v>2024E</v>
      </c>
      <c r="D158" s="305">
        <f t="shared" si="33"/>
        <v>2025</v>
      </c>
      <c r="E158" s="305">
        <f t="shared" si="33"/>
        <v>2026</v>
      </c>
      <c r="F158" s="305">
        <f t="shared" si="33"/>
        <v>2027</v>
      </c>
      <c r="G158" s="305">
        <f t="shared" si="33"/>
        <v>2028</v>
      </c>
      <c r="H158" s="305">
        <f t="shared" si="33"/>
        <v>2029</v>
      </c>
      <c r="I158" s="305">
        <f t="shared" si="33"/>
        <v>2030</v>
      </c>
      <c r="J158" s="305">
        <f t="shared" si="33"/>
        <v>2031</v>
      </c>
      <c r="K158" s="305">
        <f t="shared" si="33"/>
        <v>2032</v>
      </c>
      <c r="L158" s="305">
        <f t="shared" si="33"/>
        <v>2033</v>
      </c>
    </row>
    <row r="159" spans="1:12" ht="16.5" hidden="1" customHeight="1" outlineLevel="1">
      <c r="A159" s="97" t="s">
        <v>456</v>
      </c>
      <c r="B159" s="313">
        <f>IF(ISERROR(利润表!AG45),"—",利润表!AG45)</f>
        <v>0</v>
      </c>
      <c r="C159" s="314">
        <f>IF(ISERROR(利润表!AK45),"—",利润表!AK45)</f>
        <v>0</v>
      </c>
      <c r="D159" s="314">
        <f>IF(ISERROR(利润表!AL45),"—",利润表!AL45)</f>
        <v>0</v>
      </c>
      <c r="E159" s="314">
        <f>IF(ISERROR(利润表!AM45),"—",利润表!AM45)</f>
        <v>0</v>
      </c>
      <c r="F159" s="314">
        <f>IF(ISERROR(利润表!AN45),"—",利润表!AN45)</f>
        <v>0</v>
      </c>
      <c r="G159" s="314">
        <f>IF(ISERROR(利润表!AO45),"—",利润表!AO45)</f>
        <v>0</v>
      </c>
      <c r="H159" s="314">
        <f>IF(ISERROR(利润表!AP45),"—",利润表!AP45)</f>
        <v>0</v>
      </c>
      <c r="I159" s="314">
        <f>IF(ISERROR(利润表!AQ45),"—",利润表!AQ45)</f>
        <v>0</v>
      </c>
      <c r="J159" s="314">
        <f>IF(ISERROR(利润表!AR45),"—",利润表!AR45)</f>
        <v>0</v>
      </c>
      <c r="K159" s="314">
        <f>IF(ISERROR(利润表!AS45),"—",利润表!AS45)</f>
        <v>0</v>
      </c>
      <c r="L159" s="314">
        <f>IF(ISERROR(利润表!AT45),"—",利润表!AT45)</f>
        <v>0</v>
      </c>
    </row>
    <row r="160" spans="1:12" ht="16.5" hidden="1" customHeight="1" outlineLevel="1">
      <c r="A160" s="97" t="s">
        <v>96</v>
      </c>
      <c r="B160" s="315" t="str">
        <f>IF(ISERROR(利润表!AG87),"-",利润表!AG87)</f>
        <v>—</v>
      </c>
      <c r="C160" s="315" t="str">
        <f>IF(ISERROR(利润表!AK87),"—",利润表!AK87)</f>
        <v>—</v>
      </c>
      <c r="D160" s="315" t="str">
        <f>IF(ISERROR(利润表!AL87),"—",利润表!AL87)</f>
        <v>—</v>
      </c>
      <c r="E160" s="315" t="str">
        <f>IF(ISERROR(利润表!AM87),"—",利润表!AM87)</f>
        <v>—</v>
      </c>
      <c r="F160" s="315" t="str">
        <f>IF(ISERROR(利润表!AN87),"—",利润表!AN87)</f>
        <v>—</v>
      </c>
      <c r="G160" s="315" t="str">
        <f>IF(ISERROR(利润表!AO87),"—",利润表!AO87)</f>
        <v>—</v>
      </c>
      <c r="H160" s="315" t="str">
        <f>IF(ISERROR(利润表!AP87),"—",利润表!AP87)</f>
        <v>—</v>
      </c>
      <c r="I160" s="315" t="str">
        <f>IF(ISERROR(利润表!AQ87),"—",利润表!AQ87)</f>
        <v>—</v>
      </c>
      <c r="J160" s="315" t="str">
        <f>IF(ISERROR(利润表!AR87),"—",利润表!AR87)</f>
        <v>—</v>
      </c>
      <c r="K160" s="315" t="str">
        <f>IF(ISERROR(利润表!AS87),"—",利润表!AS87)</f>
        <v>—</v>
      </c>
      <c r="L160" s="315" t="str">
        <f>IF(ISERROR(利润表!AT87),"—",利润表!AT87)</f>
        <v>—</v>
      </c>
    </row>
    <row r="161" spans="1:12" ht="16.5" hidden="1" customHeight="1" outlineLevel="1">
      <c r="A161" s="97" t="s">
        <v>607</v>
      </c>
      <c r="B161" s="313" t="str">
        <f>IF(ISERROR(B159*(1-B160)),"—",B159*(1-B160))</f>
        <v>—</v>
      </c>
      <c r="C161" s="313" t="str">
        <f>IF(ISERROR(C159*(1-C160)),"—",C159*(1-C160))</f>
        <v>—</v>
      </c>
      <c r="D161" s="313" t="str">
        <f t="shared" ref="D161:L161" si="34">IF(ISERROR(D159*(1-D160)),"—",D159*(1-D160))</f>
        <v>—</v>
      </c>
      <c r="E161" s="313" t="str">
        <f t="shared" si="34"/>
        <v>—</v>
      </c>
      <c r="F161" s="313" t="str">
        <f t="shared" si="34"/>
        <v>—</v>
      </c>
      <c r="G161" s="313" t="str">
        <f t="shared" si="34"/>
        <v>—</v>
      </c>
      <c r="H161" s="313" t="str">
        <f t="shared" si="34"/>
        <v>—</v>
      </c>
      <c r="I161" s="313" t="str">
        <f t="shared" si="34"/>
        <v>—</v>
      </c>
      <c r="J161" s="313" t="str">
        <f t="shared" si="34"/>
        <v>—</v>
      </c>
      <c r="K161" s="313" t="str">
        <f t="shared" si="34"/>
        <v>—</v>
      </c>
      <c r="L161" s="313" t="str">
        <f t="shared" si="34"/>
        <v>—</v>
      </c>
    </row>
    <row r="162" spans="1:12" ht="16.5" hidden="1" customHeight="1" outlineLevel="1">
      <c r="A162" s="97" t="s">
        <v>438</v>
      </c>
      <c r="B162" s="313">
        <f>IF(ISERROR(资产负债表!AG105),"—",资产负债表!AG105)</f>
        <v>0</v>
      </c>
      <c r="C162" s="313">
        <f>IF(ISERROR(资产负债表!AK105),"—",资产负债表!AK105)</f>
        <v>0</v>
      </c>
      <c r="D162" s="313">
        <f>IF(ISERROR(资产负债表!AL105),"—",资产负债表!AL105)</f>
        <v>0</v>
      </c>
      <c r="E162" s="313">
        <f>IF(ISERROR(资产负债表!AM105),"—",资产负债表!AM105)</f>
        <v>0</v>
      </c>
      <c r="F162" s="313">
        <f>IF(ISERROR(资产负债表!AN105),"—",资产负债表!AN105)</f>
        <v>0</v>
      </c>
      <c r="G162" s="313">
        <f>IF(ISERROR(资产负债表!AO105),"—",资产负债表!AO105)</f>
        <v>0</v>
      </c>
      <c r="H162" s="313">
        <f>IF(ISERROR(资产负债表!AP105),"—",资产负债表!AP105)</f>
        <v>0</v>
      </c>
      <c r="I162" s="313">
        <f>IF(ISERROR(资产负债表!AQ105),"—",资产负债表!AQ105)</f>
        <v>0</v>
      </c>
      <c r="J162" s="313">
        <f>IF(ISERROR(资产负债表!AR105),"—",资产负债表!AR105)</f>
        <v>0</v>
      </c>
      <c r="K162" s="313">
        <f>IF(ISERROR(资产负债表!AS105),"—",资产负债表!AS105)</f>
        <v>0</v>
      </c>
      <c r="L162" s="313">
        <f>IF(ISERROR(资产负债表!AT105),"—",资产负债表!AT105)</f>
        <v>0</v>
      </c>
    </row>
    <row r="163" spans="1:12" ht="16.5" hidden="1" customHeight="1" outlineLevel="1">
      <c r="A163" s="162" t="s">
        <v>645</v>
      </c>
      <c r="B163" s="316" t="str">
        <f>IF(ISERROR(B161-B162*$B$16),"0.00",B161-B162*$B$16)</f>
        <v>0.00</v>
      </c>
      <c r="C163" s="316" t="str">
        <f t="shared" ref="C163:L163" si="35">IF(ISERROR(IF($B$2&gt;=C157,C161-C162*$B$16," ")),"0.00",IF($B$2&gt;=C157,C161-C162*$B$16," "))</f>
        <v>0.00</v>
      </c>
      <c r="D163" s="316" t="str">
        <f t="shared" si="35"/>
        <v>0.00</v>
      </c>
      <c r="E163" s="316" t="str">
        <f t="shared" si="35"/>
        <v>0.00</v>
      </c>
      <c r="F163" s="316" t="str">
        <f t="shared" si="35"/>
        <v xml:space="preserve"> </v>
      </c>
      <c r="G163" s="316" t="str">
        <f t="shared" si="35"/>
        <v xml:space="preserve"> </v>
      </c>
      <c r="H163" s="316" t="str">
        <f t="shared" si="35"/>
        <v xml:space="preserve"> </v>
      </c>
      <c r="I163" s="316" t="str">
        <f t="shared" si="35"/>
        <v xml:space="preserve"> </v>
      </c>
      <c r="J163" s="316" t="str">
        <f t="shared" si="35"/>
        <v xml:space="preserve"> </v>
      </c>
      <c r="K163" s="316" t="str">
        <f t="shared" si="35"/>
        <v xml:space="preserve"> </v>
      </c>
      <c r="L163" s="316" t="str">
        <f t="shared" si="35"/>
        <v xml:space="preserve"> </v>
      </c>
    </row>
    <row r="164" spans="1:12" ht="16.5" hidden="1" customHeight="1" outlineLevel="1">
      <c r="B164" s="305">
        <f>INDEX(C158:L158,MATCH($B$2,C157:L157))+1</f>
        <v>2027</v>
      </c>
      <c r="C164" s="305">
        <f t="shared" ref="C164:L164" si="36">B164+1</f>
        <v>2028</v>
      </c>
      <c r="D164" s="305">
        <f t="shared" si="36"/>
        <v>2029</v>
      </c>
      <c r="E164" s="305">
        <f t="shared" si="36"/>
        <v>2030</v>
      </c>
      <c r="F164" s="305">
        <f t="shared" si="36"/>
        <v>2031</v>
      </c>
      <c r="G164" s="305">
        <f t="shared" si="36"/>
        <v>2032</v>
      </c>
      <c r="H164" s="305">
        <f t="shared" si="36"/>
        <v>2033</v>
      </c>
      <c r="I164" s="305">
        <f t="shared" si="36"/>
        <v>2034</v>
      </c>
      <c r="J164" s="305">
        <f t="shared" si="36"/>
        <v>2035</v>
      </c>
      <c r="K164" s="305">
        <f t="shared" si="36"/>
        <v>2036</v>
      </c>
      <c r="L164" s="305">
        <f t="shared" si="36"/>
        <v>2037</v>
      </c>
    </row>
    <row r="165" spans="1:12" ht="16.5" hidden="1" customHeight="1" outlineLevel="1">
      <c r="A165" s="162" t="s">
        <v>646</v>
      </c>
      <c r="B165" s="316">
        <f>IF($B3&gt;0,INDEX(C163:L163,MATCH(B2,C157:L157))*(1+B4),0)</f>
        <v>0</v>
      </c>
      <c r="C165" s="316" t="str">
        <f t="shared" ref="C165:L165" si="37">IF(($B3-C157)&gt;0,B165*(1+$B4),"")</f>
        <v/>
      </c>
      <c r="D165" s="316" t="str">
        <f t="shared" si="37"/>
        <v/>
      </c>
      <c r="E165" s="316" t="str">
        <f t="shared" si="37"/>
        <v/>
      </c>
      <c r="F165" s="316" t="str">
        <f t="shared" si="37"/>
        <v/>
      </c>
      <c r="G165" s="316" t="str">
        <f t="shared" si="37"/>
        <v/>
      </c>
      <c r="H165" s="316" t="str">
        <f t="shared" si="37"/>
        <v/>
      </c>
      <c r="I165" s="316" t="str">
        <f t="shared" si="37"/>
        <v/>
      </c>
      <c r="J165" s="316" t="str">
        <f t="shared" si="37"/>
        <v/>
      </c>
      <c r="K165" s="316" t="str">
        <f t="shared" si="37"/>
        <v/>
      </c>
      <c r="L165" s="316" t="str">
        <f t="shared" si="37"/>
        <v/>
      </c>
    </row>
    <row r="166" spans="1:12" ht="16.5" hidden="1" customHeight="1" outlineLevel="1"/>
    <row r="167" spans="1:12" ht="16.5" hidden="1" customHeight="1" outlineLevel="1">
      <c r="A167" s="97" t="s">
        <v>647</v>
      </c>
      <c r="B167" s="262">
        <f ca="1">(NPV(B16,D163:L163)+C163*B10/12)/(1+B16)^(B10/12)</f>
        <v>0</v>
      </c>
    </row>
    <row r="168" spans="1:12" ht="16.5" hidden="1" customHeight="1" outlineLevel="1">
      <c r="A168" s="97" t="s">
        <v>648</v>
      </c>
      <c r="B168" s="262">
        <f>IF(B3=0,0,NPV(B16,B165:L165)/(1+B16)^(B2-1+B10/12))</f>
        <v>0</v>
      </c>
    </row>
    <row r="169" spans="1:12" ht="16.5" hidden="1" customHeight="1" outlineLevel="1">
      <c r="A169" s="97" t="s">
        <v>649</v>
      </c>
      <c r="B169" s="262">
        <f ca="1">INDEX(C163:L163,MATCH(B2,C157:L157))*(1+B4)^B3*(1+B5)/(B16-B5)/(POWER((1+B16),B2+B3-1+B10/12))</f>
        <v>0</v>
      </c>
    </row>
    <row r="170" spans="1:12" ht="16.5" hidden="1" customHeight="1" outlineLevel="1">
      <c r="A170" s="162" t="s">
        <v>616</v>
      </c>
      <c r="B170" s="264">
        <f ca="1">SUM(B167:B169)</f>
        <v>0</v>
      </c>
    </row>
    <row r="171" spans="1:12" ht="16.5" hidden="1" customHeight="1" outlineLevel="1">
      <c r="A171" s="150" t="s">
        <v>650</v>
      </c>
      <c r="B171" s="174">
        <f>IF(财务基础数据!AM4=0,资产负债表!AG105,IF(财务基础数据!AM4=1,资产负债表!AH105,IF(财务基础数据!AM4=2,资产负债表!AI105,资产负债表!AJ105)))</f>
        <v>0</v>
      </c>
    </row>
    <row r="172" spans="1:12" ht="16.5" hidden="1" customHeight="1" outlineLevel="1">
      <c r="A172" s="150" t="s">
        <v>619</v>
      </c>
      <c r="B172" s="174">
        <f>IF(财务基础数据!AM4=0,资产负债表!AG91,IF(财务基础数据!AM4=1,资产负债表!AH91,IF(财务基础数据!AM4=2,资产负债表!AI91,资产负债表!AJ91)))</f>
        <v>0</v>
      </c>
    </row>
    <row r="173" spans="1:12" ht="16.5" hidden="1" customHeight="1" outlineLevel="1">
      <c r="A173" s="162" t="s">
        <v>620</v>
      </c>
      <c r="B173" s="269">
        <f ca="1">B170+B171-B172</f>
        <v>0</v>
      </c>
    </row>
    <row r="174" spans="1:12" ht="16.5" hidden="1" customHeight="1" outlineLevel="1">
      <c r="A174" s="97" t="s">
        <v>621</v>
      </c>
      <c r="B174" s="174" t="e">
        <f>目录!F7*1000000*目录!D6</f>
        <v>#VALUE!</v>
      </c>
    </row>
    <row r="175" spans="1:12" ht="16.5" hidden="1" customHeight="1" outlineLevel="1">
      <c r="A175" s="307" t="s">
        <v>622</v>
      </c>
      <c r="B175" s="308" t="str">
        <f ca="1">IF(ISERROR(B173/B174),"—",B173/B174)</f>
        <v>—</v>
      </c>
    </row>
    <row r="176" spans="1:12" ht="16.5" hidden="1" customHeight="1" outlineLevel="1">
      <c r="B176" s="317"/>
    </row>
    <row r="177" spans="1:13" ht="16.5" hidden="1" customHeight="1" outlineLevel="1">
      <c r="A177" s="309"/>
      <c r="B177" s="295" t="str">
        <f t="shared" ref="B177:K177" si="38">C158</f>
        <v>2024E</v>
      </c>
      <c r="C177" s="295">
        <f t="shared" si="38"/>
        <v>2025</v>
      </c>
      <c r="D177" s="295">
        <f t="shared" si="38"/>
        <v>2026</v>
      </c>
      <c r="E177" s="295">
        <f t="shared" si="38"/>
        <v>2027</v>
      </c>
      <c r="F177" s="295">
        <f t="shared" si="38"/>
        <v>2028</v>
      </c>
      <c r="G177" s="295">
        <f t="shared" si="38"/>
        <v>2029</v>
      </c>
      <c r="H177" s="295">
        <f t="shared" si="38"/>
        <v>2030</v>
      </c>
      <c r="I177" s="295">
        <f t="shared" si="38"/>
        <v>2031</v>
      </c>
      <c r="J177" s="295">
        <f t="shared" si="38"/>
        <v>2032</v>
      </c>
      <c r="K177" s="295">
        <f t="shared" si="38"/>
        <v>2033</v>
      </c>
    </row>
    <row r="178" spans="1:13" ht="16.5" hidden="1" customHeight="1" outlineLevel="1">
      <c r="A178" s="300" t="s">
        <v>627</v>
      </c>
      <c r="B178" s="301" t="str">
        <f ca="1">IF(ISERROR($B$173/利润表!AK94),"—",$B$173/利润表!AK94)</f>
        <v>—</v>
      </c>
      <c r="C178" s="301" t="str">
        <f ca="1">IF(ISERROR($B$173/利润表!AL94),"—",$B$173/利润表!AL94)</f>
        <v>—</v>
      </c>
      <c r="D178" s="301" t="str">
        <f ca="1">IF(ISERROR($B$173/利润表!AM94),"—",$B$173/利润表!AM94)</f>
        <v>—</v>
      </c>
      <c r="E178" s="302" t="str">
        <f>IF($B$2&gt;3,$B$173/利润表!AN94,"—")</f>
        <v>—</v>
      </c>
      <c r="F178" s="301" t="str">
        <f>IF($B$2&gt;3,$B$173/利润表!AO94,"—")</f>
        <v>—</v>
      </c>
      <c r="G178" s="301" t="str">
        <f>IF($B$2&gt;3,$B$173/利润表!AP94,"—")</f>
        <v>—</v>
      </c>
      <c r="H178" s="301" t="str">
        <f>IF($B$2&gt;3,$B$173/利润表!AQ94,"—")</f>
        <v>—</v>
      </c>
      <c r="I178" s="301" t="str">
        <f>IF($B$2&gt;3,$B$173/利润表!AR94,"—")</f>
        <v>—</v>
      </c>
      <c r="J178" s="301" t="str">
        <f>IF($B$2&gt;3,$B$173/利润表!AS94,"—")</f>
        <v>—</v>
      </c>
      <c r="K178" s="301" t="str">
        <f>IF($B$2&gt;3,$B$173/利润表!AT94,"—")</f>
        <v>—</v>
      </c>
    </row>
    <row r="179" spans="1:13" ht="16.5" hidden="1" customHeight="1" outlineLevel="1">
      <c r="A179" s="300" t="s">
        <v>628</v>
      </c>
      <c r="B179" s="301" t="str">
        <f ca="1">IF(ISERROR($B$173/资产负债表!AK89),"—",$B$173/资产负债表!AK89)</f>
        <v>—</v>
      </c>
      <c r="C179" s="301" t="str">
        <f ca="1">IF(ISERROR($B$173/资产负债表!AL89),"—",$B$173/资产负债表!AL89)</f>
        <v>—</v>
      </c>
      <c r="D179" s="301" t="str">
        <f ca="1">IF(ISERROR($B$173/资产负债表!AM89),"—",$B$173/资产负债表!AM89)</f>
        <v>—</v>
      </c>
      <c r="E179" s="302" t="str">
        <f>IF($B$2&gt;3,$B$173/资产负债表!AN89,"—")</f>
        <v>—</v>
      </c>
      <c r="F179" s="301" t="str">
        <f>IF($B$2&gt;3,$B$173/资产负债表!AO89,"—")</f>
        <v>—</v>
      </c>
      <c r="G179" s="301" t="str">
        <f>IF($B$2&gt;3,$B$173/资产负债表!AP89,"—")</f>
        <v>—</v>
      </c>
      <c r="H179" s="301" t="str">
        <f>IF($B$2&gt;3,$B$173/资产负债表!AQ89,"—")</f>
        <v>—</v>
      </c>
      <c r="I179" s="301" t="str">
        <f>IF($B$2&gt;3,$B$173/资产负债表!AR89,"—")</f>
        <v>—</v>
      </c>
      <c r="J179" s="301" t="str">
        <f>IF($B$2&gt;3,$B$173/资产负债表!AS89,"—")</f>
        <v>—</v>
      </c>
      <c r="K179" s="301" t="str">
        <f>IF($B$2&gt;3,$B$173/资产负债表!AT89,"—")</f>
        <v>—</v>
      </c>
    </row>
    <row r="180" spans="1:13" ht="16.5" hidden="1" customHeight="1" outlineLevel="1">
      <c r="A180" s="300" t="s">
        <v>629</v>
      </c>
      <c r="B180" s="301" t="str">
        <f ca="1">IF(ISERROR($B$173/利润表!AK8),"—",$B$173/利润表!AK8)</f>
        <v>—</v>
      </c>
      <c r="C180" s="301" t="str">
        <f ca="1">IF(ISERROR($B$173/利润表!AL8),"—",$B$173/利润表!AL8)</f>
        <v>—</v>
      </c>
      <c r="D180" s="301" t="str">
        <f ca="1">IF(ISERROR($B$173/利润表!AM8),"—",$B$173/利润表!AM8)</f>
        <v>—</v>
      </c>
      <c r="E180" s="302" t="str">
        <f>IF($B$2&gt;3,$B$173/利润表!AN8,"—")</f>
        <v>—</v>
      </c>
      <c r="F180" s="301" t="str">
        <f>IF($B$2&gt;3,$B$173/利润表!AO8,"—")</f>
        <v>—</v>
      </c>
      <c r="G180" s="301" t="str">
        <f>IF($B$2&gt;3,$B$173/利润表!AP8,"—")</f>
        <v>—</v>
      </c>
      <c r="H180" s="301" t="str">
        <f>IF($B$2&gt;3,$B$173/利润表!AQ8,"—")</f>
        <v>—</v>
      </c>
      <c r="I180" s="301" t="str">
        <f>IF($B$2&gt;3,$B$173/利润表!AR8,"—")</f>
        <v>—</v>
      </c>
      <c r="J180" s="301" t="str">
        <f>IF($B$2&gt;3,$B$173/利润表!AS8,"—")</f>
        <v>—</v>
      </c>
      <c r="K180" s="301" t="str">
        <f>IF($B$2&gt;3,$B$173/利润表!AT8,"—")</f>
        <v>—</v>
      </c>
    </row>
    <row r="181" spans="1:13" ht="16.5" customHeight="1" collapsed="1"/>
    <row r="182" spans="1:13" ht="16.5" customHeight="1">
      <c r="A182" s="252" t="s">
        <v>651</v>
      </c>
      <c r="B182" s="318"/>
      <c r="C182" s="303"/>
      <c r="D182" s="303"/>
      <c r="E182" s="303"/>
      <c r="F182" s="303"/>
      <c r="G182" s="303"/>
      <c r="H182" s="96"/>
      <c r="I182" s="96"/>
      <c r="J182" s="96"/>
      <c r="K182" s="96"/>
      <c r="L182" s="96"/>
    </row>
    <row r="183" spans="1:13" ht="16.5" customHeight="1">
      <c r="A183" s="319"/>
      <c r="B183" s="319">
        <f>主要财务摘要!C3</f>
        <v>2021</v>
      </c>
      <c r="C183" s="319">
        <f>主要财务摘要!D3</f>
        <v>2022</v>
      </c>
      <c r="D183" s="319">
        <f>主要财务摘要!E3</f>
        <v>2023</v>
      </c>
      <c r="E183" s="320" t="str">
        <f>主要财务摘要!F3</f>
        <v>2024E</v>
      </c>
      <c r="F183" s="320" t="str">
        <f>主要财务摘要!G3</f>
        <v>2025E</v>
      </c>
      <c r="G183" s="320" t="str">
        <f>主要财务摘要!H3</f>
        <v>2026E</v>
      </c>
      <c r="H183" s="321"/>
      <c r="I183" s="321"/>
      <c r="J183" s="321"/>
      <c r="K183" s="321"/>
      <c r="L183" s="321"/>
      <c r="M183" s="29"/>
    </row>
    <row r="184" spans="1:13" ht="16.5" customHeight="1">
      <c r="A184" s="117" t="s">
        <v>652</v>
      </c>
      <c r="B184" s="262">
        <f>主要财务摘要!C14</f>
        <v>0</v>
      </c>
      <c r="C184" s="262">
        <f>主要财务摘要!D14</f>
        <v>0</v>
      </c>
      <c r="D184" s="262">
        <f>主要财务摘要!E14</f>
        <v>0</v>
      </c>
      <c r="E184" s="262" t="str">
        <f>主要财务摘要!F14</f>
        <v>—</v>
      </c>
      <c r="F184" s="262" t="str">
        <f>主要财务摘要!G14</f>
        <v>—</v>
      </c>
      <c r="G184" s="262" t="str">
        <f>主要财务摘要!H14</f>
        <v>—</v>
      </c>
      <c r="H184" s="203"/>
      <c r="I184" s="203"/>
      <c r="J184" s="203"/>
      <c r="K184" s="203"/>
      <c r="L184" s="203"/>
      <c r="M184" s="327"/>
    </row>
    <row r="185" spans="1:13" ht="16.5" customHeight="1">
      <c r="A185" s="117" t="s">
        <v>313</v>
      </c>
      <c r="B185" s="262" t="str">
        <f>主要财务摘要!C15</f>
        <v>—</v>
      </c>
      <c r="C185" s="262" t="str">
        <f>主要财务摘要!D15</f>
        <v>—</v>
      </c>
      <c r="D185" s="262" t="str">
        <f>主要财务摘要!E15</f>
        <v>—</v>
      </c>
      <c r="E185" s="262" t="str">
        <f>主要财务摘要!F15</f>
        <v>—</v>
      </c>
      <c r="F185" s="262" t="str">
        <f>主要财务摘要!G15</f>
        <v>—</v>
      </c>
      <c r="G185" s="262" t="str">
        <f>主要财务摘要!H15</f>
        <v>—</v>
      </c>
      <c r="H185" s="174"/>
      <c r="I185" s="174"/>
      <c r="J185" s="174"/>
      <c r="K185" s="174"/>
      <c r="L185" s="174"/>
      <c r="M185" s="29"/>
    </row>
    <row r="186" spans="1:13" ht="16.5" customHeight="1">
      <c r="A186" s="117" t="s">
        <v>653</v>
      </c>
      <c r="B186" s="262" t="str">
        <f>IF(ISERROR(利润表!Y8/主要财务摘要!C4),"—",利润表!Y8/主要财务摘要!C4)</f>
        <v>—</v>
      </c>
      <c r="C186" s="262" t="str">
        <f>IF(ISERROR(利润表!AC8/主要财务摘要!D4),"—",利润表!AC8/主要财务摘要!D4)</f>
        <v>—</v>
      </c>
      <c r="D186" s="174" t="str">
        <f>IF(ISERROR(利润表!AG8/主要财务摘要!E4),"—",利润表!AG8/主要财务摘要!E4)</f>
        <v>—</v>
      </c>
      <c r="E186" s="174" t="str">
        <f>IF(ISERROR(利润表!AK8/(目录!F7*1000000*目录!D6)),"—",利润表!AK8/(目录!F7*1000000*目录!D6))</f>
        <v>—</v>
      </c>
      <c r="F186" s="174" t="str">
        <f>IF(ISERROR(利润表!AL8/(目录!F7*1000000*目录!D6)),"—",利润表!AL8/(目录!F7*1000000*目录!D6))</f>
        <v>—</v>
      </c>
      <c r="G186" s="174" t="str">
        <f>IF(ISERROR(利润表!AM8/(目录!F7*1000000*目录!D6)),"—",利润表!AM8/(目录!F7*1000000*目录!D6))</f>
        <v>—</v>
      </c>
      <c r="H186" s="174"/>
      <c r="I186" s="174"/>
      <c r="J186" s="174"/>
      <c r="K186" s="174"/>
      <c r="L186" s="174"/>
      <c r="M186" s="29"/>
    </row>
    <row r="187" spans="1:13" ht="16.5" customHeight="1">
      <c r="A187" s="322" t="s">
        <v>654</v>
      </c>
      <c r="B187" s="262" t="str">
        <f>IF(ISERROR(现金流量表!Y36/主要财务摘要!C4),"—",(现金流量表!Y36/主要财务摘要!C4))</f>
        <v>—</v>
      </c>
      <c r="C187" s="262" t="str">
        <f>IF(ISERROR(现金流量表!AC36/主要财务摘要!D4),"—",(现金流量表!AC36/主要财务摘要!D4))</f>
        <v>—</v>
      </c>
      <c r="D187" s="262" t="str">
        <f>IF(ISERROR(现金流量表!AG36/主要财务摘要!E4),"—",(现金流量表!AG36/主要财务摘要!E4))</f>
        <v>—</v>
      </c>
      <c r="E187" s="262" t="str">
        <f>IF(ISERROR(现金流量表!AK36/主要财务摘要!F4),"—",(现金流量表!AK36/主要财务摘要!F4))</f>
        <v>—</v>
      </c>
      <c r="F187" s="262" t="str">
        <f>IF(ISERROR(现金流量表!AL36/主要财务摘要!G4),"—",(现金流量表!AL36/主要财务摘要!G4))</f>
        <v>—</v>
      </c>
      <c r="G187" s="262" t="str">
        <f>IF(ISERROR(现金流量表!AM36/主要财务摘要!H4),"—",(现金流量表!AM36/主要财务摘要!H4))</f>
        <v>—</v>
      </c>
      <c r="H187" s="174"/>
      <c r="I187" s="174"/>
      <c r="J187" s="174"/>
      <c r="K187" s="174"/>
      <c r="L187" s="174"/>
      <c r="M187" s="29"/>
    </row>
    <row r="188" spans="1:13" ht="16.5" customHeight="1">
      <c r="A188" s="323"/>
      <c r="B188" s="300" t="s">
        <v>655</v>
      </c>
      <c r="C188" s="300" t="s">
        <v>656</v>
      </c>
      <c r="D188" s="300" t="s">
        <v>657</v>
      </c>
      <c r="E188" s="300" t="str">
        <f>同业分析!D1</f>
        <v>总市值(百万)</v>
      </c>
      <c r="F188" s="324" t="s">
        <v>364</v>
      </c>
      <c r="G188" s="324" t="s">
        <v>62</v>
      </c>
      <c r="I188" s="174"/>
      <c r="J188" s="174"/>
      <c r="K188" s="174"/>
      <c r="L188" s="174"/>
      <c r="M188" s="29"/>
    </row>
    <row r="189" spans="1:13" ht="16.5" customHeight="1">
      <c r="A189" s="117" t="str">
        <f>财务基础数据!C4</f>
        <v>XXXX</v>
      </c>
      <c r="B189" s="174">
        <f>同业分析!E3</f>
        <v>0</v>
      </c>
      <c r="C189" s="174">
        <f>同业分析!F3</f>
        <v>0</v>
      </c>
      <c r="D189" s="174">
        <f>同业分析!G3</f>
        <v>0</v>
      </c>
      <c r="E189" s="174">
        <f>同业分析!D3</f>
        <v>0</v>
      </c>
      <c r="F189" s="262" t="str">
        <f>IF(ISERROR(AVERAGE(同业分析!T3:V3)),"—",AVERAGE(同业分析!T3:V3))</f>
        <v>—</v>
      </c>
      <c r="G189" s="262" t="str">
        <f>IF(ISERROR(AVERAGE(同业分析!H3:J3)),"—",AVERAGE(同业分析!H3:J3))</f>
        <v>—</v>
      </c>
      <c r="H189" s="325"/>
      <c r="I189" s="174"/>
      <c r="J189" s="174"/>
      <c r="K189" s="174"/>
      <c r="L189" s="174"/>
      <c r="M189" s="29"/>
    </row>
    <row r="190" spans="1:13" ht="16.5" customHeight="1">
      <c r="A190" s="117" t="s">
        <v>658</v>
      </c>
      <c r="B190" s="174">
        <f>同业分析!E4</f>
        <v>0</v>
      </c>
      <c r="C190" s="174">
        <f>同业分析!F4</f>
        <v>0</v>
      </c>
      <c r="D190" s="174">
        <f>同业分析!G4</f>
        <v>0</v>
      </c>
      <c r="E190" s="174">
        <f>同业分析!D4</f>
        <v>0</v>
      </c>
      <c r="F190" s="262" t="str">
        <f>IF(ISERROR(AVERAGE(同业分析!T4:V4)),"—",AVERAGE(同业分析!T4:V4))</f>
        <v>—</v>
      </c>
      <c r="G190" s="262" t="str">
        <f>IF(ISERROR(AVERAGE(同业分析!H4:J4)),"—",AVERAGE(同业分析!H4:J4))</f>
        <v>—</v>
      </c>
      <c r="H190" s="174"/>
      <c r="I190" s="174"/>
      <c r="J190" s="174"/>
      <c r="K190" s="174"/>
      <c r="L190" s="174"/>
      <c r="M190" s="29"/>
    </row>
    <row r="191" spans="1:13" ht="16.5" customHeight="1">
      <c r="H191" s="262"/>
      <c r="I191" s="262"/>
      <c r="J191" s="262"/>
      <c r="K191" s="262"/>
      <c r="L191" s="262"/>
    </row>
    <row r="192" spans="1:13" ht="16.5" customHeight="1">
      <c r="A192" s="326" t="s">
        <v>659</v>
      </c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</row>
    <row r="193" spans="1:12" ht="16.5" hidden="1" customHeight="1" outlineLevel="1">
      <c r="A193" s="328" t="s">
        <v>660</v>
      </c>
      <c r="B193" s="329">
        <v>0</v>
      </c>
      <c r="C193" s="330" t="s">
        <v>661</v>
      </c>
      <c r="D193" s="329">
        <v>0</v>
      </c>
      <c r="E193" s="262"/>
      <c r="F193" s="331" t="s">
        <v>662</v>
      </c>
      <c r="G193" s="267" t="str">
        <f>目录!F6</f>
        <v>XXXX</v>
      </c>
      <c r="H193" s="262"/>
      <c r="I193" s="262"/>
      <c r="J193" s="262"/>
      <c r="K193" s="262"/>
      <c r="L193" s="262"/>
    </row>
    <row r="194" spans="1:12" ht="16.5" hidden="1" customHeight="1" outlineLevel="1">
      <c r="A194" s="97" t="s">
        <v>663</v>
      </c>
      <c r="B194" s="188" t="str">
        <f>IF(ISERROR(E184*B193),"—",E184*B193)</f>
        <v>—</v>
      </c>
      <c r="C194" s="332" t="s">
        <v>661</v>
      </c>
      <c r="D194" s="188" t="str">
        <f>IF(ISERROR(E184*D193),"—",E184*D193)</f>
        <v>—</v>
      </c>
      <c r="F194" s="333"/>
      <c r="H194" s="268"/>
      <c r="I194" s="268"/>
      <c r="J194" s="268"/>
      <c r="K194" s="268"/>
      <c r="L194" s="268"/>
    </row>
    <row r="195" spans="1:12" ht="16.5" hidden="1" customHeight="1" outlineLevel="1">
      <c r="A195" s="97" t="s">
        <v>664</v>
      </c>
      <c r="B195" s="188" t="str">
        <f>IF(ISERROR(AVERAGE(B194,D194)),"—",AVERAGE(B194,D194))</f>
        <v>—</v>
      </c>
      <c r="C195" s="268"/>
      <c r="D195" s="268"/>
      <c r="F195" s="268"/>
      <c r="H195" s="268"/>
      <c r="I195" s="268"/>
      <c r="J195" s="268"/>
      <c r="K195" s="268"/>
      <c r="L195" s="268"/>
    </row>
    <row r="196" spans="1:12" ht="30" hidden="1" customHeight="1" outlineLevel="1">
      <c r="B196" s="334" t="s">
        <v>665</v>
      </c>
      <c r="C196" s="335">
        <f>B193</f>
        <v>0</v>
      </c>
      <c r="D196" s="335">
        <f>B193+(D193-B193)/4</f>
        <v>0</v>
      </c>
      <c r="E196" s="335">
        <f>B193+(D193-B193)*2/4</f>
        <v>0</v>
      </c>
      <c r="F196" s="335">
        <f>B193+(D193-B193)*3/4</f>
        <v>0</v>
      </c>
      <c r="G196" s="335">
        <f>D193</f>
        <v>0</v>
      </c>
      <c r="H196" s="268"/>
      <c r="I196" s="268"/>
      <c r="J196" s="268"/>
      <c r="K196" s="268"/>
      <c r="L196" s="268"/>
    </row>
    <row r="197" spans="1:12" ht="16.5" hidden="1" customHeight="1" outlineLevel="1">
      <c r="A197" s="241"/>
      <c r="B197" s="335" t="e">
        <f>B198/1.1</f>
        <v>#VALUE!</v>
      </c>
      <c r="C197" s="336" t="e">
        <f>C$196*$B197</f>
        <v>#VALUE!</v>
      </c>
      <c r="D197" s="336" t="e">
        <f t="shared" ref="D197:G201" si="39">D$196*$B197</f>
        <v>#VALUE!</v>
      </c>
      <c r="E197" s="336" t="e">
        <f t="shared" si="39"/>
        <v>#VALUE!</v>
      </c>
      <c r="F197" s="336" t="e">
        <f t="shared" si="39"/>
        <v>#VALUE!</v>
      </c>
      <c r="G197" s="337" t="e">
        <f t="shared" si="39"/>
        <v>#VALUE!</v>
      </c>
    </row>
    <row r="198" spans="1:12" ht="16.5" hidden="1" customHeight="1" outlineLevel="1">
      <c r="A198" s="241"/>
      <c r="B198" s="335" t="e">
        <f>B199/1.1</f>
        <v>#VALUE!</v>
      </c>
      <c r="C198" s="336" t="e">
        <f t="shared" ref="C198:C201" si="40">C$196*$B198</f>
        <v>#VALUE!</v>
      </c>
      <c r="D198" s="336" t="e">
        <f t="shared" si="39"/>
        <v>#VALUE!</v>
      </c>
      <c r="E198" s="336" t="e">
        <f t="shared" si="39"/>
        <v>#VALUE!</v>
      </c>
      <c r="F198" s="336" t="e">
        <f t="shared" si="39"/>
        <v>#VALUE!</v>
      </c>
      <c r="G198" s="337" t="e">
        <f t="shared" si="39"/>
        <v>#VALUE!</v>
      </c>
    </row>
    <row r="199" spans="1:12" ht="16.5" hidden="1" customHeight="1" outlineLevel="1">
      <c r="A199" s="241"/>
      <c r="B199" s="335" t="str">
        <f>E184</f>
        <v>—</v>
      </c>
      <c r="C199" s="336" t="e">
        <f t="shared" si="40"/>
        <v>#VALUE!</v>
      </c>
      <c r="D199" s="336" t="e">
        <f>D$196*$B199</f>
        <v>#VALUE!</v>
      </c>
      <c r="E199" s="336" t="e">
        <f>E$196*$B199</f>
        <v>#VALUE!</v>
      </c>
      <c r="F199" s="336" t="e">
        <f t="shared" si="39"/>
        <v>#VALUE!</v>
      </c>
      <c r="G199" s="337" t="e">
        <f t="shared" si="39"/>
        <v>#VALUE!</v>
      </c>
    </row>
    <row r="200" spans="1:12" ht="16.5" hidden="1" customHeight="1" outlineLevel="1">
      <c r="A200" s="241"/>
      <c r="B200" s="335" t="e">
        <f>B199*1.1</f>
        <v>#VALUE!</v>
      </c>
      <c r="C200" s="336" t="e">
        <f t="shared" si="40"/>
        <v>#VALUE!</v>
      </c>
      <c r="D200" s="336" t="e">
        <f t="shared" si="39"/>
        <v>#VALUE!</v>
      </c>
      <c r="E200" s="336" t="e">
        <f t="shared" si="39"/>
        <v>#VALUE!</v>
      </c>
      <c r="F200" s="336" t="e">
        <f t="shared" si="39"/>
        <v>#VALUE!</v>
      </c>
      <c r="G200" s="337" t="e">
        <f t="shared" si="39"/>
        <v>#VALUE!</v>
      </c>
    </row>
    <row r="201" spans="1:12" ht="16.5" hidden="1" customHeight="1" outlineLevel="1">
      <c r="A201" s="241"/>
      <c r="B201" s="335" t="e">
        <f>B200*1.1</f>
        <v>#VALUE!</v>
      </c>
      <c r="C201" s="338" t="e">
        <f t="shared" si="40"/>
        <v>#VALUE!</v>
      </c>
      <c r="D201" s="338" t="e">
        <f t="shared" si="39"/>
        <v>#VALUE!</v>
      </c>
      <c r="E201" s="338" t="e">
        <f t="shared" si="39"/>
        <v>#VALUE!</v>
      </c>
      <c r="F201" s="338" t="e">
        <f t="shared" si="39"/>
        <v>#VALUE!</v>
      </c>
      <c r="G201" s="339" t="e">
        <f t="shared" si="39"/>
        <v>#VALUE!</v>
      </c>
    </row>
    <row r="202" spans="1:12" ht="16.5" customHeight="1" collapsed="1">
      <c r="B202" s="97"/>
      <c r="C202" s="240"/>
    </row>
    <row r="203" spans="1:12" ht="16.5" customHeight="1">
      <c r="A203" s="326" t="s">
        <v>666</v>
      </c>
      <c r="F203" s="340"/>
      <c r="G203" s="340"/>
    </row>
    <row r="204" spans="1:12" ht="16.5" hidden="1" customHeight="1" outlineLevel="1">
      <c r="A204" s="328" t="s">
        <v>667</v>
      </c>
      <c r="B204" s="329">
        <v>0</v>
      </c>
      <c r="C204" s="330" t="s">
        <v>661</v>
      </c>
      <c r="D204" s="329">
        <v>0</v>
      </c>
      <c r="E204" s="262"/>
      <c r="F204" s="267"/>
      <c r="G204" s="267"/>
    </row>
    <row r="205" spans="1:12" ht="16.5" hidden="1" customHeight="1" outlineLevel="1">
      <c r="A205" s="97" t="s">
        <v>663</v>
      </c>
      <c r="B205" s="188" t="str">
        <f>IF(ISERROR(E185*B204),"—",E185*B204)</f>
        <v>—</v>
      </c>
      <c r="C205" s="332" t="s">
        <v>661</v>
      </c>
      <c r="D205" s="188" t="str">
        <f>IF(ISERROR(E185*D204),"—",E185*D204)</f>
        <v>—</v>
      </c>
      <c r="F205" s="333"/>
    </row>
    <row r="206" spans="1:12" ht="16.5" hidden="1" customHeight="1" outlineLevel="1">
      <c r="A206" s="97" t="s">
        <v>664</v>
      </c>
      <c r="B206" s="188" t="str">
        <f>IF(ISERROR(AVERAGE(B205,D205)),"—",AVERAGE(B205,D205))</f>
        <v>—</v>
      </c>
      <c r="C206" s="268"/>
      <c r="D206" s="268"/>
      <c r="F206" s="268"/>
    </row>
    <row r="207" spans="1:12" ht="34.5" hidden="1" customHeight="1" outlineLevel="1">
      <c r="B207" s="334" t="s">
        <v>668</v>
      </c>
      <c r="C207" s="335">
        <f>B204</f>
        <v>0</v>
      </c>
      <c r="D207" s="335">
        <f>B204+(D204-B204)/4</f>
        <v>0</v>
      </c>
      <c r="E207" s="335">
        <f>B204+(D204-B204)*2/4</f>
        <v>0</v>
      </c>
      <c r="F207" s="335">
        <f>B204+(D204-B204)*3/4</f>
        <v>0</v>
      </c>
      <c r="G207" s="335">
        <f>D204</f>
        <v>0</v>
      </c>
      <c r="H207" s="268"/>
      <c r="I207" s="268"/>
      <c r="J207" s="268"/>
      <c r="K207" s="268"/>
      <c r="L207" s="268"/>
    </row>
    <row r="208" spans="1:12" ht="16.5" hidden="1" customHeight="1" outlineLevel="1">
      <c r="A208" s="241"/>
      <c r="B208" s="335" t="e">
        <f>B209/1.1</f>
        <v>#VALUE!</v>
      </c>
      <c r="C208" s="336" t="e">
        <f>C$207*$B208</f>
        <v>#VALUE!</v>
      </c>
      <c r="D208" s="336" t="e">
        <f t="shared" ref="D208:G212" si="41">D$207*$B208</f>
        <v>#VALUE!</v>
      </c>
      <c r="E208" s="336" t="e">
        <f t="shared" si="41"/>
        <v>#VALUE!</v>
      </c>
      <c r="F208" s="336" t="e">
        <f t="shared" si="41"/>
        <v>#VALUE!</v>
      </c>
      <c r="G208" s="337" t="e">
        <f t="shared" si="41"/>
        <v>#VALUE!</v>
      </c>
    </row>
    <row r="209" spans="1:12" ht="16.5" hidden="1" customHeight="1" outlineLevel="1">
      <c r="A209" s="241"/>
      <c r="B209" s="335" t="e">
        <f>B210/1.1</f>
        <v>#VALUE!</v>
      </c>
      <c r="C209" s="336" t="e">
        <f t="shared" ref="C209:C212" si="42">C$207*$B209</f>
        <v>#VALUE!</v>
      </c>
      <c r="D209" s="336" t="e">
        <f t="shared" si="41"/>
        <v>#VALUE!</v>
      </c>
      <c r="E209" s="336" t="e">
        <f t="shared" si="41"/>
        <v>#VALUE!</v>
      </c>
      <c r="F209" s="336" t="e">
        <f t="shared" si="41"/>
        <v>#VALUE!</v>
      </c>
      <c r="G209" s="337" t="e">
        <f t="shared" si="41"/>
        <v>#VALUE!</v>
      </c>
    </row>
    <row r="210" spans="1:12" ht="16.5" hidden="1" customHeight="1" outlineLevel="1">
      <c r="A210" s="241"/>
      <c r="B210" s="335" t="str">
        <f>E185</f>
        <v>—</v>
      </c>
      <c r="C210" s="336" t="e">
        <f t="shared" si="42"/>
        <v>#VALUE!</v>
      </c>
      <c r="D210" s="336" t="e">
        <f>D$207*$B210</f>
        <v>#VALUE!</v>
      </c>
      <c r="E210" s="336" t="e">
        <f t="shared" si="41"/>
        <v>#VALUE!</v>
      </c>
      <c r="F210" s="336" t="e">
        <f t="shared" si="41"/>
        <v>#VALUE!</v>
      </c>
      <c r="G210" s="337" t="e">
        <f t="shared" si="41"/>
        <v>#VALUE!</v>
      </c>
    </row>
    <row r="211" spans="1:12" ht="16.5" hidden="1" customHeight="1" outlineLevel="1">
      <c r="A211" s="241"/>
      <c r="B211" s="335" t="e">
        <f>B210*1.1</f>
        <v>#VALUE!</v>
      </c>
      <c r="C211" s="336" t="e">
        <f t="shared" si="42"/>
        <v>#VALUE!</v>
      </c>
      <c r="D211" s="336" t="e">
        <f t="shared" si="41"/>
        <v>#VALUE!</v>
      </c>
      <c r="E211" s="336" t="e">
        <f t="shared" si="41"/>
        <v>#VALUE!</v>
      </c>
      <c r="F211" s="336" t="e">
        <f t="shared" si="41"/>
        <v>#VALUE!</v>
      </c>
      <c r="G211" s="337" t="e">
        <f t="shared" si="41"/>
        <v>#VALUE!</v>
      </c>
    </row>
    <row r="212" spans="1:12" ht="16.5" hidden="1" customHeight="1" outlineLevel="1">
      <c r="A212" s="241"/>
      <c r="B212" s="335" t="e">
        <f>B211*1.1</f>
        <v>#VALUE!</v>
      </c>
      <c r="C212" s="338" t="e">
        <f t="shared" si="42"/>
        <v>#VALUE!</v>
      </c>
      <c r="D212" s="338" t="e">
        <f t="shared" si="41"/>
        <v>#VALUE!</v>
      </c>
      <c r="E212" s="338" t="e">
        <f t="shared" si="41"/>
        <v>#VALUE!</v>
      </c>
      <c r="F212" s="338" t="e">
        <f t="shared" si="41"/>
        <v>#VALUE!</v>
      </c>
      <c r="G212" s="339" t="e">
        <f>G$207*$B212</f>
        <v>#VALUE!</v>
      </c>
    </row>
    <row r="213" spans="1:12" ht="16.5" customHeight="1" collapsed="1"/>
    <row r="214" spans="1:12" ht="16.5" customHeight="1">
      <c r="A214" s="326" t="s">
        <v>669</v>
      </c>
    </row>
    <row r="215" spans="1:12" ht="16.5" hidden="1" customHeight="1" outlineLevel="1">
      <c r="A215" s="328" t="s">
        <v>670</v>
      </c>
      <c r="B215" s="329">
        <v>0</v>
      </c>
      <c r="C215" s="330" t="s">
        <v>661</v>
      </c>
      <c r="D215" s="329">
        <v>0</v>
      </c>
      <c r="E215" s="262"/>
      <c r="F215" s="267"/>
      <c r="G215" s="267"/>
    </row>
    <row r="216" spans="1:12" ht="16.5" hidden="1" customHeight="1" outlineLevel="1">
      <c r="A216" s="97" t="s">
        <v>663</v>
      </c>
      <c r="B216" s="188" t="str">
        <f>IF(ISERROR(E186*B215),"—",E186*B215)</f>
        <v>—</v>
      </c>
      <c r="C216" s="332" t="s">
        <v>661</v>
      </c>
      <c r="D216" s="188" t="str">
        <f>IF(ISERROR(E186*D215),"—",E186*D215)</f>
        <v>—</v>
      </c>
      <c r="F216" s="333"/>
    </row>
    <row r="217" spans="1:12" ht="16.5" hidden="1" customHeight="1" outlineLevel="1">
      <c r="A217" s="97" t="s">
        <v>664</v>
      </c>
      <c r="B217" s="188" t="str">
        <f>IF(ISERROR(AVERAGE(B216,D216)),"—",AVERAGE(B216,D216))</f>
        <v>—</v>
      </c>
      <c r="C217" s="268"/>
      <c r="D217" s="268"/>
      <c r="F217" s="268"/>
    </row>
    <row r="218" spans="1:12" ht="34.5" hidden="1" customHeight="1" outlineLevel="1">
      <c r="B218" s="334" t="s">
        <v>671</v>
      </c>
      <c r="C218" s="335">
        <f>B215</f>
        <v>0</v>
      </c>
      <c r="D218" s="335">
        <f>B215+(D215-B215)/4</f>
        <v>0</v>
      </c>
      <c r="E218" s="335">
        <f>B215+(D215-B215)*2/4</f>
        <v>0</v>
      </c>
      <c r="F218" s="335">
        <f>B215+(D215-B215)*3/4</f>
        <v>0</v>
      </c>
      <c r="G218" s="335">
        <f>D215</f>
        <v>0</v>
      </c>
      <c r="H218" s="268"/>
      <c r="I218" s="268"/>
      <c r="J218" s="268"/>
      <c r="K218" s="268"/>
      <c r="L218" s="268"/>
    </row>
    <row r="219" spans="1:12" ht="16.5" hidden="1" customHeight="1" outlineLevel="1">
      <c r="A219" s="241"/>
      <c r="B219" s="335" t="e">
        <f>B220/1.1</f>
        <v>#VALUE!</v>
      </c>
      <c r="C219" s="336" t="e">
        <f>C$218*$B219</f>
        <v>#VALUE!</v>
      </c>
      <c r="D219" s="336" t="e">
        <f t="shared" ref="D219:G223" si="43">D$218*$B219</f>
        <v>#VALUE!</v>
      </c>
      <c r="E219" s="336" t="e">
        <f t="shared" si="43"/>
        <v>#VALUE!</v>
      </c>
      <c r="F219" s="336" t="e">
        <f t="shared" si="43"/>
        <v>#VALUE!</v>
      </c>
      <c r="G219" s="337" t="e">
        <f t="shared" si="43"/>
        <v>#VALUE!</v>
      </c>
    </row>
    <row r="220" spans="1:12" ht="16.5" hidden="1" customHeight="1" outlineLevel="1">
      <c r="A220" s="241"/>
      <c r="B220" s="335" t="e">
        <f>B221/1.1</f>
        <v>#VALUE!</v>
      </c>
      <c r="C220" s="336" t="e">
        <f t="shared" ref="C220:C223" si="44">C$218*$B220</f>
        <v>#VALUE!</v>
      </c>
      <c r="D220" s="336" t="e">
        <f t="shared" si="43"/>
        <v>#VALUE!</v>
      </c>
      <c r="E220" s="336" t="e">
        <f t="shared" si="43"/>
        <v>#VALUE!</v>
      </c>
      <c r="F220" s="336" t="e">
        <f t="shared" si="43"/>
        <v>#VALUE!</v>
      </c>
      <c r="G220" s="337" t="e">
        <f t="shared" si="43"/>
        <v>#VALUE!</v>
      </c>
    </row>
    <row r="221" spans="1:12" ht="16.5" hidden="1" customHeight="1" outlineLevel="1">
      <c r="A221" s="241"/>
      <c r="B221" s="335" t="str">
        <f>E186</f>
        <v>—</v>
      </c>
      <c r="C221" s="336" t="e">
        <f t="shared" si="44"/>
        <v>#VALUE!</v>
      </c>
      <c r="D221" s="336" t="e">
        <f t="shared" si="43"/>
        <v>#VALUE!</v>
      </c>
      <c r="E221" s="336" t="e">
        <f t="shared" si="43"/>
        <v>#VALUE!</v>
      </c>
      <c r="F221" s="336" t="e">
        <f t="shared" si="43"/>
        <v>#VALUE!</v>
      </c>
      <c r="G221" s="337" t="e">
        <f t="shared" si="43"/>
        <v>#VALUE!</v>
      </c>
    </row>
    <row r="222" spans="1:12" ht="16.5" hidden="1" customHeight="1" outlineLevel="1">
      <c r="A222" s="241"/>
      <c r="B222" s="335" t="e">
        <f>B221*1.1</f>
        <v>#VALUE!</v>
      </c>
      <c r="C222" s="336" t="e">
        <f t="shared" si="44"/>
        <v>#VALUE!</v>
      </c>
      <c r="D222" s="336" t="e">
        <f t="shared" si="43"/>
        <v>#VALUE!</v>
      </c>
      <c r="E222" s="336" t="e">
        <f t="shared" si="43"/>
        <v>#VALUE!</v>
      </c>
      <c r="F222" s="336" t="e">
        <f t="shared" si="43"/>
        <v>#VALUE!</v>
      </c>
      <c r="G222" s="337" t="e">
        <f t="shared" si="43"/>
        <v>#VALUE!</v>
      </c>
    </row>
    <row r="223" spans="1:12" ht="16.5" hidden="1" customHeight="1" outlineLevel="1">
      <c r="A223" s="241"/>
      <c r="B223" s="335" t="e">
        <f>B222*1.1</f>
        <v>#VALUE!</v>
      </c>
      <c r="C223" s="338" t="e">
        <f t="shared" si="44"/>
        <v>#VALUE!</v>
      </c>
      <c r="D223" s="338" t="e">
        <f t="shared" si="43"/>
        <v>#VALUE!</v>
      </c>
      <c r="E223" s="338" t="e">
        <f t="shared" si="43"/>
        <v>#VALUE!</v>
      </c>
      <c r="F223" s="338" t="e">
        <f t="shared" si="43"/>
        <v>#VALUE!</v>
      </c>
      <c r="G223" s="339" t="e">
        <f t="shared" si="43"/>
        <v>#VALUE!</v>
      </c>
    </row>
    <row r="224" spans="1:12" ht="16.5" customHeight="1" collapsed="1"/>
    <row r="225" spans="1:7" ht="16.5" customHeight="1">
      <c r="A225" s="326" t="s">
        <v>672</v>
      </c>
    </row>
    <row r="226" spans="1:7" ht="16.5" hidden="1" customHeight="1" outlineLevel="1">
      <c r="A226" s="328" t="s">
        <v>673</v>
      </c>
      <c r="B226" s="329">
        <v>0</v>
      </c>
      <c r="C226" s="330" t="s">
        <v>661</v>
      </c>
      <c r="D226" s="329">
        <v>0</v>
      </c>
      <c r="E226" s="262"/>
      <c r="F226" s="267"/>
      <c r="G226" s="267"/>
    </row>
    <row r="227" spans="1:7" ht="16.5" hidden="1" customHeight="1" outlineLevel="1">
      <c r="A227" s="97" t="s">
        <v>663</v>
      </c>
      <c r="B227" s="118" t="str">
        <f>IF(ISERROR(E187*B226),"—",E187*B226)</f>
        <v>—</v>
      </c>
      <c r="C227" s="341" t="s">
        <v>661</v>
      </c>
      <c r="D227" s="118" t="str">
        <f>IF(ISERROR(E187*D226),"—",E187*D226)</f>
        <v>—</v>
      </c>
      <c r="F227" s="333"/>
    </row>
    <row r="228" spans="1:7" ht="16.5" hidden="1" customHeight="1" outlineLevel="1">
      <c r="A228" s="97" t="s">
        <v>664</v>
      </c>
      <c r="B228" s="188" t="str">
        <f>IF(ISERROR(AVERAGE(B227,D227)),"—",AVERAGE(B227,D227))</f>
        <v>—</v>
      </c>
      <c r="C228" s="268"/>
      <c r="D228" s="268"/>
      <c r="F228" s="268"/>
    </row>
    <row r="229" spans="1:7" ht="32.25" hidden="1" customHeight="1" outlineLevel="1">
      <c r="B229" s="334" t="s">
        <v>674</v>
      </c>
      <c r="C229" s="335">
        <f>B226</f>
        <v>0</v>
      </c>
      <c r="D229" s="335">
        <f>B226+(D226-B226)/4</f>
        <v>0</v>
      </c>
      <c r="E229" s="335">
        <f>B226+(D226-B226)*2/4</f>
        <v>0</v>
      </c>
      <c r="F229" s="335">
        <f>B226+(D226-B226)*3/4</f>
        <v>0</v>
      </c>
      <c r="G229" s="335">
        <f>D226</f>
        <v>0</v>
      </c>
    </row>
    <row r="230" spans="1:7" ht="16.5" hidden="1" customHeight="1" outlineLevel="1">
      <c r="A230" s="241"/>
      <c r="B230" s="335" t="e">
        <f>B231/1.1</f>
        <v>#VALUE!</v>
      </c>
      <c r="C230" s="336" t="e">
        <f>C$229*$B230</f>
        <v>#VALUE!</v>
      </c>
      <c r="D230" s="336" t="e">
        <f t="shared" ref="D230:G234" si="45">D$229*$B230</f>
        <v>#VALUE!</v>
      </c>
      <c r="E230" s="336" t="e">
        <f t="shared" si="45"/>
        <v>#VALUE!</v>
      </c>
      <c r="F230" s="336" t="e">
        <f t="shared" si="45"/>
        <v>#VALUE!</v>
      </c>
      <c r="G230" s="337" t="e">
        <f t="shared" si="45"/>
        <v>#VALUE!</v>
      </c>
    </row>
    <row r="231" spans="1:7" ht="16.5" hidden="1" customHeight="1" outlineLevel="1">
      <c r="A231" s="241"/>
      <c r="B231" s="335" t="e">
        <f>B232/1.1</f>
        <v>#VALUE!</v>
      </c>
      <c r="C231" s="336" t="e">
        <f t="shared" ref="C231:C234" si="46">C$229*$B231</f>
        <v>#VALUE!</v>
      </c>
      <c r="D231" s="336" t="e">
        <f>D$229*$B231</f>
        <v>#VALUE!</v>
      </c>
      <c r="E231" s="336" t="e">
        <f t="shared" si="45"/>
        <v>#VALUE!</v>
      </c>
      <c r="F231" s="336" t="e">
        <f t="shared" si="45"/>
        <v>#VALUE!</v>
      </c>
      <c r="G231" s="337" t="e">
        <f t="shared" si="45"/>
        <v>#VALUE!</v>
      </c>
    </row>
    <row r="232" spans="1:7" ht="16.5" hidden="1" customHeight="1" outlineLevel="1">
      <c r="A232" s="241"/>
      <c r="B232" s="335" t="str">
        <f>E187</f>
        <v>—</v>
      </c>
      <c r="C232" s="336" t="e">
        <f t="shared" si="46"/>
        <v>#VALUE!</v>
      </c>
      <c r="D232" s="336" t="e">
        <f t="shared" si="45"/>
        <v>#VALUE!</v>
      </c>
      <c r="E232" s="336" t="e">
        <f t="shared" si="45"/>
        <v>#VALUE!</v>
      </c>
      <c r="F232" s="336" t="e">
        <f t="shared" si="45"/>
        <v>#VALUE!</v>
      </c>
      <c r="G232" s="337" t="e">
        <f t="shared" si="45"/>
        <v>#VALUE!</v>
      </c>
    </row>
    <row r="233" spans="1:7" ht="16.5" hidden="1" customHeight="1" outlineLevel="1">
      <c r="A233" s="241"/>
      <c r="B233" s="335" t="e">
        <f>B232*1.1</f>
        <v>#VALUE!</v>
      </c>
      <c r="C233" s="336" t="e">
        <f t="shared" si="46"/>
        <v>#VALUE!</v>
      </c>
      <c r="D233" s="336" t="e">
        <f t="shared" si="45"/>
        <v>#VALUE!</v>
      </c>
      <c r="E233" s="336" t="e">
        <f t="shared" si="45"/>
        <v>#VALUE!</v>
      </c>
      <c r="F233" s="336" t="e">
        <f t="shared" si="45"/>
        <v>#VALUE!</v>
      </c>
      <c r="G233" s="337" t="e">
        <f t="shared" si="45"/>
        <v>#VALUE!</v>
      </c>
    </row>
    <row r="234" spans="1:7" ht="16.5" hidden="1" customHeight="1" outlineLevel="1">
      <c r="A234" s="241"/>
      <c r="B234" s="335" t="e">
        <f>B233*1.1</f>
        <v>#VALUE!</v>
      </c>
      <c r="C234" s="338" t="e">
        <f t="shared" si="46"/>
        <v>#VALUE!</v>
      </c>
      <c r="D234" s="338" t="e">
        <f t="shared" si="45"/>
        <v>#VALUE!</v>
      </c>
      <c r="E234" s="338" t="e">
        <f t="shared" si="45"/>
        <v>#VALUE!</v>
      </c>
      <c r="F234" s="338" t="e">
        <f t="shared" si="45"/>
        <v>#VALUE!</v>
      </c>
      <c r="G234" s="339" t="e">
        <f t="shared" si="45"/>
        <v>#VALUE!</v>
      </c>
    </row>
    <row r="235" spans="1:7" ht="16.5" customHeight="1" collapsed="1"/>
  </sheetData>
  <mergeCells count="6">
    <mergeCell ref="A141:A148"/>
    <mergeCell ref="A46:A53"/>
    <mergeCell ref="A54:A61"/>
    <mergeCell ref="A91:A98"/>
    <mergeCell ref="A99:A106"/>
    <mergeCell ref="A133:A140"/>
  </mergeCells>
  <phoneticPr fontId="140" type="noConversion"/>
  <pageMargins left="0.75" right="0.75" top="1" bottom="1" header="0.5" footer="0.5"/>
  <ignoredErrors>
    <ignoredError sqref="B79" formulaRange="1"/>
    <ignoredError sqref="B167 B169:B170 B173 B197:G198 F199:G199 C199:D199 B200:G201 B208:G209 C210 B211:G212 B219:G220 C221:G221 B222:G223 E210:G210" evalError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C488"/>
  <sheetViews>
    <sheetView showGridLines="0" workbookViewId="0">
      <pane xSplit="1" ySplit="2" topLeftCell="E3" activePane="bottomRight" state="frozen"/>
      <selection pane="topRight"/>
      <selection pane="bottomLeft"/>
      <selection pane="bottomRight" activeCell="A3" sqref="A3"/>
    </sheetView>
  </sheetViews>
  <sheetFormatPr defaultColWidth="9" defaultRowHeight="17.25"/>
  <cols>
    <col min="1" max="1" width="18.5" style="211" customWidth="1"/>
    <col min="2" max="2" width="13.375" style="212" customWidth="1"/>
    <col min="3" max="3" width="12.75" style="212" customWidth="1"/>
    <col min="4" max="4" width="16.625" style="212" customWidth="1"/>
    <col min="5" max="6" width="10" style="213" customWidth="1"/>
    <col min="7" max="7" width="10" style="212" customWidth="1"/>
    <col min="8" max="10" width="11.375" style="214" customWidth="1"/>
    <col min="11" max="11" width="11.375" style="212" customWidth="1"/>
    <col min="12" max="14" width="11.375" style="214" customWidth="1"/>
    <col min="15" max="15" width="11.375" style="212" customWidth="1"/>
    <col min="16" max="18" width="8.625" style="214" customWidth="1"/>
    <col min="19" max="19" width="8.625" style="212" customWidth="1"/>
    <col min="20" max="22" width="11.375" style="214" customWidth="1"/>
    <col min="23" max="23" width="11.375" style="212" customWidth="1"/>
    <col min="24" max="26" width="8.625" style="214" customWidth="1"/>
    <col min="27" max="27" width="8.625" style="212" customWidth="1"/>
    <col min="28" max="30" width="8.625" style="214" customWidth="1"/>
    <col min="31" max="31" width="8.625" style="212" customWidth="1"/>
    <col min="32" max="133" width="9" style="215"/>
    <col min="134" max="16384" width="9" style="216"/>
  </cols>
  <sheetData>
    <row r="1" spans="1:133" s="207" customFormat="1" ht="27" customHeight="1">
      <c r="A1" s="1174" t="s">
        <v>675</v>
      </c>
      <c r="B1" s="217" t="s">
        <v>676</v>
      </c>
      <c r="C1" s="1174" t="s">
        <v>677</v>
      </c>
      <c r="D1" s="1174" t="str">
        <f>"总市值("&amp;目录!D8&amp;")"</f>
        <v>总市值(百万)</v>
      </c>
      <c r="E1" s="1174" t="s">
        <v>655</v>
      </c>
      <c r="F1" s="1174" t="s">
        <v>656</v>
      </c>
      <c r="G1" s="1174" t="s">
        <v>657</v>
      </c>
      <c r="H1" s="1174" t="str">
        <f>"营业收入("&amp;目录!D8&amp;")"</f>
        <v>营业收入(百万)</v>
      </c>
      <c r="I1" s="1174"/>
      <c r="J1" s="1174"/>
      <c r="K1" s="1174"/>
      <c r="L1" s="1174" t="str">
        <f>"经营性现金流净额("&amp;目录!D8&amp;")"</f>
        <v>经营性现金流净额(百万)</v>
      </c>
      <c r="M1" s="1174"/>
      <c r="N1" s="1174"/>
      <c r="O1" s="1174"/>
      <c r="P1" s="1174" t="s">
        <v>678</v>
      </c>
      <c r="Q1" s="1174"/>
      <c r="R1" s="1174"/>
      <c r="S1" s="1174"/>
      <c r="T1" s="1174" t="str">
        <f>"归母净利润("&amp;目录!D8&amp;")"</f>
        <v>归母净利润(百万)</v>
      </c>
      <c r="U1" s="1174"/>
      <c r="V1" s="1174"/>
      <c r="W1" s="1174"/>
      <c r="X1" s="1174" t="s">
        <v>679</v>
      </c>
      <c r="Y1" s="1174"/>
      <c r="Z1" s="1174"/>
      <c r="AA1" s="1174"/>
      <c r="AB1" s="1174" t="s">
        <v>680</v>
      </c>
      <c r="AC1" s="1174"/>
      <c r="AD1" s="1174"/>
      <c r="AE1" s="1174"/>
    </row>
    <row r="2" spans="1:133" s="208" customFormat="1" ht="15" customHeight="1">
      <c r="A2" s="1174"/>
      <c r="B2" s="218"/>
      <c r="C2" s="1174"/>
      <c r="D2" s="1174"/>
      <c r="E2" s="1174"/>
      <c r="F2" s="1174"/>
      <c r="G2" s="1174"/>
      <c r="H2" s="219">
        <v>2021</v>
      </c>
      <c r="I2" s="219">
        <v>2022</v>
      </c>
      <c r="J2" s="219">
        <v>2023</v>
      </c>
      <c r="K2" s="232" t="s">
        <v>681</v>
      </c>
      <c r="L2" s="219">
        <v>2021</v>
      </c>
      <c r="M2" s="219">
        <v>2022</v>
      </c>
      <c r="N2" s="219">
        <v>2023</v>
      </c>
      <c r="O2" s="232" t="s">
        <v>681</v>
      </c>
      <c r="P2" s="219">
        <v>2021</v>
      </c>
      <c r="Q2" s="219">
        <v>2022</v>
      </c>
      <c r="R2" s="219">
        <v>2023</v>
      </c>
      <c r="S2" s="232" t="s">
        <v>681</v>
      </c>
      <c r="T2" s="219">
        <v>2021</v>
      </c>
      <c r="U2" s="219">
        <v>2022</v>
      </c>
      <c r="V2" s="219">
        <v>2023</v>
      </c>
      <c r="W2" s="232" t="s">
        <v>681</v>
      </c>
      <c r="X2" s="219">
        <v>2021</v>
      </c>
      <c r="Y2" s="219">
        <v>2022</v>
      </c>
      <c r="Z2" s="219">
        <v>2023</v>
      </c>
      <c r="AA2" s="232" t="s">
        <v>681</v>
      </c>
      <c r="AB2" s="219">
        <v>2021</v>
      </c>
      <c r="AC2" s="219">
        <v>2022</v>
      </c>
      <c r="AD2" s="219">
        <v>2023</v>
      </c>
      <c r="AE2" s="232" t="s">
        <v>681</v>
      </c>
      <c r="AF2" s="237"/>
      <c r="AG2" s="237"/>
      <c r="AH2" s="237"/>
      <c r="AI2" s="237"/>
      <c r="AJ2" s="237"/>
      <c r="AK2" s="237"/>
      <c r="AL2" s="237"/>
      <c r="AM2" s="237"/>
      <c r="AN2" s="237"/>
      <c r="AO2" s="237"/>
      <c r="AP2" s="237"/>
      <c r="AQ2" s="237"/>
      <c r="AR2" s="237"/>
      <c r="AS2" s="237"/>
      <c r="AT2" s="237"/>
      <c r="AU2" s="237"/>
      <c r="AV2" s="237"/>
      <c r="AW2" s="237"/>
      <c r="AX2" s="237"/>
      <c r="AY2" s="237"/>
      <c r="AZ2" s="237"/>
      <c r="BA2" s="237"/>
      <c r="BB2" s="237"/>
      <c r="BC2" s="237"/>
      <c r="BD2" s="237"/>
      <c r="BE2" s="237"/>
      <c r="BF2" s="237"/>
      <c r="BG2" s="237"/>
      <c r="BH2" s="237"/>
      <c r="BI2" s="237"/>
      <c r="BJ2" s="237"/>
      <c r="BK2" s="237"/>
      <c r="BL2" s="237"/>
      <c r="BM2" s="237"/>
      <c r="BN2" s="237"/>
      <c r="BO2" s="237"/>
      <c r="BP2" s="237"/>
      <c r="BQ2" s="237"/>
      <c r="BR2" s="237"/>
      <c r="BS2" s="237"/>
      <c r="BT2" s="237"/>
      <c r="BU2" s="237"/>
      <c r="BV2" s="237"/>
      <c r="BW2" s="237"/>
      <c r="BX2" s="237"/>
      <c r="BY2" s="237"/>
      <c r="BZ2" s="237"/>
      <c r="CA2" s="237"/>
      <c r="CB2" s="237"/>
      <c r="CC2" s="237"/>
      <c r="CD2" s="237"/>
      <c r="CE2" s="237"/>
      <c r="CF2" s="237"/>
      <c r="CG2" s="237"/>
      <c r="CH2" s="237"/>
      <c r="CI2" s="237"/>
      <c r="CJ2" s="237"/>
      <c r="CK2" s="237"/>
      <c r="CL2" s="237"/>
      <c r="CM2" s="237"/>
      <c r="CN2" s="237"/>
      <c r="CO2" s="237"/>
      <c r="CP2" s="237"/>
      <c r="CQ2" s="237"/>
      <c r="CR2" s="237"/>
      <c r="CS2" s="237"/>
      <c r="CT2" s="237"/>
      <c r="CU2" s="237"/>
      <c r="CV2" s="237"/>
      <c r="CW2" s="237"/>
      <c r="CX2" s="237"/>
      <c r="CY2" s="237"/>
      <c r="CZ2" s="237"/>
      <c r="DA2" s="237"/>
      <c r="DB2" s="237"/>
      <c r="DC2" s="237"/>
      <c r="DD2" s="237"/>
      <c r="DE2" s="237"/>
      <c r="DF2" s="237"/>
      <c r="DG2" s="237"/>
      <c r="DH2" s="237"/>
      <c r="DI2" s="237"/>
      <c r="DJ2" s="237"/>
      <c r="DK2" s="237"/>
      <c r="DL2" s="237"/>
      <c r="DM2" s="237"/>
      <c r="DN2" s="237"/>
      <c r="DO2" s="237"/>
      <c r="DP2" s="237"/>
      <c r="DQ2" s="237"/>
      <c r="DR2" s="237"/>
      <c r="DS2" s="237"/>
      <c r="DT2" s="237"/>
      <c r="DU2" s="237"/>
      <c r="DV2" s="237"/>
      <c r="DW2" s="237"/>
      <c r="DX2" s="237"/>
      <c r="DY2" s="237"/>
      <c r="DZ2" s="237"/>
      <c r="EA2" s="237"/>
      <c r="EB2" s="237"/>
      <c r="EC2" s="237"/>
    </row>
    <row r="3" spans="1:133" s="209" customFormat="1" ht="20.100000000000001" customHeight="1">
      <c r="A3" s="220"/>
      <c r="B3" s="221"/>
      <c r="C3" s="221"/>
      <c r="D3" s="221"/>
      <c r="E3" s="222"/>
      <c r="F3" s="222"/>
      <c r="G3" s="223"/>
      <c r="H3" s="224"/>
      <c r="I3" s="224"/>
      <c r="J3" s="224"/>
      <c r="K3" s="233"/>
      <c r="L3" s="224"/>
      <c r="M3" s="224"/>
      <c r="N3" s="224"/>
      <c r="O3" s="233"/>
      <c r="P3" s="224"/>
      <c r="Q3" s="224"/>
      <c r="R3" s="224"/>
      <c r="S3" s="233"/>
      <c r="T3" s="224"/>
      <c r="U3" s="224"/>
      <c r="V3" s="224"/>
      <c r="W3" s="233"/>
      <c r="X3" s="224"/>
      <c r="Y3" s="224"/>
      <c r="Z3" s="224"/>
      <c r="AA3" s="233"/>
      <c r="AB3" s="224"/>
      <c r="AC3" s="224"/>
      <c r="AD3" s="224"/>
      <c r="AE3" s="233"/>
      <c r="AF3" s="238"/>
      <c r="AG3" s="238"/>
      <c r="AH3" s="238"/>
      <c r="AI3" s="238"/>
      <c r="AJ3" s="238"/>
      <c r="AK3" s="238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</row>
    <row r="4" spans="1:133" s="210" customFormat="1" ht="20.100000000000001" customHeight="1">
      <c r="A4" s="225" t="s">
        <v>682</v>
      </c>
      <c r="B4" s="226"/>
      <c r="C4" s="226"/>
      <c r="D4" s="226"/>
      <c r="E4" s="227"/>
      <c r="F4" s="227"/>
      <c r="G4" s="226"/>
      <c r="H4" s="228"/>
      <c r="I4" s="228"/>
      <c r="J4" s="228"/>
      <c r="K4" s="234"/>
      <c r="L4" s="228"/>
      <c r="M4" s="228"/>
      <c r="N4" s="228"/>
      <c r="O4" s="234"/>
      <c r="P4" s="228"/>
      <c r="Q4" s="228"/>
      <c r="R4" s="228"/>
      <c r="S4" s="234"/>
      <c r="T4" s="228"/>
      <c r="U4" s="228"/>
      <c r="V4" s="228"/>
      <c r="W4" s="234"/>
      <c r="X4" s="228"/>
      <c r="Y4" s="228"/>
      <c r="Z4" s="228"/>
      <c r="AA4" s="234"/>
      <c r="AB4" s="228"/>
      <c r="AC4" s="228"/>
      <c r="AD4" s="228"/>
      <c r="AE4" s="234"/>
      <c r="AF4" s="238"/>
      <c r="AG4" s="238"/>
      <c r="AH4" s="238"/>
      <c r="AI4" s="238"/>
      <c r="AJ4" s="238"/>
      <c r="AK4" s="238"/>
    </row>
    <row r="5" spans="1:133" s="210" customFormat="1" ht="20.100000000000001" customHeight="1">
      <c r="A5" s="229"/>
      <c r="B5" s="223"/>
      <c r="C5" s="223"/>
      <c r="D5" s="223"/>
      <c r="E5" s="222"/>
      <c r="F5" s="222"/>
      <c r="G5" s="223"/>
      <c r="H5" s="230"/>
      <c r="I5" s="230"/>
      <c r="J5" s="230"/>
      <c r="K5" s="235"/>
      <c r="L5" s="230"/>
      <c r="M5" s="230"/>
      <c r="N5" s="230"/>
      <c r="O5" s="235"/>
      <c r="P5" s="230"/>
      <c r="Q5" s="230"/>
      <c r="R5" s="230"/>
      <c r="S5" s="235"/>
      <c r="T5" s="230"/>
      <c r="U5" s="230"/>
      <c r="V5" s="230"/>
      <c r="W5" s="235"/>
      <c r="X5" s="230"/>
      <c r="Y5" s="230"/>
      <c r="Z5" s="230"/>
      <c r="AA5" s="235"/>
      <c r="AB5" s="230"/>
      <c r="AC5" s="230"/>
      <c r="AD5" s="230"/>
      <c r="AE5" s="235"/>
      <c r="AF5" s="238"/>
      <c r="AG5" s="238"/>
      <c r="AH5" s="238"/>
      <c r="AI5" s="238"/>
      <c r="AJ5" s="238"/>
      <c r="AK5" s="238"/>
    </row>
    <row r="6" spans="1:133" s="210" customFormat="1" ht="20.100000000000001" customHeight="1">
      <c r="A6" s="229"/>
      <c r="B6" s="223"/>
      <c r="C6" s="223"/>
      <c r="D6" s="223"/>
      <c r="E6" s="222"/>
      <c r="F6" s="222"/>
      <c r="G6" s="223"/>
      <c r="H6" s="230"/>
      <c r="I6" s="230"/>
      <c r="J6" s="230"/>
      <c r="K6" s="235"/>
      <c r="L6" s="230"/>
      <c r="M6" s="230"/>
      <c r="N6" s="230"/>
      <c r="O6" s="235"/>
      <c r="P6" s="230"/>
      <c r="Q6" s="230"/>
      <c r="R6" s="230"/>
      <c r="S6" s="235"/>
      <c r="T6" s="230"/>
      <c r="U6" s="230"/>
      <c r="V6" s="230"/>
      <c r="W6" s="235"/>
      <c r="X6" s="230"/>
      <c r="Y6" s="230"/>
      <c r="Z6" s="230"/>
      <c r="AA6" s="235"/>
      <c r="AB6" s="230"/>
      <c r="AC6" s="230"/>
      <c r="AD6" s="230"/>
      <c r="AE6" s="235"/>
      <c r="AF6" s="238"/>
      <c r="AG6" s="238"/>
      <c r="AH6" s="238"/>
      <c r="AI6" s="238"/>
      <c r="AJ6" s="238"/>
      <c r="AK6" s="238"/>
    </row>
    <row r="7" spans="1:133" s="210" customFormat="1" ht="20.100000000000001" customHeight="1">
      <c r="A7" s="229"/>
      <c r="B7" s="223"/>
      <c r="C7" s="223"/>
      <c r="D7" s="223"/>
      <c r="E7" s="222"/>
      <c r="F7" s="222"/>
      <c r="G7" s="223"/>
      <c r="H7" s="230"/>
      <c r="I7" s="230"/>
      <c r="J7" s="230"/>
      <c r="K7" s="235"/>
      <c r="L7" s="230"/>
      <c r="M7" s="230"/>
      <c r="N7" s="230"/>
      <c r="O7" s="235"/>
      <c r="P7" s="230"/>
      <c r="Q7" s="230"/>
      <c r="R7" s="230"/>
      <c r="S7" s="235"/>
      <c r="T7" s="230"/>
      <c r="U7" s="230"/>
      <c r="V7" s="230"/>
      <c r="W7" s="235"/>
      <c r="X7" s="230"/>
      <c r="Y7" s="230"/>
      <c r="Z7" s="230"/>
      <c r="AA7" s="235"/>
      <c r="AB7" s="230"/>
      <c r="AC7" s="230"/>
      <c r="AD7" s="230"/>
      <c r="AE7" s="235"/>
      <c r="AF7" s="238"/>
      <c r="AG7" s="238"/>
      <c r="AH7" s="238"/>
      <c r="AI7" s="238"/>
      <c r="AJ7" s="238"/>
      <c r="AK7" s="238"/>
    </row>
    <row r="8" spans="1:133" s="210" customFormat="1" ht="20.100000000000001" customHeight="1">
      <c r="A8" s="229"/>
      <c r="B8" s="223"/>
      <c r="C8" s="223"/>
      <c r="D8" s="223"/>
      <c r="E8" s="222"/>
      <c r="F8" s="222"/>
      <c r="G8" s="223"/>
      <c r="H8" s="230"/>
      <c r="I8" s="230"/>
      <c r="J8" s="230"/>
      <c r="K8" s="235"/>
      <c r="L8" s="230"/>
      <c r="M8" s="230"/>
      <c r="N8" s="230"/>
      <c r="O8" s="235"/>
      <c r="P8" s="230"/>
      <c r="Q8" s="230"/>
      <c r="R8" s="230"/>
      <c r="S8" s="235"/>
      <c r="T8" s="230"/>
      <c r="U8" s="230"/>
      <c r="V8" s="230"/>
      <c r="W8" s="235"/>
      <c r="X8" s="230"/>
      <c r="Y8" s="230"/>
      <c r="Z8" s="230"/>
      <c r="AA8" s="235"/>
      <c r="AB8" s="230"/>
      <c r="AC8" s="230"/>
      <c r="AD8" s="230"/>
      <c r="AE8" s="235"/>
      <c r="AF8" s="238"/>
      <c r="AG8" s="238"/>
      <c r="AH8" s="238"/>
      <c r="AI8" s="238"/>
      <c r="AJ8" s="238"/>
      <c r="AK8" s="238"/>
    </row>
    <row r="9" spans="1:133" s="210" customFormat="1" ht="20.100000000000001" customHeight="1">
      <c r="A9" s="229"/>
      <c r="B9" s="223"/>
      <c r="C9" s="223"/>
      <c r="D9" s="223"/>
      <c r="E9" s="222"/>
      <c r="F9" s="222"/>
      <c r="G9" s="223"/>
      <c r="H9" s="230"/>
      <c r="I9" s="230"/>
      <c r="J9" s="230"/>
      <c r="K9" s="235"/>
      <c r="L9" s="230"/>
      <c r="M9" s="230"/>
      <c r="N9" s="230"/>
      <c r="O9" s="235"/>
      <c r="P9" s="230"/>
      <c r="Q9" s="230"/>
      <c r="R9" s="230"/>
      <c r="S9" s="235"/>
      <c r="T9" s="230"/>
      <c r="U9" s="230"/>
      <c r="V9" s="230"/>
      <c r="W9" s="235"/>
      <c r="X9" s="230"/>
      <c r="Y9" s="230"/>
      <c r="Z9" s="230"/>
      <c r="AA9" s="235"/>
      <c r="AB9" s="230"/>
      <c r="AC9" s="230"/>
      <c r="AD9" s="230"/>
      <c r="AE9" s="235"/>
      <c r="AF9" s="238"/>
      <c r="AG9" s="238"/>
      <c r="AH9" s="238"/>
      <c r="AI9" s="238"/>
      <c r="AJ9" s="238"/>
      <c r="AK9" s="238"/>
    </row>
    <row r="10" spans="1:133" s="210" customFormat="1" ht="20.100000000000001" customHeight="1">
      <c r="A10" s="229"/>
      <c r="B10" s="223"/>
      <c r="C10" s="223"/>
      <c r="D10" s="223"/>
      <c r="E10" s="222"/>
      <c r="F10" s="222"/>
      <c r="G10" s="223"/>
      <c r="H10" s="230"/>
      <c r="I10" s="230"/>
      <c r="J10" s="230"/>
      <c r="K10" s="235"/>
      <c r="L10" s="230"/>
      <c r="M10" s="230"/>
      <c r="N10" s="230"/>
      <c r="O10" s="235"/>
      <c r="P10" s="230"/>
      <c r="Q10" s="230"/>
      <c r="R10" s="230"/>
      <c r="S10" s="235"/>
      <c r="T10" s="230"/>
      <c r="U10" s="230"/>
      <c r="V10" s="230"/>
      <c r="W10" s="235"/>
      <c r="X10" s="230"/>
      <c r="Y10" s="230"/>
      <c r="Z10" s="230"/>
      <c r="AA10" s="235"/>
      <c r="AB10" s="230"/>
      <c r="AC10" s="230"/>
      <c r="AD10" s="230"/>
      <c r="AE10" s="235"/>
      <c r="AF10" s="238"/>
      <c r="AG10" s="238"/>
      <c r="AH10" s="238"/>
      <c r="AI10" s="238"/>
      <c r="AJ10" s="238"/>
      <c r="AK10" s="238"/>
    </row>
    <row r="11" spans="1:133" s="210" customFormat="1" ht="20.100000000000001" customHeight="1">
      <c r="A11" s="229"/>
      <c r="B11" s="223"/>
      <c r="C11" s="223"/>
      <c r="D11" s="223"/>
      <c r="E11" s="222"/>
      <c r="F11" s="222"/>
      <c r="G11" s="223"/>
      <c r="H11" s="230"/>
      <c r="I11" s="230"/>
      <c r="J11" s="230"/>
      <c r="K11" s="235"/>
      <c r="L11" s="230"/>
      <c r="M11" s="230"/>
      <c r="N11" s="230"/>
      <c r="O11" s="235"/>
      <c r="P11" s="230"/>
      <c r="Q11" s="230"/>
      <c r="R11" s="230"/>
      <c r="S11" s="235"/>
      <c r="T11" s="230"/>
      <c r="U11" s="230"/>
      <c r="V11" s="230"/>
      <c r="W11" s="235"/>
      <c r="X11" s="230"/>
      <c r="Y11" s="230"/>
      <c r="Z11" s="230"/>
      <c r="AA11" s="235"/>
      <c r="AB11" s="230"/>
      <c r="AC11" s="230"/>
      <c r="AD11" s="230"/>
      <c r="AE11" s="235"/>
      <c r="AF11" s="238"/>
      <c r="AG11" s="238"/>
      <c r="AH11" s="238"/>
      <c r="AI11" s="238"/>
      <c r="AJ11" s="238"/>
      <c r="AK11" s="238"/>
    </row>
    <row r="12" spans="1:133" s="210" customFormat="1" ht="20.100000000000001" customHeight="1">
      <c r="A12" s="229"/>
      <c r="B12" s="223"/>
      <c r="C12" s="223"/>
      <c r="D12" s="223"/>
      <c r="E12" s="222"/>
      <c r="F12" s="222"/>
      <c r="G12" s="223"/>
      <c r="H12" s="230"/>
      <c r="I12" s="230"/>
      <c r="J12" s="230"/>
      <c r="K12" s="235"/>
      <c r="L12" s="230"/>
      <c r="M12" s="230"/>
      <c r="N12" s="230"/>
      <c r="O12" s="235"/>
      <c r="P12" s="230"/>
      <c r="Q12" s="230"/>
      <c r="R12" s="230"/>
      <c r="S12" s="235"/>
      <c r="T12" s="230"/>
      <c r="U12" s="230"/>
      <c r="V12" s="230"/>
      <c r="W12" s="235"/>
      <c r="X12" s="230"/>
      <c r="Y12" s="230"/>
      <c r="Z12" s="230"/>
      <c r="AA12" s="235"/>
      <c r="AB12" s="230"/>
      <c r="AC12" s="230"/>
      <c r="AD12" s="230"/>
      <c r="AE12" s="235"/>
      <c r="AF12" s="238"/>
      <c r="AG12" s="238"/>
      <c r="AH12" s="238"/>
      <c r="AI12" s="238"/>
      <c r="AJ12" s="238"/>
      <c r="AK12" s="238"/>
    </row>
    <row r="13" spans="1:133" s="210" customFormat="1" ht="20.100000000000001" customHeight="1">
      <c r="A13" s="229"/>
      <c r="B13" s="223"/>
      <c r="C13" s="223"/>
      <c r="D13" s="223"/>
      <c r="E13" s="222"/>
      <c r="F13" s="222"/>
      <c r="G13" s="223"/>
      <c r="H13" s="230"/>
      <c r="I13" s="230"/>
      <c r="J13" s="230"/>
      <c r="K13" s="235"/>
      <c r="L13" s="230"/>
      <c r="M13" s="230"/>
      <c r="N13" s="230"/>
      <c r="O13" s="235"/>
      <c r="P13" s="230"/>
      <c r="Q13" s="230"/>
      <c r="R13" s="230"/>
      <c r="S13" s="235"/>
      <c r="T13" s="230"/>
      <c r="U13" s="230"/>
      <c r="V13" s="230"/>
      <c r="W13" s="235"/>
      <c r="X13" s="230"/>
      <c r="Y13" s="230"/>
      <c r="Z13" s="230"/>
      <c r="AA13" s="235"/>
      <c r="AB13" s="230"/>
      <c r="AC13" s="230"/>
      <c r="AD13" s="230"/>
      <c r="AE13" s="235"/>
      <c r="AF13" s="238"/>
      <c r="AG13" s="238"/>
      <c r="AH13" s="238"/>
      <c r="AI13" s="238"/>
      <c r="AJ13" s="238"/>
      <c r="AK13" s="238"/>
    </row>
    <row r="14" spans="1:133" s="210" customFormat="1" ht="20.100000000000001" customHeight="1">
      <c r="A14" s="229"/>
      <c r="B14" s="223"/>
      <c r="C14" s="223"/>
      <c r="D14" s="223"/>
      <c r="E14" s="222"/>
      <c r="F14" s="222"/>
      <c r="G14" s="223"/>
      <c r="H14" s="230"/>
      <c r="I14" s="230"/>
      <c r="J14" s="230"/>
      <c r="K14" s="235"/>
      <c r="L14" s="230"/>
      <c r="M14" s="230"/>
      <c r="N14" s="230"/>
      <c r="O14" s="235"/>
      <c r="P14" s="230"/>
      <c r="Q14" s="230"/>
      <c r="R14" s="230"/>
      <c r="S14" s="235"/>
      <c r="T14" s="230"/>
      <c r="U14" s="230"/>
      <c r="V14" s="230"/>
      <c r="W14" s="235"/>
      <c r="X14" s="230"/>
      <c r="Y14" s="230"/>
      <c r="Z14" s="230"/>
      <c r="AA14" s="235"/>
      <c r="AB14" s="230"/>
      <c r="AC14" s="230"/>
      <c r="AD14" s="230"/>
      <c r="AE14" s="235"/>
      <c r="AF14" s="238"/>
      <c r="AG14" s="238"/>
      <c r="AH14" s="238"/>
      <c r="AI14" s="238"/>
      <c r="AJ14" s="238"/>
      <c r="AK14" s="238"/>
    </row>
    <row r="15" spans="1:133" s="210" customFormat="1" ht="20.100000000000001" customHeight="1">
      <c r="A15" s="229"/>
      <c r="B15" s="223"/>
      <c r="C15" s="223"/>
      <c r="D15" s="223"/>
      <c r="E15" s="222"/>
      <c r="F15" s="222"/>
      <c r="G15" s="223"/>
      <c r="H15" s="230"/>
      <c r="I15" s="230"/>
      <c r="J15" s="230"/>
      <c r="K15" s="235"/>
      <c r="L15" s="230"/>
      <c r="M15" s="230"/>
      <c r="N15" s="230"/>
      <c r="O15" s="235"/>
      <c r="P15" s="230"/>
      <c r="Q15" s="230"/>
      <c r="R15" s="230"/>
      <c r="S15" s="235"/>
      <c r="T15" s="230"/>
      <c r="U15" s="230"/>
      <c r="V15" s="230"/>
      <c r="W15" s="235"/>
      <c r="X15" s="230"/>
      <c r="Y15" s="230"/>
      <c r="Z15" s="230"/>
      <c r="AA15" s="235"/>
      <c r="AB15" s="230"/>
      <c r="AC15" s="230"/>
      <c r="AD15" s="230"/>
      <c r="AE15" s="235"/>
      <c r="AF15" s="238"/>
      <c r="AG15" s="238"/>
      <c r="AH15" s="238"/>
      <c r="AI15" s="238"/>
      <c r="AJ15" s="238"/>
      <c r="AK15" s="238"/>
    </row>
    <row r="16" spans="1:133" s="210" customFormat="1" ht="20.100000000000001" customHeight="1">
      <c r="A16" s="229"/>
      <c r="B16" s="223"/>
      <c r="C16" s="223"/>
      <c r="D16" s="223"/>
      <c r="E16" s="222"/>
      <c r="F16" s="222"/>
      <c r="G16" s="223"/>
      <c r="H16" s="230"/>
      <c r="I16" s="230"/>
      <c r="J16" s="230"/>
      <c r="K16" s="235"/>
      <c r="L16" s="230"/>
      <c r="M16" s="230"/>
      <c r="N16" s="230"/>
      <c r="O16" s="235"/>
      <c r="P16" s="230"/>
      <c r="Q16" s="230"/>
      <c r="R16" s="230"/>
      <c r="S16" s="235"/>
      <c r="T16" s="230"/>
      <c r="U16" s="230"/>
      <c r="V16" s="230"/>
      <c r="W16" s="235"/>
      <c r="X16" s="230"/>
      <c r="Y16" s="230"/>
      <c r="Z16" s="230"/>
      <c r="AA16" s="235"/>
      <c r="AB16" s="230"/>
      <c r="AC16" s="230"/>
      <c r="AD16" s="230"/>
      <c r="AE16" s="235"/>
      <c r="AF16" s="238"/>
      <c r="AG16" s="238"/>
      <c r="AH16" s="238"/>
      <c r="AI16" s="238"/>
      <c r="AJ16" s="238"/>
      <c r="AK16" s="238"/>
    </row>
    <row r="17" spans="1:37" s="210" customFormat="1" ht="20.100000000000001" customHeight="1">
      <c r="A17" s="229"/>
      <c r="B17" s="223"/>
      <c r="C17" s="223"/>
      <c r="D17" s="223"/>
      <c r="E17" s="222"/>
      <c r="F17" s="222"/>
      <c r="G17" s="223"/>
      <c r="H17" s="230"/>
      <c r="I17" s="230"/>
      <c r="J17" s="230"/>
      <c r="K17" s="235"/>
      <c r="L17" s="230"/>
      <c r="M17" s="230"/>
      <c r="N17" s="230"/>
      <c r="O17" s="235"/>
      <c r="P17" s="230"/>
      <c r="Q17" s="230"/>
      <c r="R17" s="230"/>
      <c r="S17" s="235"/>
      <c r="T17" s="230"/>
      <c r="U17" s="230"/>
      <c r="V17" s="230"/>
      <c r="W17" s="235"/>
      <c r="X17" s="230"/>
      <c r="Y17" s="230"/>
      <c r="Z17" s="230"/>
      <c r="AA17" s="235"/>
      <c r="AB17" s="230"/>
      <c r="AC17" s="230"/>
      <c r="AD17" s="230"/>
      <c r="AE17" s="235"/>
      <c r="AF17" s="238"/>
      <c r="AG17" s="238"/>
      <c r="AH17" s="238"/>
      <c r="AI17" s="238"/>
      <c r="AJ17" s="238"/>
      <c r="AK17" s="238"/>
    </row>
    <row r="18" spans="1:37" s="210" customFormat="1" ht="20.100000000000001" customHeight="1">
      <c r="A18" s="229"/>
      <c r="B18" s="223"/>
      <c r="C18" s="223"/>
      <c r="D18" s="223"/>
      <c r="E18" s="222"/>
      <c r="F18" s="222"/>
      <c r="G18" s="223"/>
      <c r="H18" s="230"/>
      <c r="I18" s="230"/>
      <c r="J18" s="230"/>
      <c r="K18" s="235"/>
      <c r="L18" s="230"/>
      <c r="M18" s="230"/>
      <c r="N18" s="230"/>
      <c r="O18" s="235"/>
      <c r="P18" s="230"/>
      <c r="Q18" s="230"/>
      <c r="R18" s="230"/>
      <c r="S18" s="235"/>
      <c r="T18" s="230"/>
      <c r="U18" s="230"/>
      <c r="V18" s="230"/>
      <c r="W18" s="235"/>
      <c r="X18" s="230"/>
      <c r="Y18" s="230"/>
      <c r="Z18" s="230"/>
      <c r="AA18" s="235"/>
      <c r="AB18" s="230"/>
      <c r="AC18" s="230"/>
      <c r="AD18" s="230"/>
      <c r="AE18" s="235"/>
      <c r="AF18" s="238"/>
      <c r="AG18" s="238"/>
      <c r="AH18" s="238"/>
      <c r="AI18" s="238"/>
      <c r="AJ18" s="238"/>
      <c r="AK18" s="238"/>
    </row>
    <row r="19" spans="1:37" s="210" customFormat="1" ht="20.100000000000001" customHeight="1">
      <c r="A19" s="229"/>
      <c r="B19" s="223"/>
      <c r="C19" s="223"/>
      <c r="D19" s="223"/>
      <c r="E19" s="222"/>
      <c r="F19" s="222"/>
      <c r="G19" s="223"/>
      <c r="H19" s="230"/>
      <c r="I19" s="230"/>
      <c r="J19" s="230"/>
      <c r="K19" s="235"/>
      <c r="L19" s="230"/>
      <c r="M19" s="230"/>
      <c r="N19" s="230"/>
      <c r="O19" s="235"/>
      <c r="P19" s="230"/>
      <c r="Q19" s="230"/>
      <c r="R19" s="230"/>
      <c r="S19" s="235"/>
      <c r="T19" s="230"/>
      <c r="U19" s="230"/>
      <c r="V19" s="230"/>
      <c r="W19" s="235"/>
      <c r="X19" s="230"/>
      <c r="Y19" s="230"/>
      <c r="Z19" s="230"/>
      <c r="AA19" s="235"/>
      <c r="AB19" s="230"/>
      <c r="AC19" s="230"/>
      <c r="AD19" s="230"/>
      <c r="AE19" s="235"/>
      <c r="AF19" s="238"/>
      <c r="AG19" s="238"/>
      <c r="AH19" s="238"/>
      <c r="AI19" s="238"/>
      <c r="AJ19" s="238"/>
      <c r="AK19" s="238"/>
    </row>
    <row r="20" spans="1:37" s="210" customFormat="1" ht="20.100000000000001" customHeight="1">
      <c r="A20" s="229"/>
      <c r="B20" s="223"/>
      <c r="C20" s="223"/>
      <c r="D20" s="223"/>
      <c r="E20" s="222"/>
      <c r="F20" s="222"/>
      <c r="G20" s="223"/>
      <c r="H20" s="230"/>
      <c r="I20" s="230"/>
      <c r="J20" s="230"/>
      <c r="K20" s="235"/>
      <c r="L20" s="230"/>
      <c r="M20" s="230"/>
      <c r="N20" s="230"/>
      <c r="O20" s="235"/>
      <c r="P20" s="230"/>
      <c r="Q20" s="230"/>
      <c r="R20" s="230"/>
      <c r="S20" s="235"/>
      <c r="T20" s="230"/>
      <c r="U20" s="230"/>
      <c r="V20" s="230"/>
      <c r="W20" s="235"/>
      <c r="X20" s="230"/>
      <c r="Y20" s="230"/>
      <c r="Z20" s="230"/>
      <c r="AA20" s="235"/>
      <c r="AB20" s="230"/>
      <c r="AC20" s="230"/>
      <c r="AD20" s="230"/>
      <c r="AE20" s="235"/>
      <c r="AF20" s="238"/>
      <c r="AG20" s="238"/>
      <c r="AH20" s="238"/>
      <c r="AI20" s="238"/>
      <c r="AJ20" s="238"/>
      <c r="AK20" s="238"/>
    </row>
    <row r="21" spans="1:37" s="210" customFormat="1" ht="20.100000000000001" customHeight="1">
      <c r="A21" s="229"/>
      <c r="B21" s="223"/>
      <c r="C21" s="223"/>
      <c r="D21" s="223"/>
      <c r="E21" s="222"/>
      <c r="F21" s="222"/>
      <c r="G21" s="223"/>
      <c r="H21" s="230"/>
      <c r="I21" s="230"/>
      <c r="J21" s="230"/>
      <c r="K21" s="235"/>
      <c r="L21" s="230"/>
      <c r="M21" s="230"/>
      <c r="N21" s="230"/>
      <c r="O21" s="235"/>
      <c r="P21" s="230"/>
      <c r="Q21" s="230"/>
      <c r="R21" s="230"/>
      <c r="S21" s="235"/>
      <c r="T21" s="230"/>
      <c r="U21" s="230"/>
      <c r="V21" s="230"/>
      <c r="W21" s="235"/>
      <c r="X21" s="230"/>
      <c r="Y21" s="230"/>
      <c r="Z21" s="230"/>
      <c r="AA21" s="235"/>
      <c r="AB21" s="230"/>
      <c r="AC21" s="230"/>
      <c r="AD21" s="230"/>
      <c r="AE21" s="235"/>
      <c r="AF21" s="238"/>
      <c r="AG21" s="238"/>
      <c r="AH21" s="238"/>
      <c r="AI21" s="238"/>
      <c r="AJ21" s="238"/>
      <c r="AK21" s="238"/>
    </row>
    <row r="22" spans="1:37" s="210" customFormat="1" ht="20.100000000000001" customHeight="1">
      <c r="A22" s="229"/>
      <c r="B22" s="223"/>
      <c r="C22" s="223"/>
      <c r="D22" s="223"/>
      <c r="E22" s="222"/>
      <c r="F22" s="222"/>
      <c r="G22" s="223"/>
      <c r="H22" s="230"/>
      <c r="I22" s="230"/>
      <c r="J22" s="230"/>
      <c r="K22" s="235"/>
      <c r="L22" s="230"/>
      <c r="M22" s="230"/>
      <c r="N22" s="230"/>
      <c r="O22" s="235"/>
      <c r="P22" s="230"/>
      <c r="Q22" s="230"/>
      <c r="R22" s="230"/>
      <c r="S22" s="235"/>
      <c r="T22" s="230"/>
      <c r="U22" s="230"/>
      <c r="V22" s="230"/>
      <c r="W22" s="235"/>
      <c r="X22" s="230"/>
      <c r="Y22" s="230"/>
      <c r="Z22" s="230"/>
      <c r="AA22" s="235"/>
      <c r="AB22" s="230"/>
      <c r="AC22" s="230"/>
      <c r="AD22" s="230"/>
      <c r="AE22" s="235"/>
      <c r="AF22" s="238"/>
      <c r="AG22" s="238"/>
      <c r="AH22" s="238"/>
      <c r="AI22" s="238"/>
      <c r="AJ22" s="238"/>
      <c r="AK22" s="238"/>
    </row>
    <row r="23" spans="1:37" s="210" customFormat="1" ht="20.100000000000001" customHeight="1">
      <c r="A23" s="229"/>
      <c r="B23" s="223"/>
      <c r="C23" s="223"/>
      <c r="D23" s="223"/>
      <c r="E23" s="222"/>
      <c r="F23" s="222"/>
      <c r="G23" s="223"/>
      <c r="H23" s="230"/>
      <c r="I23" s="230"/>
      <c r="J23" s="230"/>
      <c r="K23" s="235"/>
      <c r="L23" s="230"/>
      <c r="M23" s="230"/>
      <c r="N23" s="230"/>
      <c r="O23" s="235"/>
      <c r="P23" s="230"/>
      <c r="Q23" s="230"/>
      <c r="R23" s="230"/>
      <c r="S23" s="235"/>
      <c r="T23" s="230"/>
      <c r="U23" s="230"/>
      <c r="V23" s="230"/>
      <c r="W23" s="235"/>
      <c r="X23" s="230"/>
      <c r="Y23" s="230"/>
      <c r="Z23" s="230"/>
      <c r="AA23" s="235"/>
      <c r="AB23" s="230"/>
      <c r="AC23" s="230"/>
      <c r="AD23" s="230"/>
      <c r="AE23" s="235"/>
      <c r="AF23" s="238"/>
      <c r="AG23" s="238"/>
      <c r="AH23" s="238"/>
      <c r="AI23" s="238"/>
      <c r="AJ23" s="238"/>
      <c r="AK23" s="238"/>
    </row>
    <row r="24" spans="1:37" s="210" customFormat="1" ht="20.100000000000001" customHeight="1">
      <c r="A24" s="229"/>
      <c r="B24" s="223"/>
      <c r="C24" s="223"/>
      <c r="D24" s="223"/>
      <c r="E24" s="222"/>
      <c r="F24" s="222"/>
      <c r="G24" s="223"/>
      <c r="H24" s="230"/>
      <c r="I24" s="230"/>
      <c r="J24" s="230"/>
      <c r="K24" s="235"/>
      <c r="L24" s="230"/>
      <c r="M24" s="230"/>
      <c r="N24" s="230"/>
      <c r="O24" s="235"/>
      <c r="P24" s="230"/>
      <c r="Q24" s="230"/>
      <c r="R24" s="230"/>
      <c r="S24" s="235"/>
      <c r="T24" s="230"/>
      <c r="U24" s="230"/>
      <c r="V24" s="230"/>
      <c r="W24" s="235"/>
      <c r="X24" s="230"/>
      <c r="Y24" s="230"/>
      <c r="Z24" s="230"/>
      <c r="AA24" s="235"/>
      <c r="AB24" s="230"/>
      <c r="AC24" s="230"/>
      <c r="AD24" s="230"/>
      <c r="AE24" s="235"/>
      <c r="AF24" s="238"/>
      <c r="AG24" s="238"/>
      <c r="AH24" s="238"/>
      <c r="AI24" s="238"/>
      <c r="AJ24" s="238"/>
      <c r="AK24" s="238"/>
    </row>
    <row r="25" spans="1:37" s="210" customFormat="1" ht="20.100000000000001" customHeight="1">
      <c r="A25" s="229"/>
      <c r="B25" s="223"/>
      <c r="C25" s="223"/>
      <c r="D25" s="223"/>
      <c r="E25" s="222"/>
      <c r="F25" s="222"/>
      <c r="G25" s="223"/>
      <c r="H25" s="230"/>
      <c r="I25" s="230"/>
      <c r="J25" s="230"/>
      <c r="K25" s="235"/>
      <c r="L25" s="230"/>
      <c r="M25" s="230"/>
      <c r="N25" s="230"/>
      <c r="O25" s="235"/>
      <c r="P25" s="230"/>
      <c r="Q25" s="230"/>
      <c r="R25" s="230"/>
      <c r="S25" s="235"/>
      <c r="T25" s="230"/>
      <c r="U25" s="230"/>
      <c r="V25" s="230"/>
      <c r="W25" s="235"/>
      <c r="X25" s="230"/>
      <c r="Y25" s="230"/>
      <c r="Z25" s="230"/>
      <c r="AA25" s="235"/>
      <c r="AB25" s="230"/>
      <c r="AC25" s="230"/>
      <c r="AD25" s="230"/>
      <c r="AE25" s="235"/>
      <c r="AF25" s="238"/>
      <c r="AG25" s="238"/>
      <c r="AH25" s="238"/>
      <c r="AI25" s="238"/>
      <c r="AJ25" s="238"/>
      <c r="AK25" s="238"/>
    </row>
    <row r="26" spans="1:37" s="210" customFormat="1" ht="20.100000000000001" customHeight="1">
      <c r="A26" s="229"/>
      <c r="B26" s="223"/>
      <c r="C26" s="223"/>
      <c r="D26" s="223"/>
      <c r="E26" s="222"/>
      <c r="F26" s="222"/>
      <c r="G26" s="223"/>
      <c r="H26" s="230"/>
      <c r="I26" s="230"/>
      <c r="J26" s="230"/>
      <c r="K26" s="235"/>
      <c r="L26" s="230"/>
      <c r="M26" s="230"/>
      <c r="N26" s="230"/>
      <c r="O26" s="235"/>
      <c r="P26" s="230"/>
      <c r="Q26" s="230"/>
      <c r="R26" s="230"/>
      <c r="S26" s="235"/>
      <c r="T26" s="230"/>
      <c r="U26" s="230"/>
      <c r="V26" s="230"/>
      <c r="W26" s="235"/>
      <c r="X26" s="230"/>
      <c r="Y26" s="230"/>
      <c r="Z26" s="230"/>
      <c r="AA26" s="235"/>
      <c r="AB26" s="230"/>
      <c r="AC26" s="230"/>
      <c r="AD26" s="230"/>
      <c r="AE26" s="235"/>
      <c r="AF26" s="238"/>
      <c r="AG26" s="238"/>
      <c r="AH26" s="238"/>
      <c r="AI26" s="238"/>
      <c r="AJ26" s="238"/>
      <c r="AK26" s="238"/>
    </row>
    <row r="27" spans="1:37" s="210" customFormat="1" ht="20.100000000000001" customHeight="1">
      <c r="A27" s="229"/>
      <c r="B27" s="223"/>
      <c r="C27" s="223"/>
      <c r="D27" s="223"/>
      <c r="E27" s="222"/>
      <c r="F27" s="222"/>
      <c r="G27" s="223"/>
      <c r="H27" s="230"/>
      <c r="I27" s="230"/>
      <c r="J27" s="230"/>
      <c r="K27" s="235"/>
      <c r="L27" s="230"/>
      <c r="M27" s="230"/>
      <c r="N27" s="230"/>
      <c r="O27" s="235"/>
      <c r="P27" s="230"/>
      <c r="Q27" s="230"/>
      <c r="R27" s="230"/>
      <c r="S27" s="235"/>
      <c r="T27" s="230"/>
      <c r="U27" s="230"/>
      <c r="V27" s="230"/>
      <c r="W27" s="235"/>
      <c r="X27" s="230"/>
      <c r="Y27" s="230"/>
      <c r="Z27" s="230"/>
      <c r="AA27" s="235"/>
      <c r="AB27" s="230"/>
      <c r="AC27" s="230"/>
      <c r="AD27" s="230"/>
      <c r="AE27" s="235"/>
      <c r="AF27" s="238"/>
      <c r="AG27" s="238"/>
      <c r="AH27" s="238"/>
      <c r="AI27" s="238"/>
      <c r="AJ27" s="238"/>
      <c r="AK27" s="238"/>
    </row>
    <row r="28" spans="1:37" s="210" customFormat="1" ht="20.100000000000001" customHeight="1">
      <c r="A28" s="229"/>
      <c r="B28" s="223"/>
      <c r="C28" s="223"/>
      <c r="D28" s="223"/>
      <c r="E28" s="222"/>
      <c r="F28" s="222"/>
      <c r="G28" s="223"/>
      <c r="H28" s="230"/>
      <c r="I28" s="230"/>
      <c r="J28" s="230"/>
      <c r="K28" s="235"/>
      <c r="L28" s="230"/>
      <c r="M28" s="230"/>
      <c r="N28" s="230"/>
      <c r="O28" s="235"/>
      <c r="P28" s="230"/>
      <c r="Q28" s="230"/>
      <c r="R28" s="230"/>
      <c r="S28" s="235"/>
      <c r="T28" s="230"/>
      <c r="U28" s="230"/>
      <c r="V28" s="230"/>
      <c r="W28" s="235"/>
      <c r="X28" s="230"/>
      <c r="Y28" s="230"/>
      <c r="Z28" s="230"/>
      <c r="AA28" s="235"/>
      <c r="AB28" s="230"/>
      <c r="AC28" s="230"/>
      <c r="AD28" s="230"/>
      <c r="AE28" s="235"/>
      <c r="AF28" s="238"/>
      <c r="AG28" s="238"/>
      <c r="AH28" s="238"/>
      <c r="AI28" s="238"/>
      <c r="AJ28" s="238"/>
      <c r="AK28" s="238"/>
    </row>
    <row r="29" spans="1:37" s="210" customFormat="1" ht="20.100000000000001" customHeight="1">
      <c r="A29" s="229"/>
      <c r="B29" s="223"/>
      <c r="C29" s="223"/>
      <c r="D29" s="223"/>
      <c r="E29" s="222"/>
      <c r="F29" s="222"/>
      <c r="G29" s="223"/>
      <c r="H29" s="230"/>
      <c r="I29" s="230"/>
      <c r="J29" s="230"/>
      <c r="K29" s="235"/>
      <c r="L29" s="230"/>
      <c r="M29" s="230"/>
      <c r="N29" s="230"/>
      <c r="O29" s="235"/>
      <c r="P29" s="230"/>
      <c r="Q29" s="230"/>
      <c r="R29" s="230"/>
      <c r="S29" s="235"/>
      <c r="T29" s="230"/>
      <c r="U29" s="230"/>
      <c r="V29" s="230"/>
      <c r="W29" s="235"/>
      <c r="X29" s="230"/>
      <c r="Y29" s="230"/>
      <c r="Z29" s="230"/>
      <c r="AA29" s="235"/>
      <c r="AB29" s="230"/>
      <c r="AC29" s="230"/>
      <c r="AD29" s="230"/>
      <c r="AE29" s="235"/>
      <c r="AF29" s="238"/>
      <c r="AG29" s="238"/>
      <c r="AH29" s="238"/>
      <c r="AI29" s="238"/>
      <c r="AJ29" s="238"/>
      <c r="AK29" s="238"/>
    </row>
    <row r="30" spans="1:37" s="210" customFormat="1" ht="20.100000000000001" customHeight="1">
      <c r="A30" s="229"/>
      <c r="B30" s="223"/>
      <c r="C30" s="223"/>
      <c r="D30" s="223"/>
      <c r="E30" s="222"/>
      <c r="F30" s="222"/>
      <c r="G30" s="223"/>
      <c r="H30" s="230"/>
      <c r="I30" s="230"/>
      <c r="J30" s="230"/>
      <c r="K30" s="235"/>
      <c r="L30" s="230"/>
      <c r="M30" s="230"/>
      <c r="N30" s="230"/>
      <c r="O30" s="235"/>
      <c r="P30" s="230"/>
      <c r="Q30" s="230"/>
      <c r="R30" s="230"/>
      <c r="S30" s="235"/>
      <c r="T30" s="230"/>
      <c r="U30" s="230"/>
      <c r="V30" s="230"/>
      <c r="W30" s="235"/>
      <c r="X30" s="230"/>
      <c r="Y30" s="230"/>
      <c r="Z30" s="230"/>
      <c r="AA30" s="235"/>
      <c r="AB30" s="230"/>
      <c r="AC30" s="230"/>
      <c r="AD30" s="230"/>
      <c r="AE30" s="235"/>
      <c r="AF30" s="238"/>
      <c r="AG30" s="238"/>
      <c r="AH30" s="238"/>
      <c r="AI30" s="238"/>
      <c r="AJ30" s="238"/>
      <c r="AK30" s="238"/>
    </row>
    <row r="31" spans="1:37" s="210" customFormat="1" ht="20.100000000000001" customHeight="1">
      <c r="A31" s="229"/>
      <c r="B31" s="223"/>
      <c r="C31" s="223"/>
      <c r="D31" s="223"/>
      <c r="E31" s="222"/>
      <c r="F31" s="222"/>
      <c r="G31" s="223"/>
      <c r="H31" s="230"/>
      <c r="I31" s="230"/>
      <c r="J31" s="230"/>
      <c r="K31" s="235"/>
      <c r="L31" s="230"/>
      <c r="M31" s="230"/>
      <c r="N31" s="230"/>
      <c r="O31" s="235"/>
      <c r="P31" s="230"/>
      <c r="Q31" s="230"/>
      <c r="R31" s="230"/>
      <c r="S31" s="235"/>
      <c r="T31" s="230"/>
      <c r="U31" s="230"/>
      <c r="V31" s="230"/>
      <c r="W31" s="235"/>
      <c r="X31" s="230"/>
      <c r="Y31" s="230"/>
      <c r="Z31" s="230"/>
      <c r="AA31" s="235"/>
      <c r="AB31" s="230"/>
      <c r="AC31" s="230"/>
      <c r="AD31" s="230"/>
      <c r="AE31" s="235"/>
      <c r="AF31" s="238"/>
      <c r="AG31" s="238"/>
      <c r="AH31" s="238"/>
      <c r="AI31" s="238"/>
      <c r="AJ31" s="238"/>
      <c r="AK31" s="238"/>
    </row>
    <row r="32" spans="1:37" s="210" customFormat="1" ht="20.100000000000001" customHeight="1">
      <c r="A32" s="229"/>
      <c r="B32" s="223"/>
      <c r="C32" s="223"/>
      <c r="D32" s="223"/>
      <c r="E32" s="222"/>
      <c r="F32" s="222"/>
      <c r="G32" s="223"/>
      <c r="H32" s="230"/>
      <c r="I32" s="230"/>
      <c r="J32" s="230"/>
      <c r="K32" s="235"/>
      <c r="L32" s="230"/>
      <c r="M32" s="230"/>
      <c r="N32" s="230"/>
      <c r="O32" s="235"/>
      <c r="P32" s="230"/>
      <c r="Q32" s="230"/>
      <c r="R32" s="230"/>
      <c r="S32" s="235"/>
      <c r="T32" s="230"/>
      <c r="U32" s="230"/>
      <c r="V32" s="230"/>
      <c r="W32" s="235"/>
      <c r="X32" s="230"/>
      <c r="Y32" s="230"/>
      <c r="Z32" s="230"/>
      <c r="AA32" s="235"/>
      <c r="AB32" s="230"/>
      <c r="AC32" s="230"/>
      <c r="AD32" s="230"/>
      <c r="AE32" s="235"/>
      <c r="AF32" s="238"/>
      <c r="AG32" s="238"/>
      <c r="AH32" s="238"/>
      <c r="AI32" s="238"/>
      <c r="AJ32" s="238"/>
      <c r="AK32" s="238"/>
    </row>
    <row r="33" spans="1:37" s="210" customFormat="1" ht="20.100000000000001" customHeight="1">
      <c r="A33" s="229"/>
      <c r="B33" s="223"/>
      <c r="C33" s="223"/>
      <c r="D33" s="223"/>
      <c r="E33" s="222"/>
      <c r="F33" s="222"/>
      <c r="G33" s="223"/>
      <c r="H33" s="230"/>
      <c r="I33" s="230"/>
      <c r="J33" s="230"/>
      <c r="K33" s="235"/>
      <c r="L33" s="230"/>
      <c r="M33" s="230"/>
      <c r="N33" s="230"/>
      <c r="O33" s="235"/>
      <c r="P33" s="230"/>
      <c r="Q33" s="230"/>
      <c r="R33" s="230"/>
      <c r="S33" s="235"/>
      <c r="T33" s="230"/>
      <c r="U33" s="230"/>
      <c r="V33" s="230"/>
      <c r="W33" s="235"/>
      <c r="X33" s="230"/>
      <c r="Y33" s="230"/>
      <c r="Z33" s="230"/>
      <c r="AA33" s="235"/>
      <c r="AB33" s="230"/>
      <c r="AC33" s="230"/>
      <c r="AD33" s="230"/>
      <c r="AE33" s="235"/>
      <c r="AF33" s="238"/>
      <c r="AG33" s="238"/>
      <c r="AH33" s="238"/>
      <c r="AI33" s="238"/>
      <c r="AJ33" s="238"/>
      <c r="AK33" s="238"/>
    </row>
    <row r="34" spans="1:37" s="210" customFormat="1" ht="20.100000000000001" customHeight="1">
      <c r="A34" s="229"/>
      <c r="B34" s="223"/>
      <c r="C34" s="223"/>
      <c r="D34" s="223"/>
      <c r="E34" s="222"/>
      <c r="F34" s="222"/>
      <c r="G34" s="223"/>
      <c r="H34" s="230"/>
      <c r="I34" s="230"/>
      <c r="J34" s="230"/>
      <c r="K34" s="235"/>
      <c r="L34" s="230"/>
      <c r="M34" s="230"/>
      <c r="N34" s="230"/>
      <c r="O34" s="235"/>
      <c r="P34" s="230"/>
      <c r="Q34" s="230"/>
      <c r="R34" s="230"/>
      <c r="S34" s="235"/>
      <c r="T34" s="230"/>
      <c r="U34" s="230"/>
      <c r="V34" s="230"/>
      <c r="W34" s="235"/>
      <c r="X34" s="230"/>
      <c r="Y34" s="230"/>
      <c r="Z34" s="230"/>
      <c r="AA34" s="235"/>
      <c r="AB34" s="230"/>
      <c r="AC34" s="230"/>
      <c r="AD34" s="230"/>
      <c r="AE34" s="235"/>
      <c r="AF34" s="238"/>
      <c r="AG34" s="238"/>
      <c r="AH34" s="238"/>
      <c r="AI34" s="238"/>
      <c r="AJ34" s="238"/>
      <c r="AK34" s="238"/>
    </row>
    <row r="35" spans="1:37" s="210" customFormat="1" ht="20.100000000000001" customHeight="1">
      <c r="A35" s="229"/>
      <c r="B35" s="223"/>
      <c r="C35" s="223"/>
      <c r="D35" s="223"/>
      <c r="E35" s="222"/>
      <c r="F35" s="222"/>
      <c r="G35" s="223"/>
      <c r="H35" s="230"/>
      <c r="I35" s="230"/>
      <c r="J35" s="230"/>
      <c r="K35" s="235"/>
      <c r="L35" s="230"/>
      <c r="M35" s="230"/>
      <c r="N35" s="230"/>
      <c r="O35" s="235"/>
      <c r="P35" s="230"/>
      <c r="Q35" s="230"/>
      <c r="R35" s="230"/>
      <c r="S35" s="235"/>
      <c r="T35" s="230"/>
      <c r="U35" s="230"/>
      <c r="V35" s="230"/>
      <c r="W35" s="235"/>
      <c r="X35" s="230"/>
      <c r="Y35" s="230"/>
      <c r="Z35" s="230"/>
      <c r="AA35" s="235"/>
      <c r="AB35" s="230"/>
      <c r="AC35" s="230"/>
      <c r="AD35" s="230"/>
      <c r="AE35" s="235"/>
      <c r="AF35" s="238"/>
      <c r="AG35" s="238"/>
      <c r="AH35" s="238"/>
      <c r="AI35" s="238"/>
      <c r="AJ35" s="238"/>
      <c r="AK35" s="238"/>
    </row>
    <row r="36" spans="1:37" s="210" customFormat="1" ht="20.100000000000001" customHeight="1">
      <c r="A36" s="229"/>
      <c r="B36" s="223"/>
      <c r="C36" s="223"/>
      <c r="D36" s="223"/>
      <c r="E36" s="222"/>
      <c r="F36" s="222"/>
      <c r="G36" s="223"/>
      <c r="H36" s="230"/>
      <c r="I36" s="230"/>
      <c r="J36" s="230"/>
      <c r="K36" s="235"/>
      <c r="L36" s="230"/>
      <c r="M36" s="230"/>
      <c r="N36" s="230"/>
      <c r="O36" s="235"/>
      <c r="P36" s="230"/>
      <c r="Q36" s="230"/>
      <c r="R36" s="230"/>
      <c r="S36" s="235"/>
      <c r="T36" s="230"/>
      <c r="U36" s="230"/>
      <c r="V36" s="230"/>
      <c r="W36" s="235"/>
      <c r="X36" s="230"/>
      <c r="Y36" s="230"/>
      <c r="Z36" s="230"/>
      <c r="AA36" s="235"/>
      <c r="AB36" s="230"/>
      <c r="AC36" s="230"/>
      <c r="AD36" s="230"/>
      <c r="AE36" s="235"/>
      <c r="AF36" s="238"/>
      <c r="AG36" s="238"/>
      <c r="AH36" s="238"/>
      <c r="AI36" s="238"/>
      <c r="AJ36" s="238"/>
      <c r="AK36" s="238"/>
    </row>
    <row r="37" spans="1:37" s="210" customFormat="1" ht="20.100000000000001" customHeight="1">
      <c r="A37" s="229"/>
      <c r="B37" s="223"/>
      <c r="C37" s="223"/>
      <c r="D37" s="223"/>
      <c r="E37" s="222"/>
      <c r="F37" s="222"/>
      <c r="G37" s="223"/>
      <c r="H37" s="230"/>
      <c r="I37" s="230"/>
      <c r="J37" s="230"/>
      <c r="K37" s="235"/>
      <c r="L37" s="230"/>
      <c r="M37" s="230"/>
      <c r="N37" s="230"/>
      <c r="O37" s="235"/>
      <c r="P37" s="230"/>
      <c r="Q37" s="230"/>
      <c r="R37" s="230"/>
      <c r="S37" s="235"/>
      <c r="T37" s="230"/>
      <c r="U37" s="230"/>
      <c r="V37" s="230"/>
      <c r="W37" s="235"/>
      <c r="X37" s="230"/>
      <c r="Y37" s="230"/>
      <c r="Z37" s="230"/>
      <c r="AA37" s="235"/>
      <c r="AB37" s="230"/>
      <c r="AC37" s="230"/>
      <c r="AD37" s="230"/>
      <c r="AE37" s="235"/>
      <c r="AF37" s="238"/>
      <c r="AG37" s="238"/>
      <c r="AH37" s="238"/>
      <c r="AI37" s="238"/>
      <c r="AJ37" s="238"/>
      <c r="AK37" s="238"/>
    </row>
    <row r="38" spans="1:37" s="210" customFormat="1" ht="20.100000000000001" customHeight="1">
      <c r="A38" s="229"/>
      <c r="B38" s="223"/>
      <c r="C38" s="223"/>
      <c r="D38" s="223"/>
      <c r="E38" s="222"/>
      <c r="F38" s="222"/>
      <c r="G38" s="223"/>
      <c r="H38" s="230"/>
      <c r="I38" s="230"/>
      <c r="J38" s="230"/>
      <c r="K38" s="235"/>
      <c r="L38" s="230"/>
      <c r="M38" s="230"/>
      <c r="N38" s="230"/>
      <c r="O38" s="235"/>
      <c r="P38" s="230"/>
      <c r="Q38" s="230"/>
      <c r="R38" s="230"/>
      <c r="S38" s="235"/>
      <c r="T38" s="230"/>
      <c r="U38" s="230"/>
      <c r="V38" s="230"/>
      <c r="W38" s="235"/>
      <c r="X38" s="230"/>
      <c r="Y38" s="230"/>
      <c r="Z38" s="230"/>
      <c r="AA38" s="235"/>
      <c r="AB38" s="230"/>
      <c r="AC38" s="230"/>
      <c r="AD38" s="230"/>
      <c r="AE38" s="235"/>
      <c r="AF38" s="238"/>
      <c r="AG38" s="238"/>
      <c r="AH38" s="238"/>
      <c r="AI38" s="238"/>
      <c r="AJ38" s="238"/>
      <c r="AK38" s="238"/>
    </row>
    <row r="39" spans="1:37" s="210" customFormat="1" ht="20.100000000000001" customHeight="1">
      <c r="A39" s="229"/>
      <c r="B39" s="223"/>
      <c r="C39" s="223"/>
      <c r="D39" s="223"/>
      <c r="E39" s="222"/>
      <c r="F39" s="222"/>
      <c r="G39" s="223"/>
      <c r="H39" s="230"/>
      <c r="I39" s="230"/>
      <c r="J39" s="230"/>
      <c r="K39" s="235"/>
      <c r="L39" s="230"/>
      <c r="M39" s="230"/>
      <c r="N39" s="230"/>
      <c r="O39" s="235"/>
      <c r="P39" s="230"/>
      <c r="Q39" s="230"/>
      <c r="R39" s="230"/>
      <c r="S39" s="235"/>
      <c r="T39" s="230"/>
      <c r="U39" s="230"/>
      <c r="V39" s="230"/>
      <c r="W39" s="235"/>
      <c r="X39" s="230"/>
      <c r="Y39" s="230"/>
      <c r="Z39" s="230"/>
      <c r="AA39" s="235"/>
      <c r="AB39" s="230"/>
      <c r="AC39" s="230"/>
      <c r="AD39" s="230"/>
      <c r="AE39" s="235"/>
      <c r="AF39" s="238"/>
      <c r="AG39" s="238"/>
      <c r="AH39" s="238"/>
      <c r="AI39" s="238"/>
      <c r="AJ39" s="238"/>
      <c r="AK39" s="238"/>
    </row>
    <row r="40" spans="1:37" s="210" customFormat="1" ht="20.100000000000001" customHeight="1">
      <c r="A40" s="229"/>
      <c r="B40" s="223"/>
      <c r="C40" s="223"/>
      <c r="D40" s="223"/>
      <c r="E40" s="222"/>
      <c r="F40" s="222"/>
      <c r="G40" s="223"/>
      <c r="H40" s="230"/>
      <c r="I40" s="230"/>
      <c r="J40" s="230"/>
      <c r="K40" s="235"/>
      <c r="L40" s="230"/>
      <c r="M40" s="230"/>
      <c r="N40" s="230"/>
      <c r="O40" s="235"/>
      <c r="P40" s="230"/>
      <c r="Q40" s="230"/>
      <c r="R40" s="230"/>
      <c r="S40" s="235"/>
      <c r="T40" s="230"/>
      <c r="U40" s="230"/>
      <c r="V40" s="230"/>
      <c r="W40" s="235"/>
      <c r="X40" s="230"/>
      <c r="Y40" s="230"/>
      <c r="Z40" s="230"/>
      <c r="AA40" s="235"/>
      <c r="AB40" s="230"/>
      <c r="AC40" s="230"/>
      <c r="AD40" s="230"/>
      <c r="AE40" s="235"/>
      <c r="AF40" s="238"/>
      <c r="AG40" s="238"/>
      <c r="AH40" s="238"/>
      <c r="AI40" s="238"/>
      <c r="AJ40" s="238"/>
      <c r="AK40" s="238"/>
    </row>
    <row r="41" spans="1:37" s="210" customFormat="1" ht="20.100000000000001" customHeight="1">
      <c r="A41" s="229"/>
      <c r="B41" s="223"/>
      <c r="C41" s="223"/>
      <c r="D41" s="223"/>
      <c r="E41" s="222"/>
      <c r="F41" s="222"/>
      <c r="G41" s="223"/>
      <c r="H41" s="230"/>
      <c r="I41" s="230"/>
      <c r="J41" s="230"/>
      <c r="K41" s="235"/>
      <c r="L41" s="230"/>
      <c r="M41" s="230"/>
      <c r="N41" s="230"/>
      <c r="O41" s="235"/>
      <c r="P41" s="230"/>
      <c r="Q41" s="230"/>
      <c r="R41" s="230"/>
      <c r="S41" s="235"/>
      <c r="T41" s="230"/>
      <c r="U41" s="230"/>
      <c r="V41" s="230"/>
      <c r="W41" s="235"/>
      <c r="X41" s="230"/>
      <c r="Y41" s="230"/>
      <c r="Z41" s="230"/>
      <c r="AA41" s="235"/>
      <c r="AB41" s="230"/>
      <c r="AC41" s="230"/>
      <c r="AD41" s="230"/>
      <c r="AE41" s="235"/>
      <c r="AF41" s="238"/>
      <c r="AG41" s="238"/>
      <c r="AH41" s="238"/>
      <c r="AI41" s="238"/>
      <c r="AJ41" s="238"/>
      <c r="AK41" s="238"/>
    </row>
    <row r="42" spans="1:37" s="210" customFormat="1" ht="20.100000000000001" customHeight="1">
      <c r="A42" s="229"/>
      <c r="B42" s="223"/>
      <c r="C42" s="223"/>
      <c r="D42" s="223"/>
      <c r="E42" s="222"/>
      <c r="F42" s="222"/>
      <c r="G42" s="223"/>
      <c r="H42" s="230"/>
      <c r="I42" s="230"/>
      <c r="J42" s="230"/>
      <c r="K42" s="235"/>
      <c r="L42" s="230"/>
      <c r="M42" s="230"/>
      <c r="N42" s="230"/>
      <c r="O42" s="235"/>
      <c r="P42" s="230"/>
      <c r="Q42" s="230"/>
      <c r="R42" s="230"/>
      <c r="S42" s="235"/>
      <c r="T42" s="230"/>
      <c r="U42" s="230"/>
      <c r="V42" s="230"/>
      <c r="W42" s="235"/>
      <c r="X42" s="230"/>
      <c r="Y42" s="230"/>
      <c r="Z42" s="230"/>
      <c r="AA42" s="235"/>
      <c r="AB42" s="230"/>
      <c r="AC42" s="230"/>
      <c r="AD42" s="230"/>
      <c r="AE42" s="235"/>
      <c r="AF42" s="238"/>
      <c r="AG42" s="238"/>
      <c r="AH42" s="238"/>
      <c r="AI42" s="238"/>
      <c r="AJ42" s="238"/>
      <c r="AK42" s="238"/>
    </row>
    <row r="43" spans="1:37" s="210" customFormat="1" ht="20.100000000000001" customHeight="1">
      <c r="A43" s="229"/>
      <c r="B43" s="223"/>
      <c r="C43" s="223"/>
      <c r="D43" s="223"/>
      <c r="E43" s="222"/>
      <c r="F43" s="222"/>
      <c r="G43" s="223"/>
      <c r="H43" s="230"/>
      <c r="I43" s="230"/>
      <c r="J43" s="230"/>
      <c r="K43" s="235"/>
      <c r="L43" s="230"/>
      <c r="M43" s="230"/>
      <c r="N43" s="230"/>
      <c r="O43" s="235"/>
      <c r="P43" s="230"/>
      <c r="Q43" s="230"/>
      <c r="R43" s="230"/>
      <c r="S43" s="235"/>
      <c r="T43" s="230"/>
      <c r="U43" s="230"/>
      <c r="V43" s="230"/>
      <c r="W43" s="235"/>
      <c r="X43" s="230"/>
      <c r="Y43" s="230"/>
      <c r="Z43" s="230"/>
      <c r="AA43" s="235"/>
      <c r="AB43" s="230"/>
      <c r="AC43" s="230"/>
      <c r="AD43" s="230"/>
      <c r="AE43" s="235"/>
      <c r="AF43" s="238"/>
      <c r="AG43" s="238"/>
      <c r="AH43" s="238"/>
      <c r="AI43" s="238"/>
      <c r="AJ43" s="238"/>
      <c r="AK43" s="238"/>
    </row>
    <row r="44" spans="1:37" s="210" customFormat="1" ht="20.100000000000001" customHeight="1">
      <c r="A44" s="229"/>
      <c r="B44" s="223"/>
      <c r="C44" s="223"/>
      <c r="D44" s="223"/>
      <c r="E44" s="222"/>
      <c r="F44" s="222"/>
      <c r="G44" s="223"/>
      <c r="H44" s="230"/>
      <c r="I44" s="230"/>
      <c r="J44" s="230"/>
      <c r="K44" s="235"/>
      <c r="L44" s="230"/>
      <c r="M44" s="230"/>
      <c r="N44" s="230"/>
      <c r="O44" s="235"/>
      <c r="P44" s="230"/>
      <c r="Q44" s="230"/>
      <c r="R44" s="230"/>
      <c r="S44" s="235"/>
      <c r="T44" s="230"/>
      <c r="U44" s="230"/>
      <c r="V44" s="230"/>
      <c r="W44" s="235"/>
      <c r="X44" s="230"/>
      <c r="Y44" s="230"/>
      <c r="Z44" s="230"/>
      <c r="AA44" s="235"/>
      <c r="AB44" s="230"/>
      <c r="AC44" s="230"/>
      <c r="AD44" s="230"/>
      <c r="AE44" s="235"/>
      <c r="AF44" s="238"/>
      <c r="AG44" s="238"/>
      <c r="AH44" s="238"/>
      <c r="AI44" s="238"/>
      <c r="AJ44" s="238"/>
      <c r="AK44" s="238"/>
    </row>
    <row r="45" spans="1:37" s="210" customFormat="1" ht="20.100000000000001" customHeight="1">
      <c r="A45" s="229"/>
      <c r="B45" s="223"/>
      <c r="C45" s="223"/>
      <c r="D45" s="223"/>
      <c r="E45" s="222"/>
      <c r="F45" s="222"/>
      <c r="G45" s="223"/>
      <c r="H45" s="230"/>
      <c r="I45" s="230"/>
      <c r="J45" s="230"/>
      <c r="K45" s="235"/>
      <c r="L45" s="230"/>
      <c r="M45" s="230"/>
      <c r="N45" s="230"/>
      <c r="O45" s="235"/>
      <c r="P45" s="230"/>
      <c r="Q45" s="230"/>
      <c r="R45" s="230"/>
      <c r="S45" s="235"/>
      <c r="T45" s="230"/>
      <c r="U45" s="230"/>
      <c r="V45" s="230"/>
      <c r="W45" s="235"/>
      <c r="X45" s="230"/>
      <c r="Y45" s="230"/>
      <c r="Z45" s="230"/>
      <c r="AA45" s="235"/>
      <c r="AB45" s="230"/>
      <c r="AC45" s="230"/>
      <c r="AD45" s="230"/>
      <c r="AE45" s="235"/>
      <c r="AF45" s="238"/>
      <c r="AG45" s="238"/>
      <c r="AH45" s="238"/>
      <c r="AI45" s="238"/>
      <c r="AJ45" s="238"/>
      <c r="AK45" s="238"/>
    </row>
    <row r="46" spans="1:37" s="210" customFormat="1" ht="20.100000000000001" customHeight="1">
      <c r="A46" s="229"/>
      <c r="B46" s="223"/>
      <c r="C46" s="223"/>
      <c r="D46" s="223"/>
      <c r="E46" s="222"/>
      <c r="F46" s="222"/>
      <c r="G46" s="223"/>
      <c r="H46" s="230"/>
      <c r="I46" s="230"/>
      <c r="J46" s="230"/>
      <c r="K46" s="235"/>
      <c r="L46" s="230"/>
      <c r="M46" s="230"/>
      <c r="N46" s="230"/>
      <c r="O46" s="235"/>
      <c r="P46" s="230"/>
      <c r="Q46" s="230"/>
      <c r="R46" s="230"/>
      <c r="S46" s="235"/>
      <c r="T46" s="230"/>
      <c r="U46" s="230"/>
      <c r="V46" s="230"/>
      <c r="W46" s="235"/>
      <c r="X46" s="230"/>
      <c r="Y46" s="230"/>
      <c r="Z46" s="230"/>
      <c r="AA46" s="235"/>
      <c r="AB46" s="230"/>
      <c r="AC46" s="230"/>
      <c r="AD46" s="230"/>
      <c r="AE46" s="235"/>
      <c r="AF46" s="238"/>
      <c r="AG46" s="238"/>
      <c r="AH46" s="238"/>
      <c r="AI46" s="238"/>
      <c r="AJ46" s="238"/>
      <c r="AK46" s="238"/>
    </row>
    <row r="47" spans="1:37" s="210" customFormat="1" ht="20.100000000000001" customHeight="1">
      <c r="A47" s="229"/>
      <c r="B47" s="223"/>
      <c r="C47" s="223"/>
      <c r="D47" s="223"/>
      <c r="E47" s="222"/>
      <c r="F47" s="222"/>
      <c r="G47" s="223"/>
      <c r="H47" s="230"/>
      <c r="I47" s="230"/>
      <c r="J47" s="230"/>
      <c r="K47" s="235"/>
      <c r="L47" s="230"/>
      <c r="M47" s="230"/>
      <c r="N47" s="230"/>
      <c r="O47" s="235"/>
      <c r="P47" s="230"/>
      <c r="Q47" s="230"/>
      <c r="R47" s="230"/>
      <c r="S47" s="235"/>
      <c r="T47" s="230"/>
      <c r="U47" s="230"/>
      <c r="V47" s="230"/>
      <c r="W47" s="235"/>
      <c r="X47" s="230"/>
      <c r="Y47" s="230"/>
      <c r="Z47" s="230"/>
      <c r="AA47" s="235"/>
      <c r="AB47" s="230"/>
      <c r="AC47" s="230"/>
      <c r="AD47" s="230"/>
      <c r="AE47" s="235"/>
      <c r="AF47" s="238"/>
      <c r="AG47" s="238"/>
      <c r="AH47" s="238"/>
      <c r="AI47" s="238"/>
      <c r="AJ47" s="238"/>
      <c r="AK47" s="238"/>
    </row>
    <row r="48" spans="1:37" s="210" customFormat="1" ht="20.100000000000001" customHeight="1">
      <c r="A48" s="229"/>
      <c r="B48" s="223"/>
      <c r="C48" s="223"/>
      <c r="D48" s="223"/>
      <c r="E48" s="222"/>
      <c r="F48" s="222"/>
      <c r="G48" s="223"/>
      <c r="H48" s="230"/>
      <c r="I48" s="230"/>
      <c r="J48" s="230"/>
      <c r="K48" s="235"/>
      <c r="L48" s="230"/>
      <c r="M48" s="230"/>
      <c r="N48" s="230"/>
      <c r="O48" s="235"/>
      <c r="P48" s="230"/>
      <c r="Q48" s="230"/>
      <c r="R48" s="230"/>
      <c r="S48" s="235"/>
      <c r="T48" s="230"/>
      <c r="U48" s="230"/>
      <c r="V48" s="230"/>
      <c r="W48" s="235"/>
      <c r="X48" s="230"/>
      <c r="Y48" s="230"/>
      <c r="Z48" s="230"/>
      <c r="AA48" s="235"/>
      <c r="AB48" s="230"/>
      <c r="AC48" s="230"/>
      <c r="AD48" s="230"/>
      <c r="AE48" s="235"/>
      <c r="AF48" s="238"/>
      <c r="AG48" s="238"/>
      <c r="AH48" s="238"/>
      <c r="AI48" s="238"/>
      <c r="AJ48" s="238"/>
      <c r="AK48" s="238"/>
    </row>
    <row r="49" spans="1:37" s="210" customFormat="1" ht="20.100000000000001" customHeight="1">
      <c r="A49" s="229"/>
      <c r="B49" s="223"/>
      <c r="C49" s="223"/>
      <c r="D49" s="223"/>
      <c r="E49" s="222"/>
      <c r="F49" s="222"/>
      <c r="G49" s="223"/>
      <c r="H49" s="230"/>
      <c r="I49" s="230"/>
      <c r="J49" s="230"/>
      <c r="K49" s="235"/>
      <c r="L49" s="230"/>
      <c r="M49" s="230"/>
      <c r="N49" s="230"/>
      <c r="O49" s="235"/>
      <c r="P49" s="230"/>
      <c r="Q49" s="230"/>
      <c r="R49" s="230"/>
      <c r="S49" s="235"/>
      <c r="T49" s="230"/>
      <c r="U49" s="230"/>
      <c r="V49" s="230"/>
      <c r="W49" s="235"/>
      <c r="X49" s="230"/>
      <c r="Y49" s="230"/>
      <c r="Z49" s="230"/>
      <c r="AA49" s="235"/>
      <c r="AB49" s="230"/>
      <c r="AC49" s="230"/>
      <c r="AD49" s="230"/>
      <c r="AE49" s="235"/>
      <c r="AF49" s="238"/>
      <c r="AG49" s="238"/>
      <c r="AH49" s="238"/>
      <c r="AI49" s="238"/>
      <c r="AJ49" s="238"/>
      <c r="AK49" s="238"/>
    </row>
    <row r="50" spans="1:37" s="210" customFormat="1" ht="20.100000000000001" customHeight="1">
      <c r="A50" s="229"/>
      <c r="B50" s="223"/>
      <c r="C50" s="223"/>
      <c r="D50" s="223"/>
      <c r="E50" s="222"/>
      <c r="F50" s="222"/>
      <c r="G50" s="223"/>
      <c r="H50" s="230"/>
      <c r="I50" s="230"/>
      <c r="J50" s="230"/>
      <c r="K50" s="235"/>
      <c r="L50" s="230"/>
      <c r="M50" s="230"/>
      <c r="N50" s="230"/>
      <c r="O50" s="235"/>
      <c r="P50" s="230"/>
      <c r="Q50" s="230"/>
      <c r="R50" s="230"/>
      <c r="S50" s="235"/>
      <c r="T50" s="230"/>
      <c r="U50" s="230"/>
      <c r="V50" s="230"/>
      <c r="W50" s="235"/>
      <c r="X50" s="230"/>
      <c r="Y50" s="230"/>
      <c r="Z50" s="230"/>
      <c r="AA50" s="235"/>
      <c r="AB50" s="230"/>
      <c r="AC50" s="230"/>
      <c r="AD50" s="230"/>
      <c r="AE50" s="235"/>
      <c r="AF50" s="238"/>
      <c r="AG50" s="238"/>
      <c r="AH50" s="238"/>
      <c r="AI50" s="238"/>
      <c r="AJ50" s="238"/>
      <c r="AK50" s="238"/>
    </row>
    <row r="51" spans="1:37">
      <c r="H51" s="231"/>
      <c r="I51" s="231"/>
      <c r="J51" s="231"/>
      <c r="K51" s="236"/>
      <c r="L51" s="231"/>
      <c r="M51" s="231"/>
      <c r="N51" s="231"/>
      <c r="O51" s="236"/>
      <c r="P51" s="231"/>
      <c r="Q51" s="231"/>
      <c r="R51" s="231"/>
      <c r="S51" s="236"/>
      <c r="T51" s="231"/>
      <c r="U51" s="231"/>
      <c r="V51" s="231"/>
      <c r="W51" s="236"/>
      <c r="X51" s="231"/>
      <c r="Y51" s="231"/>
      <c r="Z51" s="231"/>
      <c r="AA51" s="236"/>
      <c r="AB51" s="231"/>
      <c r="AC51" s="231"/>
      <c r="AD51" s="231"/>
      <c r="AE51" s="236"/>
      <c r="AF51" s="239"/>
      <c r="AG51" s="239"/>
      <c r="AH51" s="239"/>
      <c r="AI51" s="239"/>
      <c r="AJ51" s="239"/>
      <c r="AK51" s="239"/>
    </row>
    <row r="52" spans="1:37">
      <c r="H52" s="231"/>
      <c r="I52" s="231"/>
      <c r="J52" s="231"/>
      <c r="K52" s="236"/>
      <c r="L52" s="231"/>
      <c r="M52" s="231"/>
      <c r="N52" s="231"/>
      <c r="O52" s="236"/>
      <c r="P52" s="231"/>
      <c r="Q52" s="231"/>
      <c r="R52" s="231"/>
      <c r="S52" s="236"/>
      <c r="T52" s="231"/>
      <c r="U52" s="231"/>
      <c r="V52" s="231"/>
      <c r="W52" s="236"/>
      <c r="X52" s="231"/>
      <c r="Y52" s="231"/>
      <c r="Z52" s="231"/>
      <c r="AA52" s="236"/>
      <c r="AB52" s="231"/>
      <c r="AC52" s="231"/>
      <c r="AD52" s="231"/>
      <c r="AE52" s="236"/>
      <c r="AF52" s="239"/>
      <c r="AG52" s="239"/>
      <c r="AH52" s="239"/>
      <c r="AI52" s="239"/>
      <c r="AJ52" s="239"/>
      <c r="AK52" s="239"/>
    </row>
    <row r="53" spans="1:37">
      <c r="H53" s="231"/>
      <c r="I53" s="231"/>
      <c r="J53" s="231"/>
      <c r="K53" s="236"/>
      <c r="L53" s="231"/>
      <c r="M53" s="231"/>
      <c r="N53" s="231"/>
      <c r="O53" s="236"/>
      <c r="P53" s="231"/>
      <c r="Q53" s="231"/>
      <c r="R53" s="231"/>
      <c r="S53" s="236"/>
      <c r="T53" s="231"/>
      <c r="U53" s="231"/>
      <c r="V53" s="231"/>
      <c r="W53" s="236"/>
      <c r="X53" s="231"/>
      <c r="Y53" s="231"/>
      <c r="Z53" s="231"/>
      <c r="AA53" s="236"/>
      <c r="AB53" s="231"/>
      <c r="AC53" s="231"/>
      <c r="AD53" s="231"/>
      <c r="AE53" s="236"/>
      <c r="AF53" s="239"/>
      <c r="AG53" s="239"/>
      <c r="AH53" s="239"/>
      <c r="AI53" s="239"/>
      <c r="AJ53" s="239"/>
      <c r="AK53" s="239"/>
    </row>
    <row r="54" spans="1:37">
      <c r="H54" s="231"/>
      <c r="I54" s="231"/>
      <c r="J54" s="231"/>
      <c r="K54" s="236"/>
      <c r="L54" s="231"/>
      <c r="M54" s="231"/>
      <c r="N54" s="231"/>
      <c r="O54" s="236"/>
      <c r="P54" s="231"/>
      <c r="Q54" s="231"/>
      <c r="R54" s="231"/>
      <c r="S54" s="236"/>
      <c r="T54" s="231"/>
      <c r="U54" s="231"/>
      <c r="V54" s="231"/>
      <c r="W54" s="236"/>
      <c r="X54" s="231"/>
      <c r="Y54" s="231"/>
      <c r="Z54" s="231"/>
      <c r="AA54" s="236"/>
      <c r="AB54" s="231"/>
      <c r="AC54" s="231"/>
      <c r="AD54" s="231"/>
      <c r="AE54" s="236"/>
      <c r="AF54" s="239"/>
      <c r="AG54" s="239"/>
      <c r="AH54" s="239"/>
      <c r="AI54" s="239"/>
      <c r="AJ54" s="239"/>
      <c r="AK54" s="239"/>
    </row>
    <row r="55" spans="1:37">
      <c r="H55" s="231"/>
      <c r="I55" s="231"/>
      <c r="J55" s="231"/>
      <c r="K55" s="236"/>
      <c r="L55" s="231"/>
      <c r="M55" s="231"/>
      <c r="N55" s="231"/>
      <c r="O55" s="236"/>
      <c r="P55" s="231"/>
      <c r="Q55" s="231"/>
      <c r="R55" s="231"/>
      <c r="S55" s="236"/>
      <c r="T55" s="231"/>
      <c r="U55" s="231"/>
      <c r="V55" s="231"/>
      <c r="W55" s="236"/>
      <c r="X55" s="231"/>
      <c r="Y55" s="231"/>
      <c r="Z55" s="231"/>
      <c r="AA55" s="236"/>
      <c r="AB55" s="231"/>
      <c r="AC55" s="231"/>
      <c r="AD55" s="231"/>
      <c r="AE55" s="236"/>
      <c r="AF55" s="239"/>
      <c r="AG55" s="239"/>
      <c r="AH55" s="239"/>
      <c r="AI55" s="239"/>
      <c r="AJ55" s="239"/>
      <c r="AK55" s="239"/>
    </row>
    <row r="56" spans="1:37">
      <c r="H56" s="231"/>
      <c r="I56" s="231"/>
      <c r="J56" s="231"/>
      <c r="K56" s="236"/>
      <c r="L56" s="231"/>
      <c r="M56" s="231"/>
      <c r="N56" s="231"/>
      <c r="O56" s="236"/>
      <c r="P56" s="231"/>
      <c r="Q56" s="231"/>
      <c r="R56" s="231"/>
      <c r="S56" s="236"/>
      <c r="T56" s="231"/>
      <c r="U56" s="231"/>
      <c r="V56" s="231"/>
      <c r="W56" s="236"/>
      <c r="X56" s="231"/>
      <c r="Y56" s="231"/>
      <c r="Z56" s="231"/>
      <c r="AA56" s="236"/>
      <c r="AB56" s="231"/>
      <c r="AC56" s="231"/>
      <c r="AD56" s="231"/>
      <c r="AE56" s="236"/>
      <c r="AF56" s="239"/>
      <c r="AG56" s="239"/>
      <c r="AH56" s="239"/>
      <c r="AI56" s="239"/>
      <c r="AJ56" s="239"/>
      <c r="AK56" s="239"/>
    </row>
    <row r="57" spans="1:37">
      <c r="H57" s="231"/>
      <c r="I57" s="231"/>
      <c r="J57" s="231"/>
      <c r="K57" s="236"/>
      <c r="L57" s="231"/>
      <c r="M57" s="231"/>
      <c r="N57" s="231"/>
      <c r="O57" s="236"/>
      <c r="P57" s="231"/>
      <c r="Q57" s="231"/>
      <c r="R57" s="231"/>
      <c r="S57" s="236"/>
      <c r="T57" s="231"/>
      <c r="U57" s="231"/>
      <c r="V57" s="231"/>
      <c r="W57" s="236"/>
      <c r="X57" s="231"/>
      <c r="Y57" s="231"/>
      <c r="Z57" s="231"/>
      <c r="AA57" s="236"/>
      <c r="AB57" s="231"/>
      <c r="AC57" s="231"/>
      <c r="AD57" s="231"/>
      <c r="AE57" s="236"/>
      <c r="AF57" s="239"/>
      <c r="AG57" s="239"/>
      <c r="AH57" s="239"/>
      <c r="AI57" s="239"/>
      <c r="AJ57" s="239"/>
      <c r="AK57" s="239"/>
    </row>
    <row r="58" spans="1:37">
      <c r="H58" s="231"/>
      <c r="I58" s="231"/>
      <c r="J58" s="231"/>
      <c r="K58" s="236"/>
      <c r="L58" s="231"/>
      <c r="M58" s="231"/>
      <c r="N58" s="231"/>
      <c r="O58" s="236"/>
      <c r="P58" s="231"/>
      <c r="Q58" s="231"/>
      <c r="R58" s="231"/>
      <c r="S58" s="236"/>
      <c r="T58" s="231"/>
      <c r="U58" s="231"/>
      <c r="V58" s="231"/>
      <c r="W58" s="236"/>
      <c r="X58" s="231"/>
      <c r="Y58" s="231"/>
      <c r="Z58" s="231"/>
      <c r="AA58" s="236"/>
      <c r="AB58" s="231"/>
      <c r="AC58" s="231"/>
      <c r="AD58" s="231"/>
      <c r="AE58" s="236"/>
      <c r="AF58" s="239"/>
      <c r="AG58" s="239"/>
      <c r="AH58" s="239"/>
      <c r="AI58" s="239"/>
      <c r="AJ58" s="239"/>
      <c r="AK58" s="239"/>
    </row>
    <row r="59" spans="1:37">
      <c r="H59" s="231"/>
      <c r="I59" s="231"/>
      <c r="J59" s="231"/>
      <c r="K59" s="236"/>
      <c r="L59" s="231"/>
      <c r="M59" s="231"/>
      <c r="N59" s="231"/>
      <c r="O59" s="236"/>
      <c r="P59" s="231"/>
      <c r="Q59" s="231"/>
      <c r="R59" s="231"/>
      <c r="S59" s="236"/>
      <c r="T59" s="231"/>
      <c r="U59" s="231"/>
      <c r="V59" s="231"/>
      <c r="W59" s="236"/>
      <c r="X59" s="231"/>
      <c r="Y59" s="231"/>
      <c r="Z59" s="231"/>
      <c r="AA59" s="236"/>
      <c r="AB59" s="231"/>
      <c r="AC59" s="231"/>
      <c r="AD59" s="231"/>
      <c r="AE59" s="236"/>
      <c r="AF59" s="239"/>
      <c r="AG59" s="239"/>
      <c r="AH59" s="239"/>
      <c r="AI59" s="239"/>
      <c r="AJ59" s="239"/>
      <c r="AK59" s="239"/>
    </row>
    <row r="60" spans="1:37">
      <c r="H60" s="231"/>
      <c r="I60" s="231"/>
      <c r="J60" s="231"/>
      <c r="K60" s="236"/>
      <c r="L60" s="231"/>
      <c r="M60" s="231"/>
      <c r="N60" s="231"/>
      <c r="O60" s="236"/>
      <c r="P60" s="231"/>
      <c r="Q60" s="231"/>
      <c r="R60" s="231"/>
      <c r="S60" s="236"/>
      <c r="T60" s="231"/>
      <c r="U60" s="231"/>
      <c r="V60" s="231"/>
      <c r="W60" s="236"/>
      <c r="X60" s="231"/>
      <c r="Y60" s="231"/>
      <c r="Z60" s="231"/>
      <c r="AA60" s="236"/>
      <c r="AB60" s="231"/>
      <c r="AC60" s="231"/>
      <c r="AD60" s="231"/>
      <c r="AE60" s="236"/>
      <c r="AF60" s="239"/>
      <c r="AG60" s="239"/>
      <c r="AH60" s="239"/>
      <c r="AI60" s="239"/>
      <c r="AJ60" s="239"/>
      <c r="AK60" s="239"/>
    </row>
    <row r="61" spans="1:37">
      <c r="H61" s="231"/>
      <c r="I61" s="231"/>
      <c r="J61" s="231"/>
      <c r="K61" s="236"/>
      <c r="L61" s="231"/>
      <c r="M61" s="231"/>
      <c r="N61" s="231"/>
      <c r="O61" s="236"/>
      <c r="P61" s="231"/>
      <c r="Q61" s="231"/>
      <c r="R61" s="231"/>
      <c r="S61" s="236"/>
      <c r="T61" s="231"/>
      <c r="U61" s="231"/>
      <c r="V61" s="231"/>
      <c r="W61" s="236"/>
      <c r="X61" s="231"/>
      <c r="Y61" s="231"/>
      <c r="Z61" s="231"/>
      <c r="AA61" s="236"/>
      <c r="AB61" s="231"/>
      <c r="AC61" s="231"/>
      <c r="AD61" s="231"/>
      <c r="AE61" s="236"/>
      <c r="AF61" s="239"/>
      <c r="AG61" s="239"/>
      <c r="AH61" s="239"/>
      <c r="AI61" s="239"/>
      <c r="AJ61" s="239"/>
      <c r="AK61" s="239"/>
    </row>
    <row r="62" spans="1:37">
      <c r="H62" s="231"/>
      <c r="I62" s="231"/>
      <c r="J62" s="231"/>
      <c r="K62" s="236"/>
      <c r="L62" s="231"/>
      <c r="M62" s="231"/>
      <c r="N62" s="231"/>
      <c r="O62" s="236"/>
      <c r="P62" s="231"/>
      <c r="Q62" s="231"/>
      <c r="R62" s="231"/>
      <c r="S62" s="236"/>
      <c r="T62" s="231"/>
      <c r="U62" s="231"/>
      <c r="V62" s="231"/>
      <c r="W62" s="236"/>
      <c r="X62" s="231"/>
      <c r="Y62" s="231"/>
      <c r="Z62" s="231"/>
      <c r="AA62" s="236"/>
      <c r="AB62" s="231"/>
      <c r="AC62" s="231"/>
      <c r="AD62" s="231"/>
      <c r="AE62" s="236"/>
      <c r="AF62" s="239"/>
      <c r="AG62" s="239"/>
      <c r="AH62" s="239"/>
      <c r="AI62" s="239"/>
      <c r="AJ62" s="239"/>
      <c r="AK62" s="239"/>
    </row>
    <row r="63" spans="1:37">
      <c r="H63" s="231"/>
      <c r="I63" s="231"/>
      <c r="J63" s="231"/>
      <c r="K63" s="236"/>
      <c r="L63" s="231"/>
      <c r="M63" s="231"/>
      <c r="N63" s="231"/>
      <c r="O63" s="236"/>
      <c r="P63" s="231"/>
      <c r="Q63" s="231"/>
      <c r="R63" s="231"/>
      <c r="S63" s="236"/>
      <c r="T63" s="231"/>
      <c r="U63" s="231"/>
      <c r="V63" s="231"/>
      <c r="W63" s="236"/>
      <c r="X63" s="231"/>
      <c r="Y63" s="231"/>
      <c r="Z63" s="231"/>
      <c r="AA63" s="236"/>
      <c r="AB63" s="231"/>
      <c r="AC63" s="231"/>
      <c r="AD63" s="231"/>
      <c r="AE63" s="236"/>
      <c r="AF63" s="239"/>
      <c r="AG63" s="239"/>
      <c r="AH63" s="239"/>
      <c r="AI63" s="239"/>
      <c r="AJ63" s="239"/>
      <c r="AK63" s="239"/>
    </row>
    <row r="64" spans="1:37">
      <c r="H64" s="231"/>
      <c r="I64" s="231"/>
      <c r="J64" s="231"/>
      <c r="K64" s="236"/>
      <c r="L64" s="231"/>
      <c r="M64" s="231"/>
      <c r="N64" s="231"/>
      <c r="O64" s="236"/>
      <c r="P64" s="231"/>
      <c r="Q64" s="231"/>
      <c r="R64" s="231"/>
      <c r="S64" s="236"/>
      <c r="T64" s="231"/>
      <c r="U64" s="231"/>
      <c r="V64" s="231"/>
      <c r="W64" s="236"/>
      <c r="X64" s="231"/>
      <c r="Y64" s="231"/>
      <c r="Z64" s="231"/>
      <c r="AA64" s="236"/>
      <c r="AB64" s="231"/>
      <c r="AC64" s="231"/>
      <c r="AD64" s="231"/>
      <c r="AE64" s="236"/>
      <c r="AF64" s="239"/>
      <c r="AG64" s="239"/>
      <c r="AH64" s="239"/>
      <c r="AI64" s="239"/>
      <c r="AJ64" s="239"/>
      <c r="AK64" s="239"/>
    </row>
    <row r="65" spans="8:37">
      <c r="H65" s="231"/>
      <c r="I65" s="231"/>
      <c r="J65" s="231"/>
      <c r="K65" s="236"/>
      <c r="L65" s="231"/>
      <c r="M65" s="231"/>
      <c r="N65" s="231"/>
      <c r="O65" s="236"/>
      <c r="P65" s="231"/>
      <c r="Q65" s="231"/>
      <c r="R65" s="231"/>
      <c r="S65" s="236"/>
      <c r="T65" s="231"/>
      <c r="U65" s="231"/>
      <c r="V65" s="231"/>
      <c r="W65" s="236"/>
      <c r="X65" s="231"/>
      <c r="Y65" s="231"/>
      <c r="Z65" s="231"/>
      <c r="AA65" s="236"/>
      <c r="AB65" s="231"/>
      <c r="AC65" s="231"/>
      <c r="AD65" s="231"/>
      <c r="AE65" s="236"/>
      <c r="AF65" s="239"/>
      <c r="AG65" s="239"/>
      <c r="AH65" s="239"/>
      <c r="AI65" s="239"/>
      <c r="AJ65" s="239"/>
      <c r="AK65" s="239"/>
    </row>
    <row r="66" spans="8:37">
      <c r="H66" s="231"/>
      <c r="I66" s="231"/>
      <c r="J66" s="231"/>
      <c r="K66" s="236"/>
      <c r="L66" s="231"/>
      <c r="M66" s="231"/>
      <c r="N66" s="231"/>
      <c r="O66" s="236"/>
      <c r="P66" s="231"/>
      <c r="Q66" s="231"/>
      <c r="R66" s="231"/>
      <c r="S66" s="236"/>
      <c r="T66" s="231"/>
      <c r="U66" s="231"/>
      <c r="V66" s="231"/>
      <c r="W66" s="236"/>
      <c r="X66" s="231"/>
      <c r="Y66" s="231"/>
      <c r="Z66" s="231"/>
      <c r="AA66" s="236"/>
      <c r="AB66" s="231"/>
      <c r="AC66" s="231"/>
      <c r="AD66" s="231"/>
      <c r="AE66" s="236"/>
      <c r="AF66" s="239"/>
      <c r="AG66" s="239"/>
      <c r="AH66" s="239"/>
      <c r="AI66" s="239"/>
      <c r="AJ66" s="239"/>
      <c r="AK66" s="239"/>
    </row>
    <row r="67" spans="8:37">
      <c r="H67" s="231"/>
      <c r="I67" s="231"/>
      <c r="J67" s="231"/>
      <c r="K67" s="236"/>
      <c r="L67" s="231"/>
      <c r="M67" s="231"/>
      <c r="N67" s="231"/>
      <c r="O67" s="236"/>
      <c r="P67" s="231"/>
      <c r="Q67" s="231"/>
      <c r="R67" s="231"/>
      <c r="S67" s="236"/>
      <c r="T67" s="231"/>
      <c r="U67" s="231"/>
      <c r="V67" s="231"/>
      <c r="W67" s="236"/>
      <c r="X67" s="231"/>
      <c r="Y67" s="231"/>
      <c r="Z67" s="231"/>
      <c r="AA67" s="236"/>
      <c r="AB67" s="231"/>
      <c r="AC67" s="231"/>
      <c r="AD67" s="231"/>
      <c r="AE67" s="236"/>
      <c r="AF67" s="239"/>
      <c r="AG67" s="239"/>
      <c r="AH67" s="239"/>
      <c r="AI67" s="239"/>
      <c r="AJ67" s="239"/>
      <c r="AK67" s="239"/>
    </row>
    <row r="68" spans="8:37">
      <c r="H68" s="231"/>
      <c r="I68" s="231"/>
      <c r="J68" s="231"/>
      <c r="K68" s="236"/>
      <c r="L68" s="231"/>
      <c r="M68" s="231"/>
      <c r="N68" s="231"/>
      <c r="O68" s="236"/>
      <c r="P68" s="231"/>
      <c r="Q68" s="231"/>
      <c r="R68" s="231"/>
      <c r="S68" s="236"/>
      <c r="T68" s="231"/>
      <c r="U68" s="231"/>
      <c r="V68" s="231"/>
      <c r="W68" s="236"/>
      <c r="X68" s="231"/>
      <c r="Y68" s="231"/>
      <c r="Z68" s="231"/>
      <c r="AA68" s="236"/>
      <c r="AB68" s="231"/>
      <c r="AC68" s="231"/>
      <c r="AD68" s="231"/>
      <c r="AE68" s="236"/>
      <c r="AF68" s="239"/>
      <c r="AG68" s="239"/>
      <c r="AH68" s="239"/>
      <c r="AI68" s="239"/>
      <c r="AJ68" s="239"/>
      <c r="AK68" s="239"/>
    </row>
    <row r="69" spans="8:37">
      <c r="H69" s="231"/>
      <c r="I69" s="231"/>
      <c r="J69" s="231"/>
      <c r="K69" s="236"/>
      <c r="L69" s="231"/>
      <c r="M69" s="231"/>
      <c r="N69" s="231"/>
      <c r="O69" s="236"/>
      <c r="P69" s="231"/>
      <c r="Q69" s="231"/>
      <c r="R69" s="231"/>
      <c r="S69" s="236"/>
      <c r="T69" s="231"/>
      <c r="U69" s="231"/>
      <c r="V69" s="231"/>
      <c r="W69" s="236"/>
      <c r="X69" s="231"/>
      <c r="Y69" s="231"/>
      <c r="Z69" s="231"/>
      <c r="AA69" s="236"/>
      <c r="AB69" s="231"/>
      <c r="AC69" s="231"/>
      <c r="AD69" s="231"/>
      <c r="AE69" s="236"/>
      <c r="AF69" s="239"/>
      <c r="AG69" s="239"/>
      <c r="AH69" s="239"/>
      <c r="AI69" s="239"/>
      <c r="AJ69" s="239"/>
      <c r="AK69" s="239"/>
    </row>
    <row r="70" spans="8:37">
      <c r="H70" s="231"/>
      <c r="I70" s="231"/>
      <c r="J70" s="231"/>
      <c r="K70" s="236"/>
      <c r="L70" s="231"/>
      <c r="M70" s="231"/>
      <c r="N70" s="231"/>
      <c r="O70" s="236"/>
      <c r="P70" s="231"/>
      <c r="Q70" s="231"/>
      <c r="R70" s="231"/>
      <c r="S70" s="236"/>
      <c r="T70" s="231"/>
      <c r="U70" s="231"/>
      <c r="V70" s="231"/>
      <c r="W70" s="236"/>
      <c r="X70" s="231"/>
      <c r="Y70" s="231"/>
      <c r="Z70" s="231"/>
      <c r="AA70" s="236"/>
      <c r="AB70" s="231"/>
      <c r="AC70" s="231"/>
      <c r="AD70" s="231"/>
      <c r="AE70" s="236"/>
      <c r="AF70" s="239"/>
      <c r="AG70" s="239"/>
      <c r="AH70" s="239"/>
      <c r="AI70" s="239"/>
      <c r="AJ70" s="239"/>
      <c r="AK70" s="239"/>
    </row>
    <row r="71" spans="8:37">
      <c r="H71" s="231"/>
      <c r="I71" s="231"/>
      <c r="J71" s="231"/>
      <c r="K71" s="236"/>
      <c r="L71" s="231"/>
      <c r="M71" s="231"/>
      <c r="N71" s="231"/>
      <c r="O71" s="236"/>
      <c r="P71" s="231"/>
      <c r="Q71" s="231"/>
      <c r="R71" s="231"/>
      <c r="S71" s="236"/>
      <c r="T71" s="231"/>
      <c r="U71" s="231"/>
      <c r="V71" s="231"/>
      <c r="W71" s="236"/>
      <c r="X71" s="231"/>
      <c r="Y71" s="231"/>
      <c r="Z71" s="231"/>
      <c r="AA71" s="236"/>
      <c r="AB71" s="231"/>
      <c r="AC71" s="231"/>
      <c r="AD71" s="231"/>
      <c r="AE71" s="236"/>
      <c r="AF71" s="239"/>
      <c r="AG71" s="239"/>
      <c r="AH71" s="239"/>
      <c r="AI71" s="239"/>
      <c r="AJ71" s="239"/>
      <c r="AK71" s="239"/>
    </row>
    <row r="72" spans="8:37">
      <c r="H72" s="231"/>
      <c r="I72" s="231"/>
      <c r="J72" s="231"/>
      <c r="K72" s="236"/>
      <c r="L72" s="231"/>
      <c r="M72" s="231"/>
      <c r="N72" s="231"/>
      <c r="O72" s="236"/>
      <c r="P72" s="231"/>
      <c r="Q72" s="231"/>
      <c r="R72" s="231"/>
      <c r="S72" s="236"/>
      <c r="T72" s="231"/>
      <c r="U72" s="231"/>
      <c r="V72" s="231"/>
      <c r="W72" s="236"/>
      <c r="X72" s="231"/>
      <c r="Y72" s="231"/>
      <c r="Z72" s="231"/>
      <c r="AA72" s="236"/>
      <c r="AB72" s="231"/>
      <c r="AC72" s="231"/>
      <c r="AD72" s="231"/>
      <c r="AE72" s="236"/>
      <c r="AF72" s="239"/>
      <c r="AG72" s="239"/>
      <c r="AH72" s="239"/>
      <c r="AI72" s="239"/>
      <c r="AJ72" s="239"/>
      <c r="AK72" s="239"/>
    </row>
    <row r="73" spans="8:37">
      <c r="H73" s="231"/>
      <c r="I73" s="231"/>
      <c r="J73" s="231"/>
      <c r="K73" s="236"/>
      <c r="L73" s="231"/>
      <c r="M73" s="231"/>
      <c r="N73" s="231"/>
      <c r="O73" s="236"/>
      <c r="P73" s="231"/>
      <c r="Q73" s="231"/>
      <c r="R73" s="231"/>
      <c r="S73" s="236"/>
      <c r="T73" s="231"/>
      <c r="U73" s="231"/>
      <c r="V73" s="231"/>
      <c r="W73" s="236"/>
      <c r="X73" s="231"/>
      <c r="Y73" s="231"/>
      <c r="Z73" s="231"/>
      <c r="AA73" s="236"/>
      <c r="AB73" s="231"/>
      <c r="AC73" s="231"/>
      <c r="AD73" s="231"/>
      <c r="AE73" s="236"/>
      <c r="AF73" s="239"/>
      <c r="AG73" s="239"/>
      <c r="AH73" s="239"/>
      <c r="AI73" s="239"/>
      <c r="AJ73" s="239"/>
      <c r="AK73" s="239"/>
    </row>
    <row r="74" spans="8:37">
      <c r="H74" s="231"/>
      <c r="I74" s="231"/>
      <c r="J74" s="231"/>
      <c r="K74" s="236"/>
      <c r="L74" s="231"/>
      <c r="M74" s="231"/>
      <c r="N74" s="231"/>
      <c r="O74" s="236"/>
      <c r="P74" s="231"/>
      <c r="Q74" s="231"/>
      <c r="R74" s="231"/>
      <c r="S74" s="236"/>
      <c r="T74" s="231"/>
      <c r="U74" s="231"/>
      <c r="V74" s="231"/>
      <c r="W74" s="236"/>
      <c r="X74" s="231"/>
      <c r="Y74" s="231"/>
      <c r="Z74" s="231"/>
      <c r="AA74" s="236"/>
      <c r="AB74" s="231"/>
      <c r="AC74" s="231"/>
      <c r="AD74" s="231"/>
      <c r="AE74" s="236"/>
      <c r="AF74" s="239"/>
      <c r="AG74" s="239"/>
      <c r="AH74" s="239"/>
      <c r="AI74" s="239"/>
      <c r="AJ74" s="239"/>
      <c r="AK74" s="239"/>
    </row>
    <row r="75" spans="8:37">
      <c r="H75" s="231"/>
      <c r="I75" s="231"/>
      <c r="J75" s="231"/>
      <c r="K75" s="236"/>
      <c r="L75" s="231"/>
      <c r="M75" s="231"/>
      <c r="N75" s="231"/>
      <c r="O75" s="236"/>
      <c r="P75" s="231"/>
      <c r="Q75" s="231"/>
      <c r="R75" s="231"/>
      <c r="S75" s="236"/>
      <c r="T75" s="231"/>
      <c r="U75" s="231"/>
      <c r="V75" s="231"/>
      <c r="W75" s="236"/>
      <c r="X75" s="231"/>
      <c r="Y75" s="231"/>
      <c r="Z75" s="231"/>
      <c r="AA75" s="236"/>
      <c r="AB75" s="231"/>
      <c r="AC75" s="231"/>
      <c r="AD75" s="231"/>
      <c r="AE75" s="236"/>
      <c r="AF75" s="239"/>
      <c r="AG75" s="239"/>
      <c r="AH75" s="239"/>
      <c r="AI75" s="239"/>
      <c r="AJ75" s="239"/>
      <c r="AK75" s="239"/>
    </row>
    <row r="76" spans="8:37">
      <c r="H76" s="231"/>
      <c r="I76" s="231"/>
      <c r="J76" s="231"/>
      <c r="K76" s="236"/>
      <c r="L76" s="231"/>
      <c r="M76" s="231"/>
      <c r="N76" s="231"/>
      <c r="O76" s="236"/>
      <c r="P76" s="231"/>
      <c r="Q76" s="231"/>
      <c r="R76" s="231"/>
      <c r="S76" s="236"/>
      <c r="T76" s="231"/>
      <c r="U76" s="231"/>
      <c r="V76" s="231"/>
      <c r="W76" s="236"/>
      <c r="X76" s="231"/>
      <c r="Y76" s="231"/>
      <c r="Z76" s="231"/>
      <c r="AA76" s="236"/>
      <c r="AB76" s="231"/>
      <c r="AC76" s="231"/>
      <c r="AD76" s="231"/>
      <c r="AE76" s="236"/>
      <c r="AF76" s="239"/>
      <c r="AG76" s="239"/>
      <c r="AH76" s="239"/>
      <c r="AI76" s="239"/>
      <c r="AJ76" s="239"/>
      <c r="AK76" s="239"/>
    </row>
    <row r="77" spans="8:37">
      <c r="H77" s="231"/>
      <c r="I77" s="231"/>
      <c r="J77" s="231"/>
      <c r="K77" s="236"/>
      <c r="L77" s="231"/>
      <c r="M77" s="231"/>
      <c r="N77" s="231"/>
      <c r="O77" s="236"/>
      <c r="P77" s="231"/>
      <c r="Q77" s="231"/>
      <c r="R77" s="231"/>
      <c r="S77" s="236"/>
      <c r="T77" s="231"/>
      <c r="U77" s="231"/>
      <c r="V77" s="231"/>
      <c r="W77" s="236"/>
      <c r="X77" s="231"/>
      <c r="Y77" s="231"/>
      <c r="Z77" s="231"/>
      <c r="AA77" s="236"/>
      <c r="AB77" s="231"/>
      <c r="AC77" s="231"/>
      <c r="AD77" s="231"/>
      <c r="AE77" s="236"/>
      <c r="AF77" s="239"/>
      <c r="AG77" s="239"/>
      <c r="AH77" s="239"/>
      <c r="AI77" s="239"/>
      <c r="AJ77" s="239"/>
      <c r="AK77" s="239"/>
    </row>
    <row r="78" spans="8:37">
      <c r="H78" s="231"/>
      <c r="I78" s="231"/>
      <c r="J78" s="231"/>
      <c r="K78" s="236"/>
      <c r="L78" s="231"/>
      <c r="M78" s="231"/>
      <c r="N78" s="231"/>
      <c r="O78" s="236"/>
      <c r="P78" s="231"/>
      <c r="Q78" s="231"/>
      <c r="R78" s="231"/>
      <c r="S78" s="236"/>
      <c r="T78" s="231"/>
      <c r="U78" s="231"/>
      <c r="V78" s="231"/>
      <c r="W78" s="236"/>
      <c r="X78" s="231"/>
      <c r="Y78" s="231"/>
      <c r="Z78" s="231"/>
      <c r="AA78" s="236"/>
      <c r="AB78" s="231"/>
      <c r="AC78" s="231"/>
      <c r="AD78" s="231"/>
      <c r="AE78" s="236"/>
      <c r="AF78" s="239"/>
      <c r="AG78" s="239"/>
      <c r="AH78" s="239"/>
      <c r="AI78" s="239"/>
      <c r="AJ78" s="239"/>
      <c r="AK78" s="239"/>
    </row>
    <row r="79" spans="8:37">
      <c r="H79" s="231"/>
      <c r="I79" s="231"/>
      <c r="J79" s="231"/>
      <c r="K79" s="236"/>
      <c r="L79" s="231"/>
      <c r="M79" s="231"/>
      <c r="N79" s="231"/>
      <c r="O79" s="236"/>
      <c r="P79" s="231"/>
      <c r="Q79" s="231"/>
      <c r="R79" s="231"/>
      <c r="S79" s="236"/>
      <c r="T79" s="231"/>
      <c r="U79" s="231"/>
      <c r="V79" s="231"/>
      <c r="W79" s="236"/>
      <c r="X79" s="231"/>
      <c r="Y79" s="231"/>
      <c r="Z79" s="231"/>
      <c r="AA79" s="236"/>
      <c r="AB79" s="231"/>
      <c r="AC79" s="231"/>
      <c r="AD79" s="231"/>
      <c r="AE79" s="236"/>
      <c r="AF79" s="239"/>
      <c r="AG79" s="239"/>
      <c r="AH79" s="239"/>
      <c r="AI79" s="239"/>
      <c r="AJ79" s="239"/>
      <c r="AK79" s="239"/>
    </row>
    <row r="80" spans="8:37">
      <c r="H80" s="231"/>
      <c r="I80" s="231"/>
      <c r="J80" s="231"/>
      <c r="K80" s="236"/>
      <c r="L80" s="231"/>
      <c r="M80" s="231"/>
      <c r="N80" s="231"/>
      <c r="O80" s="236"/>
      <c r="P80" s="231"/>
      <c r="Q80" s="231"/>
      <c r="R80" s="231"/>
      <c r="S80" s="236"/>
      <c r="T80" s="231"/>
      <c r="U80" s="231"/>
      <c r="V80" s="231"/>
      <c r="W80" s="236"/>
      <c r="X80" s="231"/>
      <c r="Y80" s="231"/>
      <c r="Z80" s="231"/>
      <c r="AA80" s="236"/>
      <c r="AB80" s="231"/>
      <c r="AC80" s="231"/>
      <c r="AD80" s="231"/>
      <c r="AE80" s="236"/>
      <c r="AF80" s="239"/>
      <c r="AG80" s="239"/>
      <c r="AH80" s="239"/>
      <c r="AI80" s="239"/>
      <c r="AJ80" s="239"/>
      <c r="AK80" s="239"/>
    </row>
    <row r="81" spans="8:37">
      <c r="H81" s="231"/>
      <c r="I81" s="231"/>
      <c r="J81" s="231"/>
      <c r="K81" s="236"/>
      <c r="L81" s="231"/>
      <c r="M81" s="231"/>
      <c r="N81" s="231"/>
      <c r="O81" s="236"/>
      <c r="P81" s="231"/>
      <c r="Q81" s="231"/>
      <c r="R81" s="231"/>
      <c r="S81" s="236"/>
      <c r="T81" s="231"/>
      <c r="U81" s="231"/>
      <c r="V81" s="231"/>
      <c r="W81" s="236"/>
      <c r="X81" s="231"/>
      <c r="Y81" s="231"/>
      <c r="Z81" s="231"/>
      <c r="AA81" s="236"/>
      <c r="AB81" s="231"/>
      <c r="AC81" s="231"/>
      <c r="AD81" s="231"/>
      <c r="AE81" s="236"/>
      <c r="AF81" s="239"/>
      <c r="AG81" s="239"/>
      <c r="AH81" s="239"/>
      <c r="AI81" s="239"/>
      <c r="AJ81" s="239"/>
      <c r="AK81" s="239"/>
    </row>
    <row r="82" spans="8:37">
      <c r="H82" s="231"/>
      <c r="I82" s="231"/>
      <c r="J82" s="231"/>
      <c r="K82" s="236"/>
      <c r="L82" s="231"/>
      <c r="M82" s="231"/>
      <c r="N82" s="231"/>
      <c r="O82" s="236"/>
      <c r="P82" s="231"/>
      <c r="Q82" s="231"/>
      <c r="R82" s="231"/>
      <c r="S82" s="236"/>
      <c r="T82" s="231"/>
      <c r="U82" s="231"/>
      <c r="V82" s="231"/>
      <c r="W82" s="236"/>
      <c r="X82" s="231"/>
      <c r="Y82" s="231"/>
      <c r="Z82" s="231"/>
      <c r="AA82" s="236"/>
      <c r="AB82" s="231"/>
      <c r="AC82" s="231"/>
      <c r="AD82" s="231"/>
      <c r="AE82" s="236"/>
      <c r="AF82" s="239"/>
      <c r="AG82" s="239"/>
      <c r="AH82" s="239"/>
      <c r="AI82" s="239"/>
      <c r="AJ82" s="239"/>
      <c r="AK82" s="239"/>
    </row>
    <row r="83" spans="8:37">
      <c r="H83" s="231"/>
      <c r="I83" s="231"/>
      <c r="J83" s="231"/>
      <c r="K83" s="236"/>
      <c r="L83" s="231"/>
      <c r="M83" s="231"/>
      <c r="N83" s="231"/>
      <c r="O83" s="236"/>
      <c r="P83" s="231"/>
      <c r="Q83" s="231"/>
      <c r="R83" s="231"/>
      <c r="S83" s="236"/>
      <c r="T83" s="231"/>
      <c r="U83" s="231"/>
      <c r="V83" s="231"/>
      <c r="W83" s="236"/>
      <c r="X83" s="231"/>
      <c r="Y83" s="231"/>
      <c r="Z83" s="231"/>
      <c r="AA83" s="236"/>
      <c r="AB83" s="231"/>
      <c r="AC83" s="231"/>
      <c r="AD83" s="231"/>
      <c r="AE83" s="236"/>
      <c r="AF83" s="239"/>
      <c r="AG83" s="239"/>
      <c r="AH83" s="239"/>
      <c r="AI83" s="239"/>
      <c r="AJ83" s="239"/>
      <c r="AK83" s="239"/>
    </row>
    <row r="84" spans="8:37">
      <c r="H84" s="231"/>
      <c r="I84" s="231"/>
      <c r="J84" s="231"/>
      <c r="K84" s="236"/>
      <c r="L84" s="231"/>
      <c r="M84" s="231"/>
      <c r="N84" s="231"/>
      <c r="O84" s="236"/>
      <c r="P84" s="231"/>
      <c r="Q84" s="231"/>
      <c r="R84" s="231"/>
      <c r="S84" s="236"/>
      <c r="T84" s="231"/>
      <c r="U84" s="231"/>
      <c r="V84" s="231"/>
      <c r="W84" s="236"/>
      <c r="X84" s="231"/>
      <c r="Y84" s="231"/>
      <c r="Z84" s="231"/>
      <c r="AA84" s="236"/>
      <c r="AB84" s="231"/>
      <c r="AC84" s="231"/>
      <c r="AD84" s="231"/>
      <c r="AE84" s="236"/>
      <c r="AF84" s="239"/>
      <c r="AG84" s="239"/>
      <c r="AH84" s="239"/>
      <c r="AI84" s="239"/>
      <c r="AJ84" s="239"/>
      <c r="AK84" s="239"/>
    </row>
    <row r="85" spans="8:37">
      <c r="H85" s="231"/>
      <c r="I85" s="231"/>
      <c r="J85" s="231"/>
      <c r="K85" s="236"/>
      <c r="L85" s="231"/>
      <c r="M85" s="231"/>
      <c r="N85" s="231"/>
      <c r="O85" s="236"/>
      <c r="P85" s="231"/>
      <c r="Q85" s="231"/>
      <c r="R85" s="231"/>
      <c r="S85" s="236"/>
      <c r="T85" s="231"/>
      <c r="U85" s="231"/>
      <c r="V85" s="231"/>
      <c r="W85" s="236"/>
      <c r="X85" s="231"/>
      <c r="Y85" s="231"/>
      <c r="Z85" s="231"/>
      <c r="AA85" s="236"/>
      <c r="AB85" s="231"/>
      <c r="AC85" s="231"/>
      <c r="AD85" s="231"/>
      <c r="AE85" s="236"/>
      <c r="AF85" s="239"/>
      <c r="AG85" s="239"/>
      <c r="AH85" s="239"/>
      <c r="AI85" s="239"/>
      <c r="AJ85" s="239"/>
      <c r="AK85" s="239"/>
    </row>
    <row r="86" spans="8:37">
      <c r="H86" s="231"/>
      <c r="I86" s="231"/>
      <c r="J86" s="231"/>
      <c r="K86" s="236"/>
      <c r="L86" s="231"/>
      <c r="M86" s="231"/>
      <c r="N86" s="231"/>
      <c r="O86" s="236"/>
      <c r="P86" s="231"/>
      <c r="Q86" s="231"/>
      <c r="R86" s="231"/>
      <c r="S86" s="236"/>
      <c r="T86" s="231"/>
      <c r="U86" s="231"/>
      <c r="V86" s="231"/>
      <c r="W86" s="236"/>
      <c r="X86" s="231"/>
      <c r="Y86" s="231"/>
      <c r="Z86" s="231"/>
      <c r="AA86" s="236"/>
      <c r="AB86" s="231"/>
      <c r="AC86" s="231"/>
      <c r="AD86" s="231"/>
      <c r="AE86" s="236"/>
      <c r="AF86" s="239"/>
      <c r="AG86" s="239"/>
      <c r="AH86" s="239"/>
      <c r="AI86" s="239"/>
      <c r="AJ86" s="239"/>
      <c r="AK86" s="239"/>
    </row>
    <row r="87" spans="8:37">
      <c r="H87" s="231"/>
      <c r="I87" s="231"/>
      <c r="J87" s="231"/>
      <c r="K87" s="236"/>
      <c r="L87" s="231"/>
      <c r="M87" s="231"/>
      <c r="N87" s="231"/>
      <c r="O87" s="236"/>
      <c r="P87" s="231"/>
      <c r="Q87" s="231"/>
      <c r="R87" s="231"/>
      <c r="S87" s="236"/>
      <c r="T87" s="231"/>
      <c r="U87" s="231"/>
      <c r="V87" s="231"/>
      <c r="W87" s="236"/>
      <c r="X87" s="231"/>
      <c r="Y87" s="231"/>
      <c r="Z87" s="231"/>
      <c r="AA87" s="236"/>
      <c r="AB87" s="231"/>
      <c r="AC87" s="231"/>
      <c r="AD87" s="231"/>
      <c r="AE87" s="236"/>
      <c r="AF87" s="239"/>
      <c r="AG87" s="239"/>
      <c r="AH87" s="239"/>
      <c r="AI87" s="239"/>
      <c r="AJ87" s="239"/>
      <c r="AK87" s="239"/>
    </row>
    <row r="88" spans="8:37">
      <c r="H88" s="231"/>
      <c r="I88" s="231"/>
      <c r="J88" s="231"/>
      <c r="K88" s="236"/>
      <c r="L88" s="231"/>
      <c r="M88" s="231"/>
      <c r="N88" s="231"/>
      <c r="O88" s="236"/>
      <c r="P88" s="231"/>
      <c r="Q88" s="231"/>
      <c r="R88" s="231"/>
      <c r="S88" s="236"/>
      <c r="T88" s="231"/>
      <c r="U88" s="231"/>
      <c r="V88" s="231"/>
      <c r="W88" s="236"/>
      <c r="X88" s="231"/>
      <c r="Y88" s="231"/>
      <c r="Z88" s="231"/>
      <c r="AA88" s="236"/>
      <c r="AB88" s="231"/>
      <c r="AC88" s="231"/>
      <c r="AD88" s="231"/>
      <c r="AE88" s="236"/>
      <c r="AF88" s="239"/>
      <c r="AG88" s="239"/>
      <c r="AH88" s="239"/>
      <c r="AI88" s="239"/>
      <c r="AJ88" s="239"/>
      <c r="AK88" s="239"/>
    </row>
    <row r="89" spans="8:37">
      <c r="H89" s="231"/>
      <c r="I89" s="231"/>
      <c r="J89" s="231"/>
      <c r="K89" s="236"/>
      <c r="L89" s="231"/>
      <c r="M89" s="231"/>
      <c r="N89" s="231"/>
      <c r="O89" s="236"/>
      <c r="P89" s="231"/>
      <c r="Q89" s="231"/>
      <c r="R89" s="231"/>
      <c r="S89" s="236"/>
      <c r="T89" s="231"/>
      <c r="U89" s="231"/>
      <c r="V89" s="231"/>
      <c r="W89" s="236"/>
      <c r="X89" s="231"/>
      <c r="Y89" s="231"/>
      <c r="Z89" s="231"/>
      <c r="AA89" s="236"/>
      <c r="AB89" s="231"/>
      <c r="AC89" s="231"/>
      <c r="AD89" s="231"/>
      <c r="AE89" s="236"/>
      <c r="AF89" s="239"/>
      <c r="AG89" s="239"/>
      <c r="AH89" s="239"/>
      <c r="AI89" s="239"/>
      <c r="AJ89" s="239"/>
      <c r="AK89" s="239"/>
    </row>
    <row r="90" spans="8:37">
      <c r="H90" s="231"/>
      <c r="I90" s="231"/>
      <c r="J90" s="231"/>
      <c r="K90" s="236"/>
      <c r="L90" s="231"/>
      <c r="M90" s="231"/>
      <c r="N90" s="231"/>
      <c r="O90" s="236"/>
      <c r="P90" s="231"/>
      <c r="Q90" s="231"/>
      <c r="R90" s="231"/>
      <c r="S90" s="236"/>
      <c r="T90" s="231"/>
      <c r="U90" s="231"/>
      <c r="V90" s="231"/>
      <c r="W90" s="236"/>
      <c r="X90" s="231"/>
      <c r="Y90" s="231"/>
      <c r="Z90" s="231"/>
      <c r="AA90" s="236"/>
      <c r="AB90" s="231"/>
      <c r="AC90" s="231"/>
      <c r="AD90" s="231"/>
      <c r="AE90" s="236"/>
      <c r="AF90" s="239"/>
      <c r="AG90" s="239"/>
      <c r="AH90" s="239"/>
      <c r="AI90" s="239"/>
      <c r="AJ90" s="239"/>
      <c r="AK90" s="239"/>
    </row>
    <row r="91" spans="8:37">
      <c r="H91" s="231"/>
      <c r="I91" s="231"/>
      <c r="J91" s="231"/>
      <c r="K91" s="236"/>
      <c r="L91" s="231"/>
      <c r="M91" s="231"/>
      <c r="N91" s="231"/>
      <c r="O91" s="236"/>
      <c r="P91" s="231"/>
      <c r="Q91" s="231"/>
      <c r="R91" s="231"/>
      <c r="S91" s="236"/>
      <c r="T91" s="231"/>
      <c r="U91" s="231"/>
      <c r="V91" s="231"/>
      <c r="W91" s="236"/>
      <c r="X91" s="231"/>
      <c r="Y91" s="231"/>
      <c r="Z91" s="231"/>
      <c r="AA91" s="236"/>
      <c r="AB91" s="231"/>
      <c r="AC91" s="231"/>
      <c r="AD91" s="231"/>
      <c r="AE91" s="236"/>
      <c r="AF91" s="239"/>
      <c r="AG91" s="239"/>
      <c r="AH91" s="239"/>
      <c r="AI91" s="239"/>
      <c r="AJ91" s="239"/>
      <c r="AK91" s="239"/>
    </row>
    <row r="92" spans="8:37">
      <c r="H92" s="231"/>
      <c r="I92" s="231"/>
      <c r="J92" s="231"/>
      <c r="K92" s="236"/>
      <c r="L92" s="231"/>
      <c r="M92" s="231"/>
      <c r="N92" s="231"/>
      <c r="O92" s="236"/>
      <c r="P92" s="231"/>
      <c r="Q92" s="231"/>
      <c r="R92" s="231"/>
      <c r="S92" s="236"/>
      <c r="T92" s="231"/>
      <c r="U92" s="231"/>
      <c r="V92" s="231"/>
      <c r="W92" s="236"/>
      <c r="X92" s="231"/>
      <c r="Y92" s="231"/>
      <c r="Z92" s="231"/>
      <c r="AA92" s="236"/>
      <c r="AB92" s="231"/>
      <c r="AC92" s="231"/>
      <c r="AD92" s="231"/>
      <c r="AE92" s="236"/>
      <c r="AF92" s="239"/>
      <c r="AG92" s="239"/>
      <c r="AH92" s="239"/>
      <c r="AI92" s="239"/>
      <c r="AJ92" s="239"/>
      <c r="AK92" s="239"/>
    </row>
    <row r="93" spans="8:37">
      <c r="H93" s="231"/>
      <c r="I93" s="231"/>
      <c r="J93" s="231"/>
      <c r="K93" s="236"/>
      <c r="L93" s="231"/>
      <c r="M93" s="231"/>
      <c r="N93" s="231"/>
      <c r="O93" s="236"/>
      <c r="P93" s="231"/>
      <c r="Q93" s="231"/>
      <c r="R93" s="231"/>
      <c r="S93" s="236"/>
      <c r="T93" s="231"/>
      <c r="U93" s="231"/>
      <c r="V93" s="231"/>
      <c r="W93" s="236"/>
      <c r="X93" s="231"/>
      <c r="Y93" s="231"/>
      <c r="Z93" s="231"/>
      <c r="AA93" s="236"/>
      <c r="AB93" s="231"/>
      <c r="AC93" s="231"/>
      <c r="AD93" s="231"/>
      <c r="AE93" s="236"/>
      <c r="AF93" s="239"/>
      <c r="AG93" s="239"/>
      <c r="AH93" s="239"/>
      <c r="AI93" s="239"/>
      <c r="AJ93" s="239"/>
      <c r="AK93" s="239"/>
    </row>
    <row r="94" spans="8:37">
      <c r="H94" s="231"/>
      <c r="I94" s="231"/>
      <c r="J94" s="231"/>
      <c r="K94" s="236"/>
      <c r="L94" s="231"/>
      <c r="M94" s="231"/>
      <c r="N94" s="231"/>
      <c r="O94" s="236"/>
      <c r="P94" s="231"/>
      <c r="Q94" s="231"/>
      <c r="R94" s="231"/>
      <c r="S94" s="236"/>
      <c r="T94" s="231"/>
      <c r="U94" s="231"/>
      <c r="V94" s="231"/>
      <c r="W94" s="236"/>
      <c r="X94" s="231"/>
      <c r="Y94" s="231"/>
      <c r="Z94" s="231"/>
      <c r="AA94" s="236"/>
      <c r="AB94" s="231"/>
      <c r="AC94" s="231"/>
      <c r="AD94" s="231"/>
      <c r="AE94" s="236"/>
      <c r="AF94" s="239"/>
      <c r="AG94" s="239"/>
      <c r="AH94" s="239"/>
      <c r="AI94" s="239"/>
      <c r="AJ94" s="239"/>
      <c r="AK94" s="239"/>
    </row>
    <row r="95" spans="8:37">
      <c r="H95" s="231"/>
      <c r="I95" s="231"/>
      <c r="J95" s="231"/>
      <c r="K95" s="236"/>
      <c r="L95" s="231"/>
      <c r="M95" s="231"/>
      <c r="N95" s="231"/>
      <c r="O95" s="236"/>
      <c r="P95" s="231"/>
      <c r="Q95" s="231"/>
      <c r="R95" s="231"/>
      <c r="S95" s="236"/>
      <c r="T95" s="231"/>
      <c r="U95" s="231"/>
      <c r="V95" s="231"/>
      <c r="W95" s="236"/>
      <c r="X95" s="231"/>
      <c r="Y95" s="231"/>
      <c r="Z95" s="231"/>
      <c r="AA95" s="236"/>
      <c r="AB95" s="231"/>
      <c r="AC95" s="231"/>
      <c r="AD95" s="231"/>
      <c r="AE95" s="236"/>
      <c r="AF95" s="239"/>
      <c r="AG95" s="239"/>
      <c r="AH95" s="239"/>
      <c r="AI95" s="239"/>
      <c r="AJ95" s="239"/>
      <c r="AK95" s="239"/>
    </row>
    <row r="96" spans="8:37">
      <c r="H96" s="231"/>
      <c r="I96" s="231"/>
      <c r="J96" s="231"/>
      <c r="K96" s="236"/>
      <c r="L96" s="231"/>
      <c r="M96" s="231"/>
      <c r="N96" s="231"/>
      <c r="O96" s="236"/>
      <c r="P96" s="231"/>
      <c r="Q96" s="231"/>
      <c r="R96" s="231"/>
      <c r="S96" s="236"/>
      <c r="T96" s="231"/>
      <c r="U96" s="231"/>
      <c r="V96" s="231"/>
      <c r="W96" s="236"/>
      <c r="X96" s="231"/>
      <c r="Y96" s="231"/>
      <c r="Z96" s="231"/>
      <c r="AA96" s="236"/>
      <c r="AB96" s="231"/>
      <c r="AC96" s="231"/>
      <c r="AD96" s="231"/>
      <c r="AE96" s="236"/>
      <c r="AF96" s="239"/>
      <c r="AG96" s="239"/>
      <c r="AH96" s="239"/>
      <c r="AI96" s="239"/>
      <c r="AJ96" s="239"/>
      <c r="AK96" s="239"/>
    </row>
    <row r="97" spans="8:37">
      <c r="H97" s="231"/>
      <c r="I97" s="231"/>
      <c r="J97" s="231"/>
      <c r="K97" s="236"/>
      <c r="L97" s="231"/>
      <c r="M97" s="231"/>
      <c r="N97" s="231"/>
      <c r="O97" s="236"/>
      <c r="P97" s="231"/>
      <c r="Q97" s="231"/>
      <c r="R97" s="231"/>
      <c r="S97" s="236"/>
      <c r="T97" s="231"/>
      <c r="U97" s="231"/>
      <c r="V97" s="231"/>
      <c r="W97" s="236"/>
      <c r="X97" s="231"/>
      <c r="Y97" s="231"/>
      <c r="Z97" s="231"/>
      <c r="AA97" s="236"/>
      <c r="AB97" s="231"/>
      <c r="AC97" s="231"/>
      <c r="AD97" s="231"/>
      <c r="AE97" s="236"/>
      <c r="AF97" s="239"/>
      <c r="AG97" s="239"/>
      <c r="AH97" s="239"/>
      <c r="AI97" s="239"/>
      <c r="AJ97" s="239"/>
      <c r="AK97" s="239"/>
    </row>
    <row r="98" spans="8:37">
      <c r="H98" s="231"/>
      <c r="I98" s="231"/>
      <c r="J98" s="231"/>
      <c r="K98" s="236"/>
      <c r="L98" s="231"/>
      <c r="M98" s="231"/>
      <c r="N98" s="231"/>
      <c r="O98" s="236"/>
      <c r="P98" s="231"/>
      <c r="Q98" s="231"/>
      <c r="R98" s="231"/>
      <c r="S98" s="236"/>
      <c r="T98" s="231"/>
      <c r="U98" s="231"/>
      <c r="V98" s="231"/>
      <c r="W98" s="236"/>
      <c r="X98" s="231"/>
      <c r="Y98" s="231"/>
      <c r="Z98" s="231"/>
      <c r="AA98" s="236"/>
      <c r="AB98" s="231"/>
      <c r="AC98" s="231"/>
      <c r="AD98" s="231"/>
      <c r="AE98" s="236"/>
      <c r="AF98" s="239"/>
      <c r="AG98" s="239"/>
      <c r="AH98" s="239"/>
      <c r="AI98" s="239"/>
      <c r="AJ98" s="239"/>
      <c r="AK98" s="239"/>
    </row>
    <row r="99" spans="8:37">
      <c r="H99" s="231"/>
      <c r="I99" s="231"/>
      <c r="J99" s="231"/>
      <c r="K99" s="236"/>
      <c r="L99" s="231"/>
      <c r="M99" s="231"/>
      <c r="N99" s="231"/>
      <c r="O99" s="236"/>
      <c r="P99" s="231"/>
      <c r="Q99" s="231"/>
      <c r="R99" s="231"/>
      <c r="S99" s="236"/>
      <c r="T99" s="231"/>
      <c r="U99" s="231"/>
      <c r="V99" s="231"/>
      <c r="W99" s="236"/>
      <c r="X99" s="231"/>
      <c r="Y99" s="231"/>
      <c r="Z99" s="231"/>
      <c r="AA99" s="236"/>
      <c r="AB99" s="231"/>
      <c r="AC99" s="231"/>
      <c r="AD99" s="231"/>
      <c r="AE99" s="236"/>
      <c r="AF99" s="239"/>
      <c r="AG99" s="239"/>
      <c r="AH99" s="239"/>
      <c r="AI99" s="239"/>
      <c r="AJ99" s="239"/>
      <c r="AK99" s="239"/>
    </row>
    <row r="100" spans="8:37">
      <c r="H100" s="231"/>
      <c r="I100" s="231"/>
      <c r="J100" s="231"/>
      <c r="K100" s="236"/>
      <c r="L100" s="231"/>
      <c r="M100" s="231"/>
      <c r="N100" s="231"/>
      <c r="O100" s="236"/>
      <c r="P100" s="231"/>
      <c r="Q100" s="231"/>
      <c r="R100" s="231"/>
      <c r="S100" s="236"/>
      <c r="T100" s="231"/>
      <c r="U100" s="231"/>
      <c r="V100" s="231"/>
      <c r="W100" s="236"/>
      <c r="X100" s="231"/>
      <c r="Y100" s="231"/>
      <c r="Z100" s="231"/>
      <c r="AA100" s="236"/>
      <c r="AB100" s="231"/>
      <c r="AC100" s="231"/>
      <c r="AD100" s="231"/>
      <c r="AE100" s="236"/>
      <c r="AF100" s="239"/>
      <c r="AG100" s="239"/>
      <c r="AH100" s="239"/>
      <c r="AI100" s="239"/>
      <c r="AJ100" s="239"/>
      <c r="AK100" s="239"/>
    </row>
    <row r="101" spans="8:37">
      <c r="H101" s="231"/>
      <c r="I101" s="231"/>
      <c r="J101" s="231"/>
      <c r="K101" s="236"/>
      <c r="L101" s="231"/>
      <c r="M101" s="231"/>
      <c r="N101" s="231"/>
      <c r="O101" s="236"/>
      <c r="P101" s="231"/>
      <c r="Q101" s="231"/>
      <c r="R101" s="231"/>
      <c r="S101" s="236"/>
      <c r="T101" s="231"/>
      <c r="U101" s="231"/>
      <c r="V101" s="231"/>
      <c r="W101" s="236"/>
      <c r="X101" s="231"/>
      <c r="Y101" s="231"/>
      <c r="Z101" s="231"/>
      <c r="AA101" s="236"/>
      <c r="AB101" s="231"/>
      <c r="AC101" s="231"/>
      <c r="AD101" s="231"/>
      <c r="AE101" s="236"/>
      <c r="AF101" s="239"/>
      <c r="AG101" s="239"/>
      <c r="AH101" s="239"/>
      <c r="AI101" s="239"/>
      <c r="AJ101" s="239"/>
      <c r="AK101" s="239"/>
    </row>
    <row r="102" spans="8:37">
      <c r="H102" s="231"/>
      <c r="I102" s="231"/>
      <c r="J102" s="231"/>
      <c r="K102" s="236"/>
      <c r="L102" s="231"/>
      <c r="M102" s="231"/>
      <c r="N102" s="231"/>
      <c r="O102" s="236"/>
      <c r="P102" s="231"/>
      <c r="Q102" s="231"/>
      <c r="R102" s="231"/>
      <c r="S102" s="236"/>
      <c r="T102" s="231"/>
      <c r="U102" s="231"/>
      <c r="V102" s="231"/>
      <c r="W102" s="236"/>
      <c r="X102" s="231"/>
      <c r="Y102" s="231"/>
      <c r="Z102" s="231"/>
      <c r="AA102" s="236"/>
      <c r="AB102" s="231"/>
      <c r="AC102" s="231"/>
      <c r="AD102" s="231"/>
      <c r="AE102" s="236"/>
      <c r="AF102" s="239"/>
      <c r="AG102" s="239"/>
      <c r="AH102" s="239"/>
      <c r="AI102" s="239"/>
      <c r="AJ102" s="239"/>
      <c r="AK102" s="239"/>
    </row>
    <row r="103" spans="8:37">
      <c r="H103" s="231"/>
      <c r="I103" s="231"/>
      <c r="J103" s="231"/>
      <c r="K103" s="236"/>
      <c r="L103" s="231"/>
      <c r="M103" s="231"/>
      <c r="N103" s="231"/>
      <c r="O103" s="236"/>
      <c r="P103" s="231"/>
      <c r="Q103" s="231"/>
      <c r="R103" s="231"/>
      <c r="S103" s="236"/>
      <c r="T103" s="231"/>
      <c r="U103" s="231"/>
      <c r="V103" s="231"/>
      <c r="W103" s="236"/>
      <c r="X103" s="231"/>
      <c r="Y103" s="231"/>
      <c r="Z103" s="231"/>
      <c r="AA103" s="236"/>
      <c r="AB103" s="231"/>
      <c r="AC103" s="231"/>
      <c r="AD103" s="231"/>
      <c r="AE103" s="236"/>
      <c r="AF103" s="239"/>
      <c r="AG103" s="239"/>
      <c r="AH103" s="239"/>
      <c r="AI103" s="239"/>
      <c r="AJ103" s="239"/>
      <c r="AK103" s="239"/>
    </row>
    <row r="104" spans="8:37">
      <c r="H104" s="231"/>
      <c r="I104" s="231"/>
      <c r="J104" s="231"/>
      <c r="K104" s="236"/>
      <c r="L104" s="231"/>
      <c r="M104" s="231"/>
      <c r="N104" s="231"/>
      <c r="O104" s="236"/>
      <c r="P104" s="231"/>
      <c r="Q104" s="231"/>
      <c r="R104" s="231"/>
      <c r="S104" s="236"/>
      <c r="T104" s="231"/>
      <c r="U104" s="231"/>
      <c r="V104" s="231"/>
      <c r="W104" s="236"/>
      <c r="X104" s="231"/>
      <c r="Y104" s="231"/>
      <c r="Z104" s="231"/>
      <c r="AA104" s="236"/>
      <c r="AB104" s="231"/>
      <c r="AC104" s="231"/>
      <c r="AD104" s="231"/>
      <c r="AE104" s="236"/>
      <c r="AF104" s="239"/>
      <c r="AG104" s="239"/>
      <c r="AH104" s="239"/>
      <c r="AI104" s="239"/>
      <c r="AJ104" s="239"/>
      <c r="AK104" s="239"/>
    </row>
    <row r="105" spans="8:37">
      <c r="H105" s="231"/>
      <c r="I105" s="231"/>
      <c r="J105" s="231"/>
      <c r="K105" s="236"/>
      <c r="L105" s="231"/>
      <c r="M105" s="231"/>
      <c r="N105" s="231"/>
      <c r="O105" s="236"/>
      <c r="P105" s="231"/>
      <c r="Q105" s="231"/>
      <c r="R105" s="231"/>
      <c r="S105" s="236"/>
      <c r="T105" s="231"/>
      <c r="U105" s="231"/>
      <c r="V105" s="231"/>
      <c r="W105" s="236"/>
      <c r="X105" s="231"/>
      <c r="Y105" s="231"/>
      <c r="Z105" s="231"/>
      <c r="AA105" s="236"/>
      <c r="AB105" s="231"/>
      <c r="AC105" s="231"/>
      <c r="AD105" s="231"/>
      <c r="AE105" s="236"/>
      <c r="AF105" s="239"/>
      <c r="AG105" s="239"/>
      <c r="AH105" s="239"/>
      <c r="AI105" s="239"/>
      <c r="AJ105" s="239"/>
      <c r="AK105" s="239"/>
    </row>
    <row r="106" spans="8:37">
      <c r="H106" s="231"/>
      <c r="I106" s="231"/>
      <c r="J106" s="231"/>
      <c r="K106" s="236"/>
      <c r="L106" s="231"/>
      <c r="M106" s="231"/>
      <c r="N106" s="231"/>
      <c r="O106" s="236"/>
      <c r="P106" s="231"/>
      <c r="Q106" s="231"/>
      <c r="R106" s="231"/>
      <c r="S106" s="236"/>
      <c r="T106" s="231"/>
      <c r="U106" s="231"/>
      <c r="V106" s="231"/>
      <c r="W106" s="236"/>
      <c r="X106" s="231"/>
      <c r="Y106" s="231"/>
      <c r="Z106" s="231"/>
      <c r="AA106" s="236"/>
      <c r="AB106" s="231"/>
      <c r="AC106" s="231"/>
      <c r="AD106" s="231"/>
      <c r="AE106" s="236"/>
      <c r="AF106" s="239"/>
      <c r="AG106" s="239"/>
      <c r="AH106" s="239"/>
      <c r="AI106" s="239"/>
      <c r="AJ106" s="239"/>
      <c r="AK106" s="239"/>
    </row>
    <row r="107" spans="8:37">
      <c r="H107" s="231"/>
      <c r="I107" s="231"/>
      <c r="J107" s="231"/>
      <c r="K107" s="236"/>
      <c r="L107" s="231"/>
      <c r="M107" s="231"/>
      <c r="N107" s="231"/>
      <c r="O107" s="236"/>
      <c r="P107" s="231"/>
      <c r="Q107" s="231"/>
      <c r="R107" s="231"/>
      <c r="S107" s="236"/>
      <c r="T107" s="231"/>
      <c r="U107" s="231"/>
      <c r="V107" s="231"/>
      <c r="W107" s="236"/>
      <c r="X107" s="231"/>
      <c r="Y107" s="231"/>
      <c r="Z107" s="231"/>
      <c r="AA107" s="236"/>
      <c r="AB107" s="231"/>
      <c r="AC107" s="231"/>
      <c r="AD107" s="231"/>
      <c r="AE107" s="236"/>
      <c r="AF107" s="239"/>
      <c r="AG107" s="239"/>
      <c r="AH107" s="239"/>
      <c r="AI107" s="239"/>
      <c r="AJ107" s="239"/>
      <c r="AK107" s="239"/>
    </row>
    <row r="108" spans="8:37">
      <c r="H108" s="231"/>
      <c r="I108" s="231"/>
      <c r="J108" s="231"/>
      <c r="K108" s="236"/>
      <c r="L108" s="231"/>
      <c r="M108" s="231"/>
      <c r="N108" s="231"/>
      <c r="O108" s="236"/>
      <c r="P108" s="231"/>
      <c r="Q108" s="231"/>
      <c r="R108" s="231"/>
      <c r="S108" s="236"/>
      <c r="T108" s="231"/>
      <c r="U108" s="231"/>
      <c r="V108" s="231"/>
      <c r="W108" s="236"/>
      <c r="X108" s="231"/>
      <c r="Y108" s="231"/>
      <c r="Z108" s="231"/>
      <c r="AA108" s="236"/>
      <c r="AB108" s="231"/>
      <c r="AC108" s="231"/>
      <c r="AD108" s="231"/>
      <c r="AE108" s="236"/>
      <c r="AF108" s="239"/>
      <c r="AG108" s="239"/>
      <c r="AH108" s="239"/>
      <c r="AI108" s="239"/>
      <c r="AJ108" s="239"/>
      <c r="AK108" s="239"/>
    </row>
    <row r="109" spans="8:37">
      <c r="H109" s="231"/>
      <c r="I109" s="231"/>
      <c r="J109" s="231"/>
      <c r="K109" s="236"/>
      <c r="L109" s="231"/>
      <c r="M109" s="231"/>
      <c r="N109" s="231"/>
      <c r="O109" s="236"/>
      <c r="P109" s="231"/>
      <c r="Q109" s="231"/>
      <c r="R109" s="231"/>
      <c r="S109" s="236"/>
      <c r="T109" s="231"/>
      <c r="U109" s="231"/>
      <c r="V109" s="231"/>
      <c r="W109" s="236"/>
      <c r="X109" s="231"/>
      <c r="Y109" s="231"/>
      <c r="Z109" s="231"/>
      <c r="AA109" s="236"/>
      <c r="AB109" s="231"/>
      <c r="AC109" s="231"/>
      <c r="AD109" s="231"/>
      <c r="AE109" s="236"/>
      <c r="AF109" s="239"/>
      <c r="AG109" s="239"/>
      <c r="AH109" s="239"/>
      <c r="AI109" s="239"/>
      <c r="AJ109" s="239"/>
      <c r="AK109" s="239"/>
    </row>
    <row r="110" spans="8:37">
      <c r="H110" s="231"/>
      <c r="I110" s="231"/>
      <c r="J110" s="231"/>
      <c r="K110" s="236"/>
      <c r="L110" s="231"/>
      <c r="M110" s="231"/>
      <c r="N110" s="231"/>
      <c r="O110" s="236"/>
      <c r="P110" s="231"/>
      <c r="Q110" s="231"/>
      <c r="R110" s="231"/>
      <c r="S110" s="236"/>
      <c r="T110" s="231"/>
      <c r="U110" s="231"/>
      <c r="V110" s="231"/>
      <c r="W110" s="236"/>
      <c r="X110" s="231"/>
      <c r="Y110" s="231"/>
      <c r="Z110" s="231"/>
      <c r="AA110" s="236"/>
      <c r="AB110" s="231"/>
      <c r="AC110" s="231"/>
      <c r="AD110" s="231"/>
      <c r="AE110" s="236"/>
      <c r="AF110" s="239"/>
      <c r="AG110" s="239"/>
      <c r="AH110" s="239"/>
      <c r="AI110" s="239"/>
      <c r="AJ110" s="239"/>
      <c r="AK110" s="239"/>
    </row>
    <row r="111" spans="8:37">
      <c r="H111" s="231"/>
      <c r="I111" s="231"/>
      <c r="J111" s="231"/>
      <c r="K111" s="236"/>
      <c r="L111" s="231"/>
      <c r="M111" s="231"/>
      <c r="N111" s="231"/>
      <c r="O111" s="236"/>
      <c r="P111" s="231"/>
      <c r="Q111" s="231"/>
      <c r="R111" s="231"/>
      <c r="S111" s="236"/>
      <c r="T111" s="231"/>
      <c r="U111" s="231"/>
      <c r="V111" s="231"/>
      <c r="W111" s="236"/>
      <c r="X111" s="231"/>
      <c r="Y111" s="231"/>
      <c r="Z111" s="231"/>
      <c r="AA111" s="236"/>
      <c r="AB111" s="231"/>
      <c r="AC111" s="231"/>
      <c r="AD111" s="231"/>
      <c r="AE111" s="236"/>
      <c r="AF111" s="239"/>
      <c r="AG111" s="239"/>
      <c r="AH111" s="239"/>
      <c r="AI111" s="239"/>
      <c r="AJ111" s="239"/>
      <c r="AK111" s="239"/>
    </row>
    <row r="112" spans="8:37">
      <c r="H112" s="231"/>
      <c r="I112" s="231"/>
      <c r="J112" s="231"/>
      <c r="K112" s="236"/>
      <c r="L112" s="231"/>
      <c r="M112" s="231"/>
      <c r="N112" s="231"/>
      <c r="O112" s="236"/>
      <c r="P112" s="231"/>
      <c r="Q112" s="231"/>
      <c r="R112" s="231"/>
      <c r="S112" s="236"/>
      <c r="T112" s="231"/>
      <c r="U112" s="231"/>
      <c r="V112" s="231"/>
      <c r="W112" s="236"/>
      <c r="X112" s="231"/>
      <c r="Y112" s="231"/>
      <c r="Z112" s="231"/>
      <c r="AA112" s="236"/>
      <c r="AB112" s="231"/>
      <c r="AC112" s="231"/>
      <c r="AD112" s="231"/>
      <c r="AE112" s="236"/>
      <c r="AF112" s="239"/>
      <c r="AG112" s="239"/>
      <c r="AH112" s="239"/>
      <c r="AI112" s="239"/>
      <c r="AJ112" s="239"/>
      <c r="AK112" s="239"/>
    </row>
    <row r="113" spans="8:37">
      <c r="H113" s="231"/>
      <c r="I113" s="231"/>
      <c r="J113" s="231"/>
      <c r="K113" s="236"/>
      <c r="L113" s="231"/>
      <c r="M113" s="231"/>
      <c r="N113" s="231"/>
      <c r="O113" s="236"/>
      <c r="P113" s="231"/>
      <c r="Q113" s="231"/>
      <c r="R113" s="231"/>
      <c r="S113" s="236"/>
      <c r="T113" s="231"/>
      <c r="U113" s="231"/>
      <c r="V113" s="231"/>
      <c r="W113" s="236"/>
      <c r="X113" s="231"/>
      <c r="Y113" s="231"/>
      <c r="Z113" s="231"/>
      <c r="AA113" s="236"/>
      <c r="AB113" s="231"/>
      <c r="AC113" s="231"/>
      <c r="AD113" s="231"/>
      <c r="AE113" s="236"/>
      <c r="AF113" s="239"/>
      <c r="AG113" s="239"/>
      <c r="AH113" s="239"/>
      <c r="AI113" s="239"/>
      <c r="AJ113" s="239"/>
      <c r="AK113" s="239"/>
    </row>
    <row r="114" spans="8:37">
      <c r="H114" s="231"/>
      <c r="I114" s="231"/>
      <c r="J114" s="231"/>
      <c r="K114" s="236"/>
      <c r="L114" s="231"/>
      <c r="M114" s="231"/>
      <c r="N114" s="231"/>
      <c r="O114" s="236"/>
      <c r="P114" s="231"/>
      <c r="Q114" s="231"/>
      <c r="R114" s="231"/>
      <c r="S114" s="236"/>
      <c r="T114" s="231"/>
      <c r="U114" s="231"/>
      <c r="V114" s="231"/>
      <c r="W114" s="236"/>
      <c r="X114" s="231"/>
      <c r="Y114" s="231"/>
      <c r="Z114" s="231"/>
      <c r="AA114" s="236"/>
      <c r="AB114" s="231"/>
      <c r="AC114" s="231"/>
      <c r="AD114" s="231"/>
      <c r="AE114" s="236"/>
      <c r="AF114" s="239"/>
      <c r="AG114" s="239"/>
      <c r="AH114" s="239"/>
      <c r="AI114" s="239"/>
      <c r="AJ114" s="239"/>
      <c r="AK114" s="239"/>
    </row>
    <row r="115" spans="8:37">
      <c r="H115" s="231"/>
      <c r="I115" s="231"/>
      <c r="J115" s="231"/>
      <c r="K115" s="236"/>
      <c r="L115" s="231"/>
      <c r="M115" s="231"/>
      <c r="N115" s="231"/>
      <c r="O115" s="236"/>
      <c r="P115" s="231"/>
      <c r="Q115" s="231"/>
      <c r="R115" s="231"/>
      <c r="S115" s="236"/>
      <c r="T115" s="231"/>
      <c r="U115" s="231"/>
      <c r="V115" s="231"/>
      <c r="W115" s="236"/>
      <c r="X115" s="231"/>
      <c r="Y115" s="231"/>
      <c r="Z115" s="231"/>
      <c r="AA115" s="236"/>
      <c r="AB115" s="231"/>
      <c r="AC115" s="231"/>
      <c r="AD115" s="231"/>
      <c r="AE115" s="236"/>
      <c r="AF115" s="239"/>
      <c r="AG115" s="239"/>
      <c r="AH115" s="239"/>
      <c r="AI115" s="239"/>
      <c r="AJ115" s="239"/>
      <c r="AK115" s="239"/>
    </row>
    <row r="116" spans="8:37">
      <c r="H116" s="231"/>
      <c r="I116" s="231"/>
      <c r="J116" s="231"/>
      <c r="K116" s="236"/>
      <c r="L116" s="231"/>
      <c r="M116" s="231"/>
      <c r="N116" s="231"/>
      <c r="O116" s="236"/>
      <c r="P116" s="231"/>
      <c r="Q116" s="231"/>
      <c r="R116" s="231"/>
      <c r="S116" s="236"/>
      <c r="T116" s="231"/>
      <c r="U116" s="231"/>
      <c r="V116" s="231"/>
      <c r="W116" s="236"/>
      <c r="X116" s="231"/>
      <c r="Y116" s="231"/>
      <c r="Z116" s="231"/>
      <c r="AA116" s="236"/>
      <c r="AB116" s="231"/>
      <c r="AC116" s="231"/>
      <c r="AD116" s="231"/>
      <c r="AE116" s="236"/>
      <c r="AF116" s="239"/>
      <c r="AG116" s="239"/>
      <c r="AH116" s="239"/>
      <c r="AI116" s="239"/>
      <c r="AJ116" s="239"/>
      <c r="AK116" s="239"/>
    </row>
    <row r="117" spans="8:37">
      <c r="H117" s="231"/>
      <c r="I117" s="231"/>
      <c r="J117" s="231"/>
      <c r="K117" s="236"/>
      <c r="L117" s="231"/>
      <c r="M117" s="231"/>
      <c r="N117" s="231"/>
      <c r="O117" s="236"/>
      <c r="P117" s="231"/>
      <c r="Q117" s="231"/>
      <c r="R117" s="231"/>
      <c r="S117" s="236"/>
      <c r="T117" s="231"/>
      <c r="U117" s="231"/>
      <c r="V117" s="231"/>
      <c r="W117" s="236"/>
      <c r="X117" s="231"/>
      <c r="Y117" s="231"/>
      <c r="Z117" s="231"/>
      <c r="AA117" s="236"/>
      <c r="AB117" s="231"/>
      <c r="AC117" s="231"/>
      <c r="AD117" s="231"/>
      <c r="AE117" s="236"/>
      <c r="AF117" s="239"/>
      <c r="AG117" s="239"/>
      <c r="AH117" s="239"/>
      <c r="AI117" s="239"/>
      <c r="AJ117" s="239"/>
      <c r="AK117" s="239"/>
    </row>
    <row r="118" spans="8:37">
      <c r="H118" s="231"/>
      <c r="I118" s="231"/>
      <c r="J118" s="231"/>
      <c r="K118" s="236"/>
      <c r="L118" s="231"/>
      <c r="M118" s="231"/>
      <c r="N118" s="231"/>
      <c r="O118" s="236"/>
      <c r="P118" s="231"/>
      <c r="Q118" s="231"/>
      <c r="R118" s="231"/>
      <c r="S118" s="236"/>
      <c r="T118" s="231"/>
      <c r="U118" s="231"/>
      <c r="V118" s="231"/>
      <c r="W118" s="236"/>
      <c r="X118" s="231"/>
      <c r="Y118" s="231"/>
      <c r="Z118" s="231"/>
      <c r="AA118" s="236"/>
      <c r="AB118" s="231"/>
      <c r="AC118" s="231"/>
      <c r="AD118" s="231"/>
      <c r="AE118" s="236"/>
      <c r="AF118" s="239"/>
      <c r="AG118" s="239"/>
      <c r="AH118" s="239"/>
      <c r="AI118" s="239"/>
      <c r="AJ118" s="239"/>
      <c r="AK118" s="239"/>
    </row>
    <row r="119" spans="8:37">
      <c r="H119" s="231"/>
      <c r="I119" s="231"/>
      <c r="J119" s="231"/>
      <c r="K119" s="236"/>
      <c r="L119" s="231"/>
      <c r="M119" s="231"/>
      <c r="N119" s="231"/>
      <c r="O119" s="236"/>
      <c r="P119" s="231"/>
      <c r="Q119" s="231"/>
      <c r="R119" s="231"/>
      <c r="S119" s="236"/>
      <c r="T119" s="231"/>
      <c r="U119" s="231"/>
      <c r="V119" s="231"/>
      <c r="W119" s="236"/>
      <c r="X119" s="231"/>
      <c r="Y119" s="231"/>
      <c r="Z119" s="231"/>
      <c r="AA119" s="236"/>
      <c r="AB119" s="231"/>
      <c r="AC119" s="231"/>
      <c r="AD119" s="231"/>
      <c r="AE119" s="236"/>
      <c r="AF119" s="239"/>
      <c r="AG119" s="239"/>
      <c r="AH119" s="239"/>
      <c r="AI119" s="239"/>
      <c r="AJ119" s="239"/>
      <c r="AK119" s="239"/>
    </row>
    <row r="120" spans="8:37">
      <c r="H120" s="231"/>
      <c r="I120" s="231"/>
      <c r="J120" s="231"/>
      <c r="K120" s="236"/>
      <c r="L120" s="231"/>
      <c r="M120" s="231"/>
      <c r="N120" s="231"/>
      <c r="O120" s="236"/>
      <c r="P120" s="231"/>
      <c r="Q120" s="231"/>
      <c r="R120" s="231"/>
      <c r="S120" s="236"/>
      <c r="T120" s="231"/>
      <c r="U120" s="231"/>
      <c r="V120" s="231"/>
      <c r="W120" s="236"/>
      <c r="X120" s="231"/>
      <c r="Y120" s="231"/>
      <c r="Z120" s="231"/>
      <c r="AA120" s="236"/>
      <c r="AB120" s="231"/>
      <c r="AC120" s="231"/>
      <c r="AD120" s="231"/>
      <c r="AE120" s="236"/>
      <c r="AF120" s="239"/>
      <c r="AG120" s="239"/>
      <c r="AH120" s="239"/>
      <c r="AI120" s="239"/>
      <c r="AJ120" s="239"/>
      <c r="AK120" s="239"/>
    </row>
    <row r="121" spans="8:37">
      <c r="H121" s="231"/>
      <c r="I121" s="231"/>
      <c r="J121" s="231"/>
      <c r="K121" s="236"/>
      <c r="L121" s="231"/>
      <c r="M121" s="231"/>
      <c r="N121" s="231"/>
      <c r="O121" s="236"/>
      <c r="P121" s="231"/>
      <c r="Q121" s="231"/>
      <c r="R121" s="231"/>
      <c r="S121" s="236"/>
      <c r="T121" s="231"/>
      <c r="U121" s="231"/>
      <c r="V121" s="231"/>
      <c r="W121" s="236"/>
      <c r="X121" s="231"/>
      <c r="Y121" s="231"/>
      <c r="Z121" s="231"/>
      <c r="AA121" s="236"/>
      <c r="AB121" s="231"/>
      <c r="AC121" s="231"/>
      <c r="AD121" s="231"/>
      <c r="AE121" s="236"/>
      <c r="AF121" s="239"/>
      <c r="AG121" s="239"/>
      <c r="AH121" s="239"/>
      <c r="AI121" s="239"/>
      <c r="AJ121" s="239"/>
      <c r="AK121" s="239"/>
    </row>
    <row r="122" spans="8:37">
      <c r="H122" s="231"/>
      <c r="I122" s="231"/>
      <c r="J122" s="231"/>
      <c r="K122" s="236"/>
      <c r="L122" s="231"/>
      <c r="M122" s="231"/>
      <c r="N122" s="231"/>
      <c r="O122" s="236"/>
      <c r="P122" s="231"/>
      <c r="Q122" s="231"/>
      <c r="R122" s="231"/>
      <c r="S122" s="236"/>
      <c r="T122" s="231"/>
      <c r="U122" s="231"/>
      <c r="V122" s="231"/>
      <c r="W122" s="236"/>
      <c r="X122" s="231"/>
      <c r="Y122" s="231"/>
      <c r="Z122" s="231"/>
      <c r="AA122" s="236"/>
      <c r="AB122" s="231"/>
      <c r="AC122" s="231"/>
      <c r="AD122" s="231"/>
      <c r="AE122" s="236"/>
      <c r="AF122" s="239"/>
      <c r="AG122" s="239"/>
      <c r="AH122" s="239"/>
      <c r="AI122" s="239"/>
      <c r="AJ122" s="239"/>
      <c r="AK122" s="239"/>
    </row>
    <row r="123" spans="8:37">
      <c r="H123" s="231"/>
      <c r="I123" s="231"/>
      <c r="J123" s="231"/>
      <c r="K123" s="236"/>
      <c r="L123" s="231"/>
      <c r="M123" s="231"/>
      <c r="N123" s="231"/>
      <c r="O123" s="236"/>
      <c r="P123" s="231"/>
      <c r="Q123" s="231"/>
      <c r="R123" s="231"/>
      <c r="S123" s="236"/>
      <c r="T123" s="231"/>
      <c r="U123" s="231"/>
      <c r="V123" s="231"/>
      <c r="W123" s="236"/>
      <c r="X123" s="231"/>
      <c r="Y123" s="231"/>
      <c r="Z123" s="231"/>
      <c r="AA123" s="236"/>
      <c r="AB123" s="231"/>
      <c r="AC123" s="231"/>
      <c r="AD123" s="231"/>
      <c r="AE123" s="236"/>
      <c r="AF123" s="239"/>
      <c r="AG123" s="239"/>
      <c r="AH123" s="239"/>
      <c r="AI123" s="239"/>
      <c r="AJ123" s="239"/>
      <c r="AK123" s="239"/>
    </row>
    <row r="124" spans="8:37">
      <c r="H124" s="231"/>
      <c r="I124" s="231"/>
      <c r="J124" s="231"/>
      <c r="K124" s="236"/>
      <c r="L124" s="231"/>
      <c r="M124" s="231"/>
      <c r="N124" s="231"/>
      <c r="O124" s="236"/>
      <c r="P124" s="231"/>
      <c r="Q124" s="231"/>
      <c r="R124" s="231"/>
      <c r="S124" s="236"/>
      <c r="T124" s="231"/>
      <c r="U124" s="231"/>
      <c r="V124" s="231"/>
      <c r="W124" s="236"/>
      <c r="X124" s="231"/>
      <c r="Y124" s="231"/>
      <c r="Z124" s="231"/>
      <c r="AA124" s="236"/>
      <c r="AB124" s="231"/>
      <c r="AC124" s="231"/>
      <c r="AD124" s="231"/>
      <c r="AE124" s="236"/>
      <c r="AF124" s="239"/>
      <c r="AG124" s="239"/>
      <c r="AH124" s="239"/>
      <c r="AI124" s="239"/>
      <c r="AJ124" s="239"/>
      <c r="AK124" s="239"/>
    </row>
    <row r="125" spans="8:37">
      <c r="H125" s="231"/>
      <c r="I125" s="231"/>
      <c r="J125" s="231"/>
      <c r="K125" s="236"/>
      <c r="L125" s="231"/>
      <c r="M125" s="231"/>
      <c r="N125" s="231"/>
      <c r="O125" s="236"/>
      <c r="P125" s="231"/>
      <c r="Q125" s="231"/>
      <c r="R125" s="231"/>
      <c r="S125" s="236"/>
      <c r="T125" s="231"/>
      <c r="U125" s="231"/>
      <c r="V125" s="231"/>
      <c r="W125" s="236"/>
      <c r="X125" s="231"/>
      <c r="Y125" s="231"/>
      <c r="Z125" s="231"/>
      <c r="AA125" s="236"/>
      <c r="AB125" s="231"/>
      <c r="AC125" s="231"/>
      <c r="AD125" s="231"/>
      <c r="AE125" s="236"/>
      <c r="AF125" s="239"/>
      <c r="AG125" s="239"/>
      <c r="AH125" s="239"/>
      <c r="AI125" s="239"/>
      <c r="AJ125" s="239"/>
      <c r="AK125" s="239"/>
    </row>
    <row r="126" spans="8:37">
      <c r="H126" s="231"/>
      <c r="I126" s="231"/>
      <c r="J126" s="231"/>
      <c r="K126" s="236"/>
      <c r="L126" s="231"/>
      <c r="M126" s="231"/>
      <c r="N126" s="231"/>
      <c r="O126" s="236"/>
      <c r="P126" s="231"/>
      <c r="Q126" s="231"/>
      <c r="R126" s="231"/>
      <c r="S126" s="236"/>
      <c r="T126" s="231"/>
      <c r="U126" s="231"/>
      <c r="V126" s="231"/>
      <c r="W126" s="236"/>
      <c r="X126" s="231"/>
      <c r="Y126" s="231"/>
      <c r="Z126" s="231"/>
      <c r="AA126" s="236"/>
      <c r="AB126" s="231"/>
      <c r="AC126" s="231"/>
      <c r="AD126" s="231"/>
      <c r="AE126" s="236"/>
      <c r="AF126" s="239"/>
      <c r="AG126" s="239"/>
      <c r="AH126" s="239"/>
      <c r="AI126" s="239"/>
      <c r="AJ126" s="239"/>
      <c r="AK126" s="239"/>
    </row>
    <row r="127" spans="8:37">
      <c r="H127" s="231"/>
      <c r="I127" s="231"/>
      <c r="J127" s="231"/>
      <c r="K127" s="236"/>
      <c r="L127" s="231"/>
      <c r="M127" s="231"/>
      <c r="N127" s="231"/>
      <c r="O127" s="236"/>
      <c r="P127" s="231"/>
      <c r="Q127" s="231"/>
      <c r="R127" s="231"/>
      <c r="S127" s="236"/>
      <c r="T127" s="231"/>
      <c r="U127" s="231"/>
      <c r="V127" s="231"/>
      <c r="W127" s="236"/>
      <c r="X127" s="231"/>
      <c r="Y127" s="231"/>
      <c r="Z127" s="231"/>
      <c r="AA127" s="236"/>
      <c r="AB127" s="231"/>
      <c r="AC127" s="231"/>
      <c r="AD127" s="231"/>
      <c r="AE127" s="236"/>
      <c r="AF127" s="239"/>
      <c r="AG127" s="239"/>
      <c r="AH127" s="239"/>
      <c r="AI127" s="239"/>
      <c r="AJ127" s="239"/>
      <c r="AK127" s="239"/>
    </row>
    <row r="128" spans="8:37">
      <c r="H128" s="231"/>
      <c r="I128" s="231"/>
      <c r="J128" s="231"/>
      <c r="K128" s="236"/>
      <c r="L128" s="231"/>
      <c r="M128" s="231"/>
      <c r="N128" s="231"/>
      <c r="O128" s="236"/>
      <c r="P128" s="231"/>
      <c r="Q128" s="231"/>
      <c r="R128" s="231"/>
      <c r="S128" s="236"/>
      <c r="T128" s="231"/>
      <c r="U128" s="231"/>
      <c r="V128" s="231"/>
      <c r="W128" s="236"/>
      <c r="X128" s="231"/>
      <c r="Y128" s="231"/>
      <c r="Z128" s="231"/>
      <c r="AA128" s="236"/>
      <c r="AB128" s="231"/>
      <c r="AC128" s="231"/>
      <c r="AD128" s="231"/>
      <c r="AE128" s="236"/>
      <c r="AF128" s="239"/>
      <c r="AG128" s="239"/>
      <c r="AH128" s="239"/>
      <c r="AI128" s="239"/>
      <c r="AJ128" s="239"/>
      <c r="AK128" s="239"/>
    </row>
    <row r="129" spans="8:37">
      <c r="H129" s="231"/>
      <c r="I129" s="231"/>
      <c r="J129" s="231"/>
      <c r="K129" s="236"/>
      <c r="L129" s="231"/>
      <c r="M129" s="231"/>
      <c r="N129" s="231"/>
      <c r="O129" s="236"/>
      <c r="P129" s="231"/>
      <c r="Q129" s="231"/>
      <c r="R129" s="231"/>
      <c r="S129" s="236"/>
      <c r="T129" s="231"/>
      <c r="U129" s="231"/>
      <c r="V129" s="231"/>
      <c r="W129" s="236"/>
      <c r="X129" s="231"/>
      <c r="Y129" s="231"/>
      <c r="Z129" s="231"/>
      <c r="AA129" s="236"/>
      <c r="AB129" s="231"/>
      <c r="AC129" s="231"/>
      <c r="AD129" s="231"/>
      <c r="AE129" s="236"/>
      <c r="AF129" s="239"/>
      <c r="AG129" s="239"/>
      <c r="AH129" s="239"/>
      <c r="AI129" s="239"/>
      <c r="AJ129" s="239"/>
      <c r="AK129" s="239"/>
    </row>
    <row r="130" spans="8:37">
      <c r="H130" s="231"/>
      <c r="I130" s="231"/>
      <c r="J130" s="231"/>
      <c r="K130" s="236"/>
      <c r="L130" s="231"/>
      <c r="M130" s="231"/>
      <c r="N130" s="231"/>
      <c r="O130" s="236"/>
      <c r="P130" s="231"/>
      <c r="Q130" s="231"/>
      <c r="R130" s="231"/>
      <c r="S130" s="236"/>
      <c r="T130" s="231"/>
      <c r="U130" s="231"/>
      <c r="V130" s="231"/>
      <c r="W130" s="236"/>
      <c r="X130" s="231"/>
      <c r="Y130" s="231"/>
      <c r="Z130" s="231"/>
      <c r="AA130" s="236"/>
      <c r="AB130" s="231"/>
      <c r="AC130" s="231"/>
      <c r="AD130" s="231"/>
      <c r="AE130" s="236"/>
      <c r="AF130" s="239"/>
      <c r="AG130" s="239"/>
      <c r="AH130" s="239"/>
      <c r="AI130" s="239"/>
      <c r="AJ130" s="239"/>
      <c r="AK130" s="239"/>
    </row>
    <row r="131" spans="8:37">
      <c r="H131" s="231"/>
      <c r="I131" s="231"/>
      <c r="J131" s="231"/>
      <c r="K131" s="236"/>
      <c r="L131" s="231"/>
      <c r="M131" s="231"/>
      <c r="N131" s="231"/>
      <c r="O131" s="236"/>
      <c r="P131" s="231"/>
      <c r="Q131" s="231"/>
      <c r="R131" s="231"/>
      <c r="S131" s="236"/>
      <c r="T131" s="231"/>
      <c r="U131" s="231"/>
      <c r="V131" s="231"/>
      <c r="W131" s="236"/>
      <c r="X131" s="231"/>
      <c r="Y131" s="231"/>
      <c r="Z131" s="231"/>
      <c r="AA131" s="236"/>
      <c r="AB131" s="231"/>
      <c r="AC131" s="231"/>
      <c r="AD131" s="231"/>
      <c r="AE131" s="236"/>
      <c r="AF131" s="239"/>
      <c r="AG131" s="239"/>
      <c r="AH131" s="239"/>
      <c r="AI131" s="239"/>
      <c r="AJ131" s="239"/>
      <c r="AK131" s="239"/>
    </row>
    <row r="132" spans="8:37">
      <c r="H132" s="231"/>
      <c r="I132" s="231"/>
      <c r="J132" s="231"/>
      <c r="K132" s="236"/>
      <c r="L132" s="231"/>
      <c r="M132" s="231"/>
      <c r="N132" s="231"/>
      <c r="O132" s="236"/>
      <c r="P132" s="231"/>
      <c r="Q132" s="231"/>
      <c r="R132" s="231"/>
      <c r="S132" s="236"/>
      <c r="T132" s="231"/>
      <c r="U132" s="231"/>
      <c r="V132" s="231"/>
      <c r="W132" s="236"/>
      <c r="X132" s="231"/>
      <c r="Y132" s="231"/>
      <c r="Z132" s="231"/>
      <c r="AA132" s="236"/>
      <c r="AB132" s="231"/>
      <c r="AC132" s="231"/>
      <c r="AD132" s="231"/>
      <c r="AE132" s="236"/>
      <c r="AF132" s="239"/>
      <c r="AG132" s="239"/>
      <c r="AH132" s="239"/>
      <c r="AI132" s="239"/>
      <c r="AJ132" s="239"/>
      <c r="AK132" s="239"/>
    </row>
    <row r="133" spans="8:37">
      <c r="H133" s="231"/>
      <c r="I133" s="231"/>
      <c r="J133" s="231"/>
      <c r="K133" s="236"/>
      <c r="L133" s="231"/>
      <c r="M133" s="231"/>
      <c r="N133" s="231"/>
      <c r="O133" s="236"/>
      <c r="P133" s="231"/>
      <c r="Q133" s="231"/>
      <c r="R133" s="231"/>
      <c r="S133" s="236"/>
      <c r="T133" s="231"/>
      <c r="U133" s="231"/>
      <c r="V133" s="231"/>
      <c r="W133" s="236"/>
      <c r="X133" s="231"/>
      <c r="Y133" s="231"/>
      <c r="Z133" s="231"/>
      <c r="AA133" s="236"/>
      <c r="AB133" s="231"/>
      <c r="AC133" s="231"/>
      <c r="AD133" s="231"/>
      <c r="AE133" s="236"/>
      <c r="AF133" s="239"/>
      <c r="AG133" s="239"/>
      <c r="AH133" s="239"/>
      <c r="AI133" s="239"/>
      <c r="AJ133" s="239"/>
      <c r="AK133" s="239"/>
    </row>
    <row r="134" spans="8:37">
      <c r="H134" s="231"/>
      <c r="I134" s="231"/>
      <c r="J134" s="231"/>
      <c r="K134" s="236"/>
      <c r="L134" s="231"/>
      <c r="M134" s="231"/>
      <c r="N134" s="231"/>
      <c r="O134" s="236"/>
      <c r="P134" s="231"/>
      <c r="Q134" s="231"/>
      <c r="R134" s="231"/>
      <c r="S134" s="236"/>
      <c r="T134" s="231"/>
      <c r="U134" s="231"/>
      <c r="V134" s="231"/>
      <c r="W134" s="236"/>
      <c r="X134" s="231"/>
      <c r="Y134" s="231"/>
      <c r="Z134" s="231"/>
      <c r="AA134" s="236"/>
      <c r="AB134" s="231"/>
      <c r="AC134" s="231"/>
      <c r="AD134" s="231"/>
      <c r="AE134" s="236"/>
      <c r="AF134" s="239"/>
      <c r="AG134" s="239"/>
      <c r="AH134" s="239"/>
      <c r="AI134" s="239"/>
      <c r="AJ134" s="239"/>
      <c r="AK134" s="239"/>
    </row>
    <row r="135" spans="8:37">
      <c r="H135" s="231"/>
      <c r="I135" s="231"/>
      <c r="J135" s="231"/>
      <c r="K135" s="236"/>
      <c r="L135" s="231"/>
      <c r="M135" s="231"/>
      <c r="N135" s="231"/>
      <c r="O135" s="236"/>
      <c r="P135" s="231"/>
      <c r="Q135" s="231"/>
      <c r="R135" s="231"/>
      <c r="S135" s="236"/>
      <c r="T135" s="231"/>
      <c r="U135" s="231"/>
      <c r="V135" s="231"/>
      <c r="W135" s="236"/>
      <c r="X135" s="231"/>
      <c r="Y135" s="231"/>
      <c r="Z135" s="231"/>
      <c r="AA135" s="236"/>
      <c r="AB135" s="231"/>
      <c r="AC135" s="231"/>
      <c r="AD135" s="231"/>
      <c r="AE135" s="236"/>
      <c r="AF135" s="239"/>
      <c r="AG135" s="239"/>
      <c r="AH135" s="239"/>
      <c r="AI135" s="239"/>
      <c r="AJ135" s="239"/>
      <c r="AK135" s="239"/>
    </row>
    <row r="136" spans="8:37">
      <c r="H136" s="231"/>
      <c r="I136" s="231"/>
      <c r="J136" s="231"/>
      <c r="K136" s="236"/>
      <c r="L136" s="231"/>
      <c r="M136" s="231"/>
      <c r="N136" s="231"/>
      <c r="O136" s="236"/>
      <c r="P136" s="231"/>
      <c r="Q136" s="231"/>
      <c r="R136" s="231"/>
      <c r="S136" s="236"/>
      <c r="T136" s="231"/>
      <c r="U136" s="231"/>
      <c r="V136" s="231"/>
      <c r="W136" s="236"/>
      <c r="X136" s="231"/>
      <c r="Y136" s="231"/>
      <c r="Z136" s="231"/>
      <c r="AA136" s="236"/>
      <c r="AB136" s="231"/>
      <c r="AC136" s="231"/>
      <c r="AD136" s="231"/>
      <c r="AE136" s="236"/>
      <c r="AF136" s="239"/>
      <c r="AG136" s="239"/>
      <c r="AH136" s="239"/>
      <c r="AI136" s="239"/>
      <c r="AJ136" s="239"/>
      <c r="AK136" s="239"/>
    </row>
    <row r="137" spans="8:37">
      <c r="H137" s="231"/>
      <c r="I137" s="231"/>
      <c r="J137" s="231"/>
      <c r="K137" s="236"/>
      <c r="L137" s="231"/>
      <c r="M137" s="231"/>
      <c r="N137" s="231"/>
      <c r="O137" s="236"/>
      <c r="P137" s="231"/>
      <c r="Q137" s="231"/>
      <c r="R137" s="231"/>
      <c r="S137" s="236"/>
      <c r="T137" s="231"/>
      <c r="U137" s="231"/>
      <c r="V137" s="231"/>
      <c r="W137" s="236"/>
      <c r="X137" s="231"/>
      <c r="Y137" s="231"/>
      <c r="Z137" s="231"/>
      <c r="AA137" s="236"/>
      <c r="AB137" s="231"/>
      <c r="AC137" s="231"/>
      <c r="AD137" s="231"/>
      <c r="AE137" s="236"/>
      <c r="AF137" s="239"/>
      <c r="AG137" s="239"/>
      <c r="AH137" s="239"/>
      <c r="AI137" s="239"/>
      <c r="AJ137" s="239"/>
      <c r="AK137" s="239"/>
    </row>
    <row r="138" spans="8:37">
      <c r="H138" s="231"/>
      <c r="I138" s="231"/>
      <c r="J138" s="231"/>
      <c r="K138" s="236"/>
      <c r="L138" s="231"/>
      <c r="M138" s="231"/>
      <c r="N138" s="231"/>
      <c r="O138" s="236"/>
      <c r="P138" s="231"/>
      <c r="Q138" s="231"/>
      <c r="R138" s="231"/>
      <c r="S138" s="236"/>
      <c r="T138" s="231"/>
      <c r="U138" s="231"/>
      <c r="V138" s="231"/>
      <c r="W138" s="236"/>
      <c r="X138" s="231"/>
      <c r="Y138" s="231"/>
      <c r="Z138" s="231"/>
      <c r="AA138" s="236"/>
      <c r="AB138" s="231"/>
      <c r="AC138" s="231"/>
      <c r="AD138" s="231"/>
      <c r="AE138" s="236"/>
      <c r="AF138" s="239"/>
      <c r="AG138" s="239"/>
      <c r="AH138" s="239"/>
      <c r="AI138" s="239"/>
      <c r="AJ138" s="239"/>
      <c r="AK138" s="239"/>
    </row>
    <row r="139" spans="8:37">
      <c r="H139" s="231"/>
      <c r="I139" s="231"/>
      <c r="J139" s="231"/>
      <c r="K139" s="236"/>
      <c r="L139" s="231"/>
      <c r="M139" s="231"/>
      <c r="N139" s="231"/>
      <c r="O139" s="236"/>
      <c r="P139" s="231"/>
      <c r="Q139" s="231"/>
      <c r="R139" s="231"/>
      <c r="S139" s="236"/>
      <c r="T139" s="231"/>
      <c r="U139" s="231"/>
      <c r="V139" s="231"/>
      <c r="W139" s="236"/>
      <c r="X139" s="231"/>
      <c r="Y139" s="231"/>
      <c r="Z139" s="231"/>
      <c r="AA139" s="236"/>
      <c r="AB139" s="231"/>
      <c r="AC139" s="231"/>
      <c r="AD139" s="231"/>
      <c r="AE139" s="236"/>
      <c r="AF139" s="239"/>
      <c r="AG139" s="239"/>
      <c r="AH139" s="239"/>
      <c r="AI139" s="239"/>
      <c r="AJ139" s="239"/>
      <c r="AK139" s="239"/>
    </row>
    <row r="140" spans="8:37">
      <c r="H140" s="231"/>
      <c r="I140" s="231"/>
      <c r="J140" s="231"/>
      <c r="K140" s="236"/>
      <c r="L140" s="231"/>
      <c r="M140" s="231"/>
      <c r="N140" s="231"/>
      <c r="O140" s="236"/>
      <c r="P140" s="231"/>
      <c r="Q140" s="231"/>
      <c r="R140" s="231"/>
      <c r="S140" s="236"/>
      <c r="T140" s="231"/>
      <c r="U140" s="231"/>
      <c r="V140" s="231"/>
      <c r="W140" s="236"/>
      <c r="X140" s="231"/>
      <c r="Y140" s="231"/>
      <c r="Z140" s="231"/>
      <c r="AA140" s="236"/>
      <c r="AB140" s="231"/>
      <c r="AC140" s="231"/>
      <c r="AD140" s="231"/>
      <c r="AE140" s="236"/>
      <c r="AF140" s="239"/>
      <c r="AG140" s="239"/>
      <c r="AH140" s="239"/>
      <c r="AI140" s="239"/>
      <c r="AJ140" s="239"/>
      <c r="AK140" s="239"/>
    </row>
    <row r="141" spans="8:37">
      <c r="H141" s="231"/>
      <c r="I141" s="231"/>
      <c r="J141" s="231"/>
      <c r="K141" s="236"/>
      <c r="L141" s="231"/>
      <c r="M141" s="231"/>
      <c r="N141" s="231"/>
      <c r="O141" s="236"/>
      <c r="P141" s="231"/>
      <c r="Q141" s="231"/>
      <c r="R141" s="231"/>
      <c r="S141" s="236"/>
      <c r="T141" s="231"/>
      <c r="U141" s="231"/>
      <c r="V141" s="231"/>
      <c r="W141" s="236"/>
      <c r="X141" s="231"/>
      <c r="Y141" s="231"/>
      <c r="Z141" s="231"/>
      <c r="AA141" s="236"/>
      <c r="AB141" s="231"/>
      <c r="AC141" s="231"/>
      <c r="AD141" s="231"/>
      <c r="AE141" s="236"/>
      <c r="AF141" s="239"/>
      <c r="AG141" s="239"/>
      <c r="AH141" s="239"/>
      <c r="AI141" s="239"/>
      <c r="AJ141" s="239"/>
      <c r="AK141" s="239"/>
    </row>
    <row r="142" spans="8:37">
      <c r="H142" s="231"/>
      <c r="I142" s="231"/>
      <c r="J142" s="231"/>
      <c r="K142" s="236"/>
      <c r="L142" s="231"/>
      <c r="M142" s="231"/>
      <c r="N142" s="231"/>
      <c r="O142" s="236"/>
      <c r="P142" s="231"/>
      <c r="Q142" s="231"/>
      <c r="R142" s="231"/>
      <c r="S142" s="236"/>
      <c r="T142" s="231"/>
      <c r="U142" s="231"/>
      <c r="V142" s="231"/>
      <c r="W142" s="236"/>
      <c r="X142" s="231"/>
      <c r="Y142" s="231"/>
      <c r="Z142" s="231"/>
      <c r="AA142" s="236"/>
      <c r="AB142" s="231"/>
      <c r="AC142" s="231"/>
      <c r="AD142" s="231"/>
      <c r="AE142" s="236"/>
      <c r="AF142" s="239"/>
      <c r="AG142" s="239"/>
      <c r="AH142" s="239"/>
      <c r="AI142" s="239"/>
      <c r="AJ142" s="239"/>
      <c r="AK142" s="239"/>
    </row>
    <row r="143" spans="8:37">
      <c r="H143" s="231"/>
      <c r="I143" s="231"/>
      <c r="J143" s="231"/>
      <c r="K143" s="236"/>
      <c r="L143" s="231"/>
      <c r="M143" s="231"/>
      <c r="N143" s="231"/>
      <c r="O143" s="236"/>
      <c r="P143" s="231"/>
      <c r="Q143" s="231"/>
      <c r="R143" s="231"/>
      <c r="S143" s="236"/>
      <c r="T143" s="231"/>
      <c r="U143" s="231"/>
      <c r="V143" s="231"/>
      <c r="W143" s="236"/>
      <c r="X143" s="231"/>
      <c r="Y143" s="231"/>
      <c r="Z143" s="231"/>
      <c r="AA143" s="236"/>
      <c r="AB143" s="231"/>
      <c r="AC143" s="231"/>
      <c r="AD143" s="231"/>
      <c r="AE143" s="236"/>
      <c r="AF143" s="239"/>
      <c r="AG143" s="239"/>
      <c r="AH143" s="239"/>
      <c r="AI143" s="239"/>
      <c r="AJ143" s="239"/>
      <c r="AK143" s="239"/>
    </row>
    <row r="144" spans="8:37">
      <c r="H144" s="231"/>
      <c r="I144" s="231"/>
      <c r="J144" s="231"/>
      <c r="K144" s="236"/>
      <c r="L144" s="231"/>
      <c r="M144" s="231"/>
      <c r="N144" s="231"/>
      <c r="O144" s="236"/>
      <c r="P144" s="231"/>
      <c r="Q144" s="231"/>
      <c r="R144" s="231"/>
      <c r="S144" s="236"/>
      <c r="T144" s="231"/>
      <c r="U144" s="231"/>
      <c r="V144" s="231"/>
      <c r="W144" s="236"/>
      <c r="X144" s="231"/>
      <c r="Y144" s="231"/>
      <c r="Z144" s="231"/>
      <c r="AA144" s="236"/>
      <c r="AB144" s="231"/>
      <c r="AC144" s="231"/>
      <c r="AD144" s="231"/>
      <c r="AE144" s="236"/>
      <c r="AF144" s="239"/>
      <c r="AG144" s="239"/>
      <c r="AH144" s="239"/>
      <c r="AI144" s="239"/>
      <c r="AJ144" s="239"/>
      <c r="AK144" s="239"/>
    </row>
    <row r="145" spans="8:37">
      <c r="H145" s="231"/>
      <c r="I145" s="231"/>
      <c r="J145" s="231"/>
      <c r="K145" s="236"/>
      <c r="L145" s="231"/>
      <c r="M145" s="231"/>
      <c r="N145" s="231"/>
      <c r="O145" s="236"/>
      <c r="P145" s="231"/>
      <c r="Q145" s="231"/>
      <c r="R145" s="231"/>
      <c r="S145" s="236"/>
      <c r="T145" s="231"/>
      <c r="U145" s="231"/>
      <c r="V145" s="231"/>
      <c r="W145" s="236"/>
      <c r="X145" s="231"/>
      <c r="Y145" s="231"/>
      <c r="Z145" s="231"/>
      <c r="AA145" s="236"/>
      <c r="AB145" s="231"/>
      <c r="AC145" s="231"/>
      <c r="AD145" s="231"/>
      <c r="AE145" s="236"/>
      <c r="AF145" s="239"/>
      <c r="AG145" s="239"/>
      <c r="AH145" s="239"/>
      <c r="AI145" s="239"/>
      <c r="AJ145" s="239"/>
      <c r="AK145" s="239"/>
    </row>
    <row r="146" spans="8:37">
      <c r="H146" s="231"/>
      <c r="I146" s="231"/>
      <c r="J146" s="231"/>
      <c r="K146" s="236"/>
      <c r="L146" s="231"/>
      <c r="M146" s="231"/>
      <c r="N146" s="231"/>
      <c r="O146" s="236"/>
      <c r="P146" s="231"/>
      <c r="Q146" s="231"/>
      <c r="R146" s="231"/>
      <c r="S146" s="236"/>
      <c r="T146" s="231"/>
      <c r="U146" s="231"/>
      <c r="V146" s="231"/>
      <c r="W146" s="236"/>
      <c r="X146" s="231"/>
      <c r="Y146" s="231"/>
      <c r="Z146" s="231"/>
      <c r="AA146" s="236"/>
      <c r="AB146" s="231"/>
      <c r="AC146" s="231"/>
      <c r="AD146" s="231"/>
      <c r="AE146" s="236"/>
      <c r="AF146" s="239"/>
      <c r="AG146" s="239"/>
      <c r="AH146" s="239"/>
      <c r="AI146" s="239"/>
      <c r="AJ146" s="239"/>
      <c r="AK146" s="239"/>
    </row>
    <row r="147" spans="8:37">
      <c r="H147" s="231"/>
      <c r="I147" s="231"/>
      <c r="J147" s="231"/>
      <c r="K147" s="236"/>
      <c r="L147" s="231"/>
      <c r="M147" s="231"/>
      <c r="N147" s="231"/>
      <c r="O147" s="236"/>
      <c r="P147" s="231"/>
      <c r="Q147" s="231"/>
      <c r="R147" s="231"/>
      <c r="S147" s="236"/>
      <c r="T147" s="231"/>
      <c r="U147" s="231"/>
      <c r="V147" s="231"/>
      <c r="W147" s="236"/>
      <c r="X147" s="231"/>
      <c r="Y147" s="231"/>
      <c r="Z147" s="231"/>
      <c r="AA147" s="236"/>
      <c r="AB147" s="231"/>
      <c r="AC147" s="231"/>
      <c r="AD147" s="231"/>
      <c r="AE147" s="236"/>
      <c r="AF147" s="239"/>
      <c r="AG147" s="239"/>
      <c r="AH147" s="239"/>
      <c r="AI147" s="239"/>
      <c r="AJ147" s="239"/>
      <c r="AK147" s="239"/>
    </row>
    <row r="148" spans="8:37">
      <c r="H148" s="231"/>
      <c r="I148" s="231"/>
      <c r="J148" s="231"/>
      <c r="K148" s="236"/>
      <c r="L148" s="231"/>
      <c r="M148" s="231"/>
      <c r="N148" s="231"/>
      <c r="O148" s="236"/>
      <c r="P148" s="231"/>
      <c r="Q148" s="231"/>
      <c r="R148" s="231"/>
      <c r="S148" s="236"/>
      <c r="T148" s="231"/>
      <c r="U148" s="231"/>
      <c r="V148" s="231"/>
      <c r="W148" s="236"/>
      <c r="X148" s="231"/>
      <c r="Y148" s="231"/>
      <c r="Z148" s="231"/>
      <c r="AA148" s="236"/>
      <c r="AB148" s="231"/>
      <c r="AC148" s="231"/>
      <c r="AD148" s="231"/>
      <c r="AE148" s="236"/>
      <c r="AF148" s="239"/>
      <c r="AG148" s="239"/>
      <c r="AH148" s="239"/>
      <c r="AI148" s="239"/>
      <c r="AJ148" s="239"/>
      <c r="AK148" s="239"/>
    </row>
    <row r="149" spans="8:37">
      <c r="H149" s="231"/>
      <c r="I149" s="231"/>
      <c r="J149" s="231"/>
      <c r="K149" s="236"/>
      <c r="L149" s="231"/>
      <c r="M149" s="231"/>
      <c r="N149" s="231"/>
      <c r="O149" s="236"/>
      <c r="P149" s="231"/>
      <c r="Q149" s="231"/>
      <c r="R149" s="231"/>
      <c r="S149" s="236"/>
      <c r="T149" s="231"/>
      <c r="U149" s="231"/>
      <c r="V149" s="231"/>
      <c r="W149" s="236"/>
      <c r="X149" s="231"/>
      <c r="Y149" s="231"/>
      <c r="Z149" s="231"/>
      <c r="AA149" s="236"/>
      <c r="AB149" s="231"/>
      <c r="AC149" s="231"/>
      <c r="AD149" s="231"/>
      <c r="AE149" s="236"/>
      <c r="AF149" s="239"/>
      <c r="AG149" s="239"/>
      <c r="AH149" s="239"/>
      <c r="AI149" s="239"/>
      <c r="AJ149" s="239"/>
      <c r="AK149" s="239"/>
    </row>
    <row r="150" spans="8:37">
      <c r="H150" s="231"/>
      <c r="I150" s="231"/>
      <c r="J150" s="231"/>
      <c r="K150" s="236"/>
      <c r="L150" s="231"/>
      <c r="M150" s="231"/>
      <c r="N150" s="231"/>
      <c r="O150" s="236"/>
      <c r="P150" s="231"/>
      <c r="Q150" s="231"/>
      <c r="R150" s="231"/>
      <c r="S150" s="236"/>
      <c r="T150" s="231"/>
      <c r="U150" s="231"/>
      <c r="V150" s="231"/>
      <c r="W150" s="236"/>
      <c r="X150" s="231"/>
      <c r="Y150" s="231"/>
      <c r="Z150" s="231"/>
      <c r="AA150" s="236"/>
      <c r="AB150" s="231"/>
      <c r="AC150" s="231"/>
      <c r="AD150" s="231"/>
      <c r="AE150" s="236"/>
      <c r="AF150" s="239"/>
      <c r="AG150" s="239"/>
      <c r="AH150" s="239"/>
      <c r="AI150" s="239"/>
      <c r="AJ150" s="239"/>
      <c r="AK150" s="239"/>
    </row>
    <row r="151" spans="8:37">
      <c r="H151" s="231"/>
      <c r="I151" s="231"/>
      <c r="J151" s="231"/>
      <c r="K151" s="236"/>
      <c r="L151" s="231"/>
      <c r="M151" s="231"/>
      <c r="N151" s="231"/>
      <c r="O151" s="236"/>
      <c r="P151" s="231"/>
      <c r="Q151" s="231"/>
      <c r="R151" s="231"/>
      <c r="S151" s="236"/>
      <c r="T151" s="231"/>
      <c r="U151" s="231"/>
      <c r="V151" s="231"/>
      <c r="W151" s="236"/>
      <c r="X151" s="231"/>
      <c r="Y151" s="231"/>
      <c r="Z151" s="231"/>
      <c r="AA151" s="236"/>
      <c r="AB151" s="231"/>
      <c r="AC151" s="231"/>
      <c r="AD151" s="231"/>
      <c r="AE151" s="236"/>
      <c r="AF151" s="239"/>
      <c r="AG151" s="239"/>
      <c r="AH151" s="239"/>
      <c r="AI151" s="239"/>
      <c r="AJ151" s="239"/>
      <c r="AK151" s="239"/>
    </row>
    <row r="152" spans="8:37">
      <c r="H152" s="231"/>
      <c r="I152" s="231"/>
      <c r="J152" s="231"/>
      <c r="K152" s="236"/>
      <c r="L152" s="231"/>
      <c r="M152" s="231"/>
      <c r="N152" s="231"/>
      <c r="O152" s="236"/>
      <c r="P152" s="231"/>
      <c r="Q152" s="231"/>
      <c r="R152" s="231"/>
      <c r="S152" s="236"/>
      <c r="T152" s="231"/>
      <c r="U152" s="231"/>
      <c r="V152" s="231"/>
      <c r="W152" s="236"/>
      <c r="X152" s="231"/>
      <c r="Y152" s="231"/>
      <c r="Z152" s="231"/>
      <c r="AA152" s="236"/>
      <c r="AB152" s="231"/>
      <c r="AC152" s="231"/>
      <c r="AD152" s="231"/>
      <c r="AE152" s="236"/>
      <c r="AF152" s="239"/>
      <c r="AG152" s="239"/>
      <c r="AH152" s="239"/>
      <c r="AI152" s="239"/>
      <c r="AJ152" s="239"/>
      <c r="AK152" s="239"/>
    </row>
    <row r="153" spans="8:37">
      <c r="H153" s="231"/>
      <c r="I153" s="231"/>
      <c r="J153" s="231"/>
      <c r="K153" s="236"/>
      <c r="L153" s="231"/>
      <c r="M153" s="231"/>
      <c r="N153" s="231"/>
      <c r="O153" s="236"/>
      <c r="P153" s="231"/>
      <c r="Q153" s="231"/>
      <c r="R153" s="231"/>
      <c r="S153" s="236"/>
      <c r="T153" s="231"/>
      <c r="U153" s="231"/>
      <c r="V153" s="231"/>
      <c r="W153" s="236"/>
      <c r="X153" s="231"/>
      <c r="Y153" s="231"/>
      <c r="Z153" s="231"/>
      <c r="AA153" s="236"/>
      <c r="AB153" s="231"/>
      <c r="AC153" s="231"/>
      <c r="AD153" s="231"/>
      <c r="AE153" s="236"/>
      <c r="AF153" s="239"/>
      <c r="AG153" s="239"/>
      <c r="AH153" s="239"/>
      <c r="AI153" s="239"/>
      <c r="AJ153" s="239"/>
      <c r="AK153" s="239"/>
    </row>
    <row r="154" spans="8:37">
      <c r="H154" s="231"/>
      <c r="I154" s="231"/>
      <c r="J154" s="231"/>
      <c r="K154" s="236"/>
      <c r="L154" s="231"/>
      <c r="M154" s="231"/>
      <c r="N154" s="231"/>
      <c r="O154" s="236"/>
      <c r="P154" s="231"/>
      <c r="Q154" s="231"/>
      <c r="R154" s="231"/>
      <c r="S154" s="236"/>
      <c r="T154" s="231"/>
      <c r="U154" s="231"/>
      <c r="V154" s="231"/>
      <c r="W154" s="236"/>
      <c r="X154" s="231"/>
      <c r="Y154" s="231"/>
      <c r="Z154" s="231"/>
      <c r="AA154" s="236"/>
      <c r="AB154" s="231"/>
      <c r="AC154" s="231"/>
      <c r="AD154" s="231"/>
      <c r="AE154" s="236"/>
      <c r="AF154" s="239"/>
      <c r="AG154" s="239"/>
      <c r="AH154" s="239"/>
      <c r="AI154" s="239"/>
      <c r="AJ154" s="239"/>
      <c r="AK154" s="239"/>
    </row>
    <row r="155" spans="8:37">
      <c r="H155" s="231"/>
      <c r="I155" s="231"/>
      <c r="J155" s="231"/>
      <c r="K155" s="236"/>
      <c r="L155" s="231"/>
      <c r="M155" s="231"/>
      <c r="N155" s="231"/>
      <c r="O155" s="236"/>
      <c r="P155" s="231"/>
      <c r="Q155" s="231"/>
      <c r="R155" s="231"/>
      <c r="S155" s="236"/>
      <c r="T155" s="231"/>
      <c r="U155" s="231"/>
      <c r="V155" s="231"/>
      <c r="W155" s="236"/>
      <c r="X155" s="231"/>
      <c r="Y155" s="231"/>
      <c r="Z155" s="231"/>
      <c r="AA155" s="236"/>
      <c r="AB155" s="231"/>
      <c r="AC155" s="231"/>
      <c r="AD155" s="231"/>
      <c r="AE155" s="236"/>
      <c r="AF155" s="239"/>
      <c r="AG155" s="239"/>
      <c r="AH155" s="239"/>
      <c r="AI155" s="239"/>
      <c r="AJ155" s="239"/>
      <c r="AK155" s="239"/>
    </row>
    <row r="156" spans="8:37">
      <c r="H156" s="231"/>
      <c r="I156" s="231"/>
      <c r="J156" s="231"/>
      <c r="K156" s="236"/>
      <c r="L156" s="231"/>
      <c r="M156" s="231"/>
      <c r="N156" s="231"/>
      <c r="O156" s="236"/>
      <c r="P156" s="231"/>
      <c r="Q156" s="231"/>
      <c r="R156" s="231"/>
      <c r="S156" s="236"/>
      <c r="T156" s="231"/>
      <c r="U156" s="231"/>
      <c r="V156" s="231"/>
      <c r="W156" s="236"/>
      <c r="X156" s="231"/>
      <c r="Y156" s="231"/>
      <c r="Z156" s="231"/>
      <c r="AA156" s="236"/>
      <c r="AB156" s="231"/>
      <c r="AC156" s="231"/>
      <c r="AD156" s="231"/>
      <c r="AE156" s="236"/>
      <c r="AF156" s="239"/>
      <c r="AG156" s="239"/>
      <c r="AH156" s="239"/>
      <c r="AI156" s="239"/>
      <c r="AJ156" s="239"/>
      <c r="AK156" s="239"/>
    </row>
    <row r="157" spans="8:37">
      <c r="H157" s="231"/>
      <c r="I157" s="231"/>
      <c r="J157" s="231"/>
      <c r="K157" s="236"/>
      <c r="L157" s="231"/>
      <c r="M157" s="231"/>
      <c r="N157" s="231"/>
      <c r="O157" s="236"/>
      <c r="P157" s="231"/>
      <c r="Q157" s="231"/>
      <c r="R157" s="231"/>
      <c r="S157" s="236"/>
      <c r="T157" s="231"/>
      <c r="U157" s="231"/>
      <c r="V157" s="231"/>
      <c r="W157" s="236"/>
      <c r="X157" s="231"/>
      <c r="Y157" s="231"/>
      <c r="Z157" s="231"/>
      <c r="AA157" s="236"/>
      <c r="AB157" s="231"/>
      <c r="AC157" s="231"/>
      <c r="AD157" s="231"/>
      <c r="AE157" s="236"/>
      <c r="AF157" s="239"/>
      <c r="AG157" s="239"/>
      <c r="AH157" s="239"/>
      <c r="AI157" s="239"/>
      <c r="AJ157" s="239"/>
      <c r="AK157" s="239"/>
    </row>
    <row r="158" spans="8:37">
      <c r="H158" s="231"/>
      <c r="I158" s="231"/>
      <c r="J158" s="231"/>
      <c r="K158" s="236"/>
      <c r="L158" s="231"/>
      <c r="M158" s="231"/>
      <c r="N158" s="231"/>
      <c r="O158" s="236"/>
      <c r="P158" s="231"/>
      <c r="Q158" s="231"/>
      <c r="R158" s="231"/>
      <c r="S158" s="236"/>
      <c r="T158" s="231"/>
      <c r="U158" s="231"/>
      <c r="V158" s="231"/>
      <c r="W158" s="236"/>
      <c r="X158" s="231"/>
      <c r="Y158" s="231"/>
      <c r="Z158" s="231"/>
      <c r="AA158" s="236"/>
      <c r="AB158" s="231"/>
      <c r="AC158" s="231"/>
      <c r="AD158" s="231"/>
      <c r="AE158" s="236"/>
      <c r="AF158" s="239"/>
      <c r="AG158" s="239"/>
      <c r="AH158" s="239"/>
      <c r="AI158" s="239"/>
      <c r="AJ158" s="239"/>
      <c r="AK158" s="239"/>
    </row>
    <row r="159" spans="8:37">
      <c r="H159" s="231"/>
      <c r="I159" s="231"/>
      <c r="J159" s="231"/>
      <c r="K159" s="236"/>
      <c r="L159" s="231"/>
      <c r="M159" s="231"/>
      <c r="N159" s="231"/>
      <c r="O159" s="236"/>
      <c r="P159" s="231"/>
      <c r="Q159" s="231"/>
      <c r="R159" s="231"/>
      <c r="S159" s="236"/>
      <c r="T159" s="231"/>
      <c r="U159" s="231"/>
      <c r="V159" s="231"/>
      <c r="W159" s="236"/>
      <c r="X159" s="231"/>
      <c r="Y159" s="231"/>
      <c r="Z159" s="231"/>
      <c r="AA159" s="236"/>
      <c r="AB159" s="231"/>
      <c r="AC159" s="231"/>
      <c r="AD159" s="231"/>
      <c r="AE159" s="236"/>
      <c r="AF159" s="239"/>
      <c r="AG159" s="239"/>
      <c r="AH159" s="239"/>
      <c r="AI159" s="239"/>
      <c r="AJ159" s="239"/>
      <c r="AK159" s="239"/>
    </row>
    <row r="160" spans="8:37">
      <c r="H160" s="231"/>
      <c r="I160" s="231"/>
      <c r="J160" s="231"/>
      <c r="K160" s="236"/>
      <c r="L160" s="231"/>
      <c r="M160" s="231"/>
      <c r="N160" s="231"/>
      <c r="O160" s="236"/>
      <c r="P160" s="231"/>
      <c r="Q160" s="231"/>
      <c r="R160" s="231"/>
      <c r="S160" s="236"/>
      <c r="T160" s="231"/>
      <c r="U160" s="231"/>
      <c r="V160" s="231"/>
      <c r="W160" s="236"/>
      <c r="X160" s="231"/>
      <c r="Y160" s="231"/>
      <c r="Z160" s="231"/>
      <c r="AA160" s="236"/>
      <c r="AB160" s="231"/>
      <c r="AC160" s="231"/>
      <c r="AD160" s="231"/>
      <c r="AE160" s="236"/>
      <c r="AF160" s="239"/>
      <c r="AG160" s="239"/>
      <c r="AH160" s="239"/>
      <c r="AI160" s="239"/>
      <c r="AJ160" s="239"/>
      <c r="AK160" s="239"/>
    </row>
    <row r="161" spans="8:37">
      <c r="H161" s="231"/>
      <c r="I161" s="231"/>
      <c r="J161" s="231"/>
      <c r="K161" s="236"/>
      <c r="L161" s="231"/>
      <c r="M161" s="231"/>
      <c r="N161" s="231"/>
      <c r="O161" s="236"/>
      <c r="P161" s="231"/>
      <c r="Q161" s="231"/>
      <c r="R161" s="231"/>
      <c r="S161" s="236"/>
      <c r="T161" s="231"/>
      <c r="U161" s="231"/>
      <c r="V161" s="231"/>
      <c r="W161" s="236"/>
      <c r="X161" s="231"/>
      <c r="Y161" s="231"/>
      <c r="Z161" s="231"/>
      <c r="AA161" s="236"/>
      <c r="AB161" s="231"/>
      <c r="AC161" s="231"/>
      <c r="AD161" s="231"/>
      <c r="AE161" s="236"/>
      <c r="AF161" s="239"/>
      <c r="AG161" s="239"/>
      <c r="AH161" s="239"/>
      <c r="AI161" s="239"/>
      <c r="AJ161" s="239"/>
      <c r="AK161" s="239"/>
    </row>
    <row r="162" spans="8:37">
      <c r="H162" s="231"/>
      <c r="I162" s="231"/>
      <c r="J162" s="231"/>
      <c r="K162" s="236"/>
      <c r="L162" s="231"/>
      <c r="M162" s="231"/>
      <c r="N162" s="231"/>
      <c r="O162" s="236"/>
      <c r="P162" s="231"/>
      <c r="Q162" s="231"/>
      <c r="R162" s="231"/>
      <c r="S162" s="236"/>
      <c r="T162" s="231"/>
      <c r="U162" s="231"/>
      <c r="V162" s="231"/>
      <c r="W162" s="236"/>
      <c r="X162" s="231"/>
      <c r="Y162" s="231"/>
      <c r="Z162" s="231"/>
      <c r="AA162" s="236"/>
      <c r="AB162" s="231"/>
      <c r="AC162" s="231"/>
      <c r="AD162" s="231"/>
      <c r="AE162" s="236"/>
      <c r="AF162" s="239"/>
      <c r="AG162" s="239"/>
      <c r="AH162" s="239"/>
      <c r="AI162" s="239"/>
      <c r="AJ162" s="239"/>
      <c r="AK162" s="239"/>
    </row>
    <row r="163" spans="8:37">
      <c r="H163" s="231"/>
      <c r="I163" s="231"/>
      <c r="J163" s="231"/>
      <c r="K163" s="236"/>
      <c r="L163" s="231"/>
      <c r="M163" s="231"/>
      <c r="N163" s="231"/>
      <c r="O163" s="236"/>
      <c r="P163" s="231"/>
      <c r="Q163" s="231"/>
      <c r="R163" s="231"/>
      <c r="S163" s="236"/>
      <c r="T163" s="231"/>
      <c r="U163" s="231"/>
      <c r="V163" s="231"/>
      <c r="W163" s="236"/>
      <c r="X163" s="231"/>
      <c r="Y163" s="231"/>
      <c r="Z163" s="231"/>
      <c r="AA163" s="236"/>
      <c r="AB163" s="231"/>
      <c r="AC163" s="231"/>
      <c r="AD163" s="231"/>
      <c r="AE163" s="236"/>
      <c r="AF163" s="239"/>
      <c r="AG163" s="239"/>
      <c r="AH163" s="239"/>
      <c r="AI163" s="239"/>
      <c r="AJ163" s="239"/>
      <c r="AK163" s="239"/>
    </row>
    <row r="164" spans="8:37">
      <c r="H164" s="231"/>
      <c r="I164" s="231"/>
      <c r="J164" s="231"/>
      <c r="K164" s="236"/>
      <c r="L164" s="231"/>
      <c r="M164" s="231"/>
      <c r="N164" s="231"/>
      <c r="O164" s="236"/>
      <c r="P164" s="231"/>
      <c r="Q164" s="231"/>
      <c r="R164" s="231"/>
      <c r="S164" s="236"/>
      <c r="T164" s="231"/>
      <c r="U164" s="231"/>
      <c r="V164" s="231"/>
      <c r="W164" s="236"/>
      <c r="X164" s="231"/>
      <c r="Y164" s="231"/>
      <c r="Z164" s="231"/>
      <c r="AA164" s="236"/>
      <c r="AB164" s="231"/>
      <c r="AC164" s="231"/>
      <c r="AD164" s="231"/>
      <c r="AE164" s="236"/>
      <c r="AF164" s="239"/>
      <c r="AG164" s="239"/>
      <c r="AH164" s="239"/>
      <c r="AI164" s="239"/>
      <c r="AJ164" s="239"/>
      <c r="AK164" s="239"/>
    </row>
    <row r="165" spans="8:37">
      <c r="H165" s="231"/>
      <c r="I165" s="231"/>
      <c r="J165" s="231"/>
      <c r="K165" s="236"/>
      <c r="L165" s="231"/>
      <c r="M165" s="231"/>
      <c r="N165" s="231"/>
      <c r="O165" s="236"/>
      <c r="P165" s="231"/>
      <c r="Q165" s="231"/>
      <c r="R165" s="231"/>
      <c r="S165" s="236"/>
      <c r="T165" s="231"/>
      <c r="U165" s="231"/>
      <c r="V165" s="231"/>
      <c r="W165" s="236"/>
      <c r="X165" s="231"/>
      <c r="Y165" s="231"/>
      <c r="Z165" s="231"/>
      <c r="AA165" s="236"/>
      <c r="AB165" s="231"/>
      <c r="AC165" s="231"/>
      <c r="AD165" s="231"/>
      <c r="AE165" s="236"/>
      <c r="AF165" s="239"/>
      <c r="AG165" s="239"/>
      <c r="AH165" s="239"/>
      <c r="AI165" s="239"/>
      <c r="AJ165" s="239"/>
      <c r="AK165" s="239"/>
    </row>
    <row r="166" spans="8:37">
      <c r="H166" s="231"/>
      <c r="I166" s="231"/>
      <c r="J166" s="231"/>
      <c r="K166" s="236"/>
      <c r="L166" s="231"/>
      <c r="M166" s="231"/>
      <c r="N166" s="231"/>
      <c r="O166" s="236"/>
      <c r="P166" s="231"/>
      <c r="Q166" s="231"/>
      <c r="R166" s="231"/>
      <c r="S166" s="236"/>
      <c r="T166" s="231"/>
      <c r="U166" s="231"/>
      <c r="V166" s="231"/>
      <c r="W166" s="236"/>
      <c r="X166" s="231"/>
      <c r="Y166" s="231"/>
      <c r="Z166" s="231"/>
      <c r="AA166" s="236"/>
      <c r="AB166" s="231"/>
      <c r="AC166" s="231"/>
      <c r="AD166" s="231"/>
      <c r="AE166" s="236"/>
      <c r="AF166" s="239"/>
      <c r="AG166" s="239"/>
      <c r="AH166" s="239"/>
      <c r="AI166" s="239"/>
      <c r="AJ166" s="239"/>
      <c r="AK166" s="239"/>
    </row>
    <row r="167" spans="8:37">
      <c r="H167" s="231"/>
      <c r="I167" s="231"/>
      <c r="J167" s="231"/>
      <c r="K167" s="236"/>
      <c r="L167" s="231"/>
      <c r="M167" s="231"/>
      <c r="N167" s="231"/>
      <c r="O167" s="236"/>
      <c r="P167" s="231"/>
      <c r="Q167" s="231"/>
      <c r="R167" s="231"/>
      <c r="S167" s="236"/>
      <c r="T167" s="231"/>
      <c r="U167" s="231"/>
      <c r="V167" s="231"/>
      <c r="W167" s="236"/>
      <c r="X167" s="231"/>
      <c r="Y167" s="231"/>
      <c r="Z167" s="231"/>
      <c r="AA167" s="236"/>
      <c r="AB167" s="231"/>
      <c r="AC167" s="231"/>
      <c r="AD167" s="231"/>
      <c r="AE167" s="236"/>
      <c r="AF167" s="239"/>
      <c r="AG167" s="239"/>
      <c r="AH167" s="239"/>
      <c r="AI167" s="239"/>
      <c r="AJ167" s="239"/>
      <c r="AK167" s="239"/>
    </row>
    <row r="168" spans="8:37">
      <c r="H168" s="231"/>
      <c r="I168" s="231"/>
      <c r="J168" s="231"/>
      <c r="K168" s="236"/>
      <c r="L168" s="231"/>
      <c r="M168" s="231"/>
      <c r="N168" s="231"/>
      <c r="O168" s="236"/>
      <c r="P168" s="231"/>
      <c r="Q168" s="231"/>
      <c r="R168" s="231"/>
      <c r="S168" s="236"/>
      <c r="T168" s="231"/>
      <c r="U168" s="231"/>
      <c r="V168" s="231"/>
      <c r="W168" s="236"/>
      <c r="X168" s="231"/>
      <c r="Y168" s="231"/>
      <c r="Z168" s="231"/>
      <c r="AA168" s="236"/>
      <c r="AB168" s="231"/>
      <c r="AC168" s="231"/>
      <c r="AD168" s="231"/>
      <c r="AE168" s="236"/>
      <c r="AF168" s="239"/>
      <c r="AG168" s="239"/>
      <c r="AH168" s="239"/>
      <c r="AI168" s="239"/>
      <c r="AJ168" s="239"/>
      <c r="AK168" s="239"/>
    </row>
    <row r="169" spans="8:37">
      <c r="H169" s="231"/>
      <c r="I169" s="231"/>
      <c r="J169" s="231"/>
      <c r="K169" s="236"/>
      <c r="L169" s="231"/>
      <c r="M169" s="231"/>
      <c r="N169" s="231"/>
      <c r="O169" s="236"/>
      <c r="P169" s="231"/>
      <c r="Q169" s="231"/>
      <c r="R169" s="231"/>
      <c r="S169" s="236"/>
      <c r="T169" s="231"/>
      <c r="U169" s="231"/>
      <c r="V169" s="231"/>
      <c r="W169" s="236"/>
      <c r="X169" s="231"/>
      <c r="Y169" s="231"/>
      <c r="Z169" s="231"/>
      <c r="AA169" s="236"/>
      <c r="AB169" s="231"/>
      <c r="AC169" s="231"/>
      <c r="AD169" s="231"/>
      <c r="AE169" s="236"/>
      <c r="AF169" s="239"/>
      <c r="AG169" s="239"/>
      <c r="AH169" s="239"/>
      <c r="AI169" s="239"/>
      <c r="AJ169" s="239"/>
      <c r="AK169" s="239"/>
    </row>
    <row r="170" spans="8:37">
      <c r="H170" s="231"/>
      <c r="I170" s="231"/>
      <c r="J170" s="231"/>
      <c r="K170" s="236"/>
      <c r="L170" s="231"/>
      <c r="M170" s="231"/>
      <c r="N170" s="231"/>
      <c r="O170" s="236"/>
      <c r="P170" s="231"/>
      <c r="Q170" s="231"/>
      <c r="R170" s="231"/>
      <c r="S170" s="236"/>
      <c r="T170" s="231"/>
      <c r="U170" s="231"/>
      <c r="V170" s="231"/>
      <c r="W170" s="236"/>
      <c r="X170" s="231"/>
      <c r="Y170" s="231"/>
      <c r="Z170" s="231"/>
      <c r="AA170" s="236"/>
      <c r="AB170" s="231"/>
      <c r="AC170" s="231"/>
      <c r="AD170" s="231"/>
      <c r="AE170" s="236"/>
      <c r="AF170" s="239"/>
      <c r="AG170" s="239"/>
      <c r="AH170" s="239"/>
      <c r="AI170" s="239"/>
      <c r="AJ170" s="239"/>
      <c r="AK170" s="239"/>
    </row>
    <row r="171" spans="8:37">
      <c r="H171" s="231"/>
      <c r="I171" s="231"/>
      <c r="J171" s="231"/>
      <c r="K171" s="236"/>
      <c r="L171" s="231"/>
      <c r="M171" s="231"/>
      <c r="N171" s="231"/>
      <c r="O171" s="236"/>
      <c r="P171" s="231"/>
      <c r="Q171" s="231"/>
      <c r="R171" s="231"/>
      <c r="S171" s="236"/>
      <c r="T171" s="231"/>
      <c r="U171" s="231"/>
      <c r="V171" s="231"/>
      <c r="W171" s="236"/>
      <c r="X171" s="231"/>
      <c r="Y171" s="231"/>
      <c r="Z171" s="231"/>
      <c r="AA171" s="236"/>
      <c r="AB171" s="231"/>
      <c r="AC171" s="231"/>
      <c r="AD171" s="231"/>
      <c r="AE171" s="236"/>
      <c r="AF171" s="239"/>
      <c r="AG171" s="239"/>
      <c r="AH171" s="239"/>
      <c r="AI171" s="239"/>
      <c r="AJ171" s="239"/>
      <c r="AK171" s="239"/>
    </row>
    <row r="172" spans="8:37">
      <c r="H172" s="231"/>
      <c r="I172" s="231"/>
      <c r="J172" s="231"/>
      <c r="K172" s="236"/>
      <c r="L172" s="231"/>
      <c r="M172" s="231"/>
      <c r="N172" s="231"/>
      <c r="O172" s="236"/>
      <c r="P172" s="231"/>
      <c r="Q172" s="231"/>
      <c r="R172" s="231"/>
      <c r="S172" s="236"/>
      <c r="T172" s="231"/>
      <c r="U172" s="231"/>
      <c r="V172" s="231"/>
      <c r="W172" s="236"/>
      <c r="X172" s="231"/>
      <c r="Y172" s="231"/>
      <c r="Z172" s="231"/>
      <c r="AA172" s="236"/>
      <c r="AB172" s="231"/>
      <c r="AC172" s="231"/>
      <c r="AD172" s="231"/>
      <c r="AE172" s="236"/>
      <c r="AF172" s="239"/>
      <c r="AG172" s="239"/>
      <c r="AH172" s="239"/>
      <c r="AI172" s="239"/>
      <c r="AJ172" s="239"/>
      <c r="AK172" s="239"/>
    </row>
    <row r="173" spans="8:37">
      <c r="H173" s="231"/>
      <c r="I173" s="231"/>
      <c r="J173" s="231"/>
      <c r="K173" s="236"/>
      <c r="L173" s="231"/>
      <c r="M173" s="231"/>
      <c r="N173" s="231"/>
      <c r="O173" s="236"/>
      <c r="P173" s="231"/>
      <c r="Q173" s="231"/>
      <c r="R173" s="231"/>
      <c r="S173" s="236"/>
      <c r="T173" s="231"/>
      <c r="U173" s="231"/>
      <c r="V173" s="231"/>
      <c r="W173" s="236"/>
      <c r="X173" s="231"/>
      <c r="Y173" s="231"/>
      <c r="Z173" s="231"/>
      <c r="AA173" s="236"/>
      <c r="AB173" s="231"/>
      <c r="AC173" s="231"/>
      <c r="AD173" s="231"/>
      <c r="AE173" s="236"/>
      <c r="AF173" s="239"/>
      <c r="AG173" s="239"/>
      <c r="AH173" s="239"/>
      <c r="AI173" s="239"/>
      <c r="AJ173" s="239"/>
      <c r="AK173" s="239"/>
    </row>
    <row r="174" spans="8:37">
      <c r="H174" s="231"/>
      <c r="I174" s="231"/>
      <c r="J174" s="231"/>
      <c r="K174" s="236"/>
      <c r="L174" s="231"/>
      <c r="M174" s="231"/>
      <c r="N174" s="231"/>
      <c r="O174" s="236"/>
      <c r="P174" s="231"/>
      <c r="Q174" s="231"/>
      <c r="R174" s="231"/>
      <c r="S174" s="236"/>
      <c r="T174" s="231"/>
      <c r="U174" s="231"/>
      <c r="V174" s="231"/>
      <c r="W174" s="236"/>
      <c r="X174" s="231"/>
      <c r="Y174" s="231"/>
      <c r="Z174" s="231"/>
      <c r="AA174" s="236"/>
      <c r="AB174" s="231"/>
      <c r="AC174" s="231"/>
      <c r="AD174" s="231"/>
      <c r="AE174" s="236"/>
      <c r="AF174" s="239"/>
      <c r="AG174" s="239"/>
      <c r="AH174" s="239"/>
      <c r="AI174" s="239"/>
      <c r="AJ174" s="239"/>
      <c r="AK174" s="239"/>
    </row>
    <row r="175" spans="8:37">
      <c r="H175" s="231"/>
      <c r="I175" s="231"/>
      <c r="J175" s="231"/>
      <c r="K175" s="236"/>
      <c r="L175" s="231"/>
      <c r="M175" s="231"/>
      <c r="N175" s="231"/>
      <c r="O175" s="236"/>
      <c r="P175" s="231"/>
      <c r="Q175" s="231"/>
      <c r="R175" s="231"/>
      <c r="S175" s="236"/>
      <c r="T175" s="231"/>
      <c r="U175" s="231"/>
      <c r="V175" s="231"/>
      <c r="W175" s="236"/>
      <c r="X175" s="231"/>
      <c r="Y175" s="231"/>
      <c r="Z175" s="231"/>
      <c r="AA175" s="236"/>
      <c r="AB175" s="231"/>
      <c r="AC175" s="231"/>
      <c r="AD175" s="231"/>
      <c r="AE175" s="236"/>
      <c r="AF175" s="239"/>
      <c r="AG175" s="239"/>
      <c r="AH175" s="239"/>
      <c r="AI175" s="239"/>
      <c r="AJ175" s="239"/>
      <c r="AK175" s="239"/>
    </row>
    <row r="176" spans="8:37">
      <c r="H176" s="231"/>
      <c r="I176" s="231"/>
      <c r="J176" s="231"/>
      <c r="K176" s="236"/>
      <c r="L176" s="231"/>
      <c r="M176" s="231"/>
      <c r="N176" s="231"/>
      <c r="O176" s="236"/>
      <c r="P176" s="231"/>
      <c r="Q176" s="231"/>
      <c r="R176" s="231"/>
      <c r="S176" s="236"/>
      <c r="T176" s="231"/>
      <c r="U176" s="231"/>
      <c r="V176" s="231"/>
      <c r="W176" s="236"/>
      <c r="X176" s="231"/>
      <c r="Y176" s="231"/>
      <c r="Z176" s="231"/>
      <c r="AA176" s="236"/>
      <c r="AB176" s="231"/>
      <c r="AC176" s="231"/>
      <c r="AD176" s="231"/>
      <c r="AE176" s="236"/>
      <c r="AF176" s="239"/>
      <c r="AG176" s="239"/>
      <c r="AH176" s="239"/>
      <c r="AI176" s="239"/>
      <c r="AJ176" s="239"/>
      <c r="AK176" s="239"/>
    </row>
    <row r="177" spans="8:37">
      <c r="H177" s="231"/>
      <c r="I177" s="231"/>
      <c r="J177" s="231"/>
      <c r="K177" s="236"/>
      <c r="L177" s="231"/>
      <c r="M177" s="231"/>
      <c r="N177" s="231"/>
      <c r="O177" s="236"/>
      <c r="P177" s="231"/>
      <c r="Q177" s="231"/>
      <c r="R177" s="231"/>
      <c r="S177" s="236"/>
      <c r="T177" s="231"/>
      <c r="U177" s="231"/>
      <c r="V177" s="231"/>
      <c r="W177" s="236"/>
      <c r="X177" s="231"/>
      <c r="Y177" s="231"/>
      <c r="Z177" s="231"/>
      <c r="AA177" s="236"/>
      <c r="AB177" s="231"/>
      <c r="AC177" s="231"/>
      <c r="AD177" s="231"/>
      <c r="AE177" s="236"/>
      <c r="AF177" s="239"/>
      <c r="AG177" s="239"/>
      <c r="AH177" s="239"/>
      <c r="AI177" s="239"/>
      <c r="AJ177" s="239"/>
      <c r="AK177" s="239"/>
    </row>
    <row r="178" spans="8:37">
      <c r="H178" s="231"/>
      <c r="I178" s="231"/>
      <c r="J178" s="231"/>
      <c r="K178" s="236"/>
      <c r="L178" s="231"/>
      <c r="M178" s="231"/>
      <c r="N178" s="231"/>
      <c r="O178" s="236"/>
      <c r="P178" s="231"/>
      <c r="Q178" s="231"/>
      <c r="R178" s="231"/>
      <c r="S178" s="236"/>
      <c r="T178" s="231"/>
      <c r="U178" s="231"/>
      <c r="V178" s="231"/>
      <c r="W178" s="236"/>
      <c r="X178" s="231"/>
      <c r="Y178" s="231"/>
      <c r="Z178" s="231"/>
      <c r="AA178" s="236"/>
      <c r="AB178" s="231"/>
      <c r="AC178" s="231"/>
      <c r="AD178" s="231"/>
      <c r="AE178" s="236"/>
      <c r="AF178" s="239"/>
      <c r="AG178" s="239"/>
      <c r="AH178" s="239"/>
      <c r="AI178" s="239"/>
      <c r="AJ178" s="239"/>
      <c r="AK178" s="239"/>
    </row>
    <row r="179" spans="8:37">
      <c r="H179" s="231"/>
      <c r="I179" s="231"/>
      <c r="J179" s="231"/>
      <c r="K179" s="236"/>
      <c r="L179" s="231"/>
      <c r="M179" s="231"/>
      <c r="N179" s="231"/>
      <c r="O179" s="236"/>
      <c r="P179" s="231"/>
      <c r="Q179" s="231"/>
      <c r="R179" s="231"/>
      <c r="S179" s="236"/>
      <c r="T179" s="231"/>
      <c r="U179" s="231"/>
      <c r="V179" s="231"/>
      <c r="W179" s="236"/>
      <c r="X179" s="231"/>
      <c r="Y179" s="231"/>
      <c r="Z179" s="231"/>
      <c r="AA179" s="236"/>
      <c r="AB179" s="231"/>
      <c r="AC179" s="231"/>
      <c r="AD179" s="231"/>
      <c r="AE179" s="236"/>
      <c r="AF179" s="239"/>
      <c r="AG179" s="239"/>
      <c r="AH179" s="239"/>
      <c r="AI179" s="239"/>
      <c r="AJ179" s="239"/>
      <c r="AK179" s="239"/>
    </row>
    <row r="180" spans="8:37">
      <c r="H180" s="231"/>
      <c r="I180" s="231"/>
      <c r="J180" s="231"/>
      <c r="K180" s="236"/>
      <c r="L180" s="231"/>
      <c r="M180" s="231"/>
      <c r="N180" s="231"/>
      <c r="O180" s="236"/>
      <c r="P180" s="231"/>
      <c r="Q180" s="231"/>
      <c r="R180" s="231"/>
      <c r="S180" s="236"/>
      <c r="T180" s="231"/>
      <c r="U180" s="231"/>
      <c r="V180" s="231"/>
      <c r="W180" s="236"/>
      <c r="X180" s="231"/>
      <c r="Y180" s="231"/>
      <c r="Z180" s="231"/>
      <c r="AA180" s="236"/>
      <c r="AB180" s="231"/>
      <c r="AC180" s="231"/>
      <c r="AD180" s="231"/>
      <c r="AE180" s="236"/>
      <c r="AF180" s="239"/>
      <c r="AG180" s="239"/>
      <c r="AH180" s="239"/>
      <c r="AI180" s="239"/>
      <c r="AJ180" s="239"/>
      <c r="AK180" s="239"/>
    </row>
    <row r="181" spans="8:37">
      <c r="H181" s="231"/>
      <c r="I181" s="231"/>
      <c r="J181" s="231"/>
      <c r="K181" s="236"/>
      <c r="L181" s="231"/>
      <c r="M181" s="231"/>
      <c r="N181" s="231"/>
      <c r="O181" s="236"/>
      <c r="P181" s="231"/>
      <c r="Q181" s="231"/>
      <c r="R181" s="231"/>
      <c r="S181" s="236"/>
      <c r="T181" s="231"/>
      <c r="U181" s="231"/>
      <c r="V181" s="231"/>
      <c r="W181" s="236"/>
      <c r="X181" s="231"/>
      <c r="Y181" s="231"/>
      <c r="Z181" s="231"/>
      <c r="AA181" s="236"/>
      <c r="AB181" s="231"/>
      <c r="AC181" s="231"/>
      <c r="AD181" s="231"/>
      <c r="AE181" s="236"/>
      <c r="AF181" s="239"/>
      <c r="AG181" s="239"/>
      <c r="AH181" s="239"/>
      <c r="AI181" s="239"/>
      <c r="AJ181" s="239"/>
      <c r="AK181" s="239"/>
    </row>
    <row r="182" spans="8:37">
      <c r="H182" s="231"/>
      <c r="I182" s="231"/>
      <c r="J182" s="231"/>
      <c r="K182" s="236"/>
      <c r="L182" s="231"/>
      <c r="M182" s="231"/>
      <c r="N182" s="231"/>
      <c r="O182" s="236"/>
      <c r="P182" s="231"/>
      <c r="Q182" s="231"/>
      <c r="R182" s="231"/>
      <c r="S182" s="236"/>
      <c r="T182" s="231"/>
      <c r="U182" s="231"/>
      <c r="V182" s="231"/>
      <c r="W182" s="236"/>
      <c r="X182" s="231"/>
      <c r="Y182" s="231"/>
      <c r="Z182" s="231"/>
      <c r="AA182" s="236"/>
      <c r="AB182" s="231"/>
      <c r="AC182" s="231"/>
      <c r="AD182" s="231"/>
      <c r="AE182" s="236"/>
      <c r="AF182" s="239"/>
      <c r="AG182" s="239"/>
      <c r="AH182" s="239"/>
      <c r="AI182" s="239"/>
      <c r="AJ182" s="239"/>
      <c r="AK182" s="239"/>
    </row>
    <row r="183" spans="8:37">
      <c r="H183" s="231"/>
      <c r="I183" s="231"/>
      <c r="J183" s="231"/>
      <c r="K183" s="236"/>
      <c r="L183" s="231"/>
      <c r="M183" s="231"/>
      <c r="N183" s="231"/>
      <c r="O183" s="236"/>
      <c r="P183" s="231"/>
      <c r="Q183" s="231"/>
      <c r="R183" s="231"/>
      <c r="S183" s="236"/>
      <c r="T183" s="231"/>
      <c r="U183" s="231"/>
      <c r="V183" s="231"/>
      <c r="W183" s="236"/>
      <c r="X183" s="231"/>
      <c r="Y183" s="231"/>
      <c r="Z183" s="231"/>
      <c r="AA183" s="236"/>
      <c r="AB183" s="231"/>
      <c r="AC183" s="231"/>
      <c r="AD183" s="231"/>
      <c r="AE183" s="236"/>
      <c r="AF183" s="239"/>
      <c r="AG183" s="239"/>
      <c r="AH183" s="239"/>
      <c r="AI183" s="239"/>
      <c r="AJ183" s="239"/>
      <c r="AK183" s="239"/>
    </row>
    <row r="184" spans="8:37">
      <c r="H184" s="231"/>
      <c r="I184" s="231"/>
      <c r="J184" s="231"/>
      <c r="K184" s="236"/>
      <c r="L184" s="231"/>
      <c r="M184" s="231"/>
      <c r="N184" s="231"/>
      <c r="O184" s="236"/>
      <c r="P184" s="231"/>
      <c r="Q184" s="231"/>
      <c r="R184" s="231"/>
      <c r="S184" s="236"/>
      <c r="T184" s="231"/>
      <c r="U184" s="231"/>
      <c r="V184" s="231"/>
      <c r="W184" s="236"/>
      <c r="X184" s="231"/>
      <c r="Y184" s="231"/>
      <c r="Z184" s="231"/>
      <c r="AA184" s="236"/>
      <c r="AB184" s="231"/>
      <c r="AC184" s="231"/>
      <c r="AD184" s="231"/>
      <c r="AE184" s="236"/>
      <c r="AF184" s="239"/>
      <c r="AG184" s="239"/>
      <c r="AH184" s="239"/>
      <c r="AI184" s="239"/>
      <c r="AJ184" s="239"/>
      <c r="AK184" s="239"/>
    </row>
    <row r="185" spans="8:37">
      <c r="H185" s="231"/>
      <c r="I185" s="231"/>
      <c r="J185" s="231"/>
      <c r="K185" s="236"/>
      <c r="L185" s="231"/>
      <c r="M185" s="231"/>
      <c r="N185" s="231"/>
      <c r="O185" s="236"/>
      <c r="P185" s="231"/>
      <c r="Q185" s="231"/>
      <c r="R185" s="231"/>
      <c r="S185" s="236"/>
      <c r="T185" s="231"/>
      <c r="U185" s="231"/>
      <c r="V185" s="231"/>
      <c r="W185" s="236"/>
      <c r="X185" s="231"/>
      <c r="Y185" s="231"/>
      <c r="Z185" s="231"/>
      <c r="AA185" s="236"/>
      <c r="AB185" s="231"/>
      <c r="AC185" s="231"/>
      <c r="AD185" s="231"/>
      <c r="AE185" s="236"/>
      <c r="AF185" s="239"/>
      <c r="AG185" s="239"/>
      <c r="AH185" s="239"/>
      <c r="AI185" s="239"/>
      <c r="AJ185" s="239"/>
      <c r="AK185" s="239"/>
    </row>
    <row r="186" spans="8:37">
      <c r="H186" s="231"/>
      <c r="I186" s="231"/>
      <c r="J186" s="231"/>
      <c r="K186" s="236"/>
      <c r="L186" s="231"/>
      <c r="M186" s="231"/>
      <c r="N186" s="231"/>
      <c r="O186" s="236"/>
      <c r="P186" s="231"/>
      <c r="Q186" s="231"/>
      <c r="R186" s="231"/>
      <c r="S186" s="236"/>
      <c r="T186" s="231"/>
      <c r="U186" s="231"/>
      <c r="V186" s="231"/>
      <c r="W186" s="236"/>
      <c r="X186" s="231"/>
      <c r="Y186" s="231"/>
      <c r="Z186" s="231"/>
      <c r="AA186" s="236"/>
      <c r="AB186" s="231"/>
      <c r="AC186" s="231"/>
      <c r="AD186" s="231"/>
      <c r="AE186" s="236"/>
      <c r="AF186" s="239"/>
      <c r="AG186" s="239"/>
      <c r="AH186" s="239"/>
      <c r="AI186" s="239"/>
      <c r="AJ186" s="239"/>
      <c r="AK186" s="239"/>
    </row>
    <row r="187" spans="8:37">
      <c r="H187" s="231"/>
      <c r="I187" s="231"/>
      <c r="J187" s="231"/>
      <c r="K187" s="236"/>
      <c r="L187" s="231"/>
      <c r="M187" s="231"/>
      <c r="N187" s="231"/>
      <c r="O187" s="236"/>
      <c r="P187" s="231"/>
      <c r="Q187" s="231"/>
      <c r="R187" s="231"/>
      <c r="S187" s="236"/>
      <c r="T187" s="231"/>
      <c r="U187" s="231"/>
      <c r="V187" s="231"/>
      <c r="W187" s="236"/>
      <c r="X187" s="231"/>
      <c r="Y187" s="231"/>
      <c r="Z187" s="231"/>
      <c r="AA187" s="236"/>
      <c r="AB187" s="231"/>
      <c r="AC187" s="231"/>
      <c r="AD187" s="231"/>
      <c r="AE187" s="236"/>
      <c r="AF187" s="239"/>
      <c r="AG187" s="239"/>
      <c r="AH187" s="239"/>
      <c r="AI187" s="239"/>
      <c r="AJ187" s="239"/>
      <c r="AK187" s="239"/>
    </row>
    <row r="188" spans="8:37">
      <c r="H188" s="231"/>
      <c r="I188" s="231"/>
      <c r="J188" s="231"/>
      <c r="K188" s="236"/>
      <c r="L188" s="231"/>
      <c r="M188" s="231"/>
      <c r="N188" s="231"/>
      <c r="O188" s="236"/>
      <c r="P188" s="231"/>
      <c r="Q188" s="231"/>
      <c r="R188" s="231"/>
      <c r="S188" s="236"/>
      <c r="T188" s="231"/>
      <c r="U188" s="231"/>
      <c r="V188" s="231"/>
      <c r="W188" s="236"/>
      <c r="X188" s="231"/>
      <c r="Y188" s="231"/>
      <c r="Z188" s="231"/>
      <c r="AA188" s="236"/>
      <c r="AB188" s="231"/>
      <c r="AC188" s="231"/>
      <c r="AD188" s="231"/>
      <c r="AE188" s="236"/>
      <c r="AF188" s="239"/>
      <c r="AG188" s="239"/>
      <c r="AH188" s="239"/>
      <c r="AI188" s="239"/>
      <c r="AJ188" s="239"/>
      <c r="AK188" s="239"/>
    </row>
    <row r="189" spans="8:37">
      <c r="H189" s="231"/>
      <c r="I189" s="231"/>
      <c r="J189" s="231"/>
      <c r="K189" s="236"/>
      <c r="L189" s="231"/>
      <c r="M189" s="231"/>
      <c r="N189" s="231"/>
      <c r="O189" s="236"/>
      <c r="P189" s="231"/>
      <c r="Q189" s="231"/>
      <c r="R189" s="231"/>
      <c r="S189" s="236"/>
      <c r="T189" s="231"/>
      <c r="U189" s="231"/>
      <c r="V189" s="231"/>
      <c r="W189" s="236"/>
      <c r="X189" s="231"/>
      <c r="Y189" s="231"/>
      <c r="Z189" s="231"/>
      <c r="AA189" s="236"/>
      <c r="AB189" s="231"/>
      <c r="AC189" s="231"/>
      <c r="AD189" s="231"/>
      <c r="AE189" s="236"/>
      <c r="AF189" s="239"/>
      <c r="AG189" s="239"/>
      <c r="AH189" s="239"/>
      <c r="AI189" s="239"/>
      <c r="AJ189" s="239"/>
      <c r="AK189" s="239"/>
    </row>
    <row r="190" spans="8:37">
      <c r="H190" s="231"/>
      <c r="I190" s="231"/>
      <c r="J190" s="231"/>
      <c r="K190" s="236"/>
      <c r="L190" s="231"/>
      <c r="M190" s="231"/>
      <c r="N190" s="231"/>
      <c r="O190" s="236"/>
      <c r="P190" s="231"/>
      <c r="Q190" s="231"/>
      <c r="R190" s="231"/>
      <c r="S190" s="236"/>
      <c r="T190" s="231"/>
      <c r="U190" s="231"/>
      <c r="V190" s="231"/>
      <c r="W190" s="236"/>
      <c r="X190" s="231"/>
      <c r="Y190" s="231"/>
      <c r="Z190" s="231"/>
      <c r="AA190" s="236"/>
      <c r="AB190" s="231"/>
      <c r="AC190" s="231"/>
      <c r="AD190" s="231"/>
      <c r="AE190" s="236"/>
      <c r="AF190" s="239"/>
      <c r="AG190" s="239"/>
      <c r="AH190" s="239"/>
      <c r="AI190" s="239"/>
      <c r="AJ190" s="239"/>
      <c r="AK190" s="239"/>
    </row>
    <row r="191" spans="8:37">
      <c r="H191" s="231"/>
      <c r="I191" s="231"/>
      <c r="J191" s="231"/>
      <c r="K191" s="236"/>
      <c r="L191" s="231"/>
      <c r="M191" s="231"/>
      <c r="N191" s="231"/>
      <c r="O191" s="236"/>
      <c r="P191" s="231"/>
      <c r="Q191" s="231"/>
      <c r="R191" s="231"/>
      <c r="S191" s="236"/>
      <c r="T191" s="231"/>
      <c r="U191" s="231"/>
      <c r="V191" s="231"/>
      <c r="W191" s="236"/>
      <c r="X191" s="231"/>
      <c r="Y191" s="231"/>
      <c r="Z191" s="231"/>
      <c r="AA191" s="236"/>
      <c r="AB191" s="231"/>
      <c r="AC191" s="231"/>
      <c r="AD191" s="231"/>
      <c r="AE191" s="236"/>
      <c r="AF191" s="239"/>
      <c r="AG191" s="239"/>
      <c r="AH191" s="239"/>
      <c r="AI191" s="239"/>
      <c r="AJ191" s="239"/>
      <c r="AK191" s="239"/>
    </row>
    <row r="192" spans="8:37">
      <c r="H192" s="231"/>
      <c r="I192" s="231"/>
      <c r="J192" s="231"/>
      <c r="K192" s="236"/>
      <c r="L192" s="231"/>
      <c r="M192" s="231"/>
      <c r="N192" s="231"/>
      <c r="O192" s="236"/>
      <c r="P192" s="231"/>
      <c r="Q192" s="231"/>
      <c r="R192" s="231"/>
      <c r="S192" s="236"/>
      <c r="T192" s="231"/>
      <c r="U192" s="231"/>
      <c r="V192" s="231"/>
      <c r="W192" s="236"/>
      <c r="X192" s="231"/>
      <c r="Y192" s="231"/>
      <c r="Z192" s="231"/>
      <c r="AA192" s="236"/>
      <c r="AB192" s="231"/>
      <c r="AC192" s="231"/>
      <c r="AD192" s="231"/>
      <c r="AE192" s="236"/>
      <c r="AF192" s="239"/>
      <c r="AG192" s="239"/>
      <c r="AH192" s="239"/>
      <c r="AI192" s="239"/>
      <c r="AJ192" s="239"/>
      <c r="AK192" s="239"/>
    </row>
    <row r="193" spans="8:37">
      <c r="H193" s="231"/>
      <c r="I193" s="231"/>
      <c r="J193" s="231"/>
      <c r="K193" s="236"/>
      <c r="L193" s="231"/>
      <c r="M193" s="231"/>
      <c r="N193" s="231"/>
      <c r="O193" s="236"/>
      <c r="P193" s="231"/>
      <c r="Q193" s="231"/>
      <c r="R193" s="231"/>
      <c r="S193" s="236"/>
      <c r="T193" s="231"/>
      <c r="U193" s="231"/>
      <c r="V193" s="231"/>
      <c r="W193" s="236"/>
      <c r="X193" s="231"/>
      <c r="Y193" s="231"/>
      <c r="Z193" s="231"/>
      <c r="AA193" s="236"/>
      <c r="AB193" s="231"/>
      <c r="AC193" s="231"/>
      <c r="AD193" s="231"/>
      <c r="AE193" s="236"/>
      <c r="AF193" s="239"/>
      <c r="AG193" s="239"/>
      <c r="AH193" s="239"/>
      <c r="AI193" s="239"/>
      <c r="AJ193" s="239"/>
      <c r="AK193" s="239"/>
    </row>
    <row r="194" spans="8:37">
      <c r="H194" s="231"/>
      <c r="I194" s="231"/>
      <c r="J194" s="231"/>
      <c r="K194" s="236"/>
      <c r="L194" s="231"/>
      <c r="M194" s="231"/>
      <c r="N194" s="231"/>
      <c r="O194" s="236"/>
      <c r="P194" s="231"/>
      <c r="Q194" s="231"/>
      <c r="R194" s="231"/>
      <c r="S194" s="236"/>
      <c r="T194" s="231"/>
      <c r="U194" s="231"/>
      <c r="V194" s="231"/>
      <c r="W194" s="236"/>
      <c r="X194" s="231"/>
      <c r="Y194" s="231"/>
      <c r="Z194" s="231"/>
      <c r="AA194" s="236"/>
      <c r="AB194" s="231"/>
      <c r="AC194" s="231"/>
      <c r="AD194" s="231"/>
      <c r="AE194" s="236"/>
      <c r="AF194" s="239"/>
      <c r="AG194" s="239"/>
      <c r="AH194" s="239"/>
      <c r="AI194" s="239"/>
      <c r="AJ194" s="239"/>
      <c r="AK194" s="239"/>
    </row>
    <row r="195" spans="8:37">
      <c r="H195" s="231"/>
      <c r="I195" s="231"/>
      <c r="J195" s="231"/>
      <c r="K195" s="236"/>
      <c r="L195" s="231"/>
      <c r="M195" s="231"/>
      <c r="N195" s="231"/>
      <c r="O195" s="236"/>
      <c r="P195" s="231"/>
      <c r="Q195" s="231"/>
      <c r="R195" s="231"/>
      <c r="S195" s="236"/>
      <c r="T195" s="231"/>
      <c r="U195" s="231"/>
      <c r="V195" s="231"/>
      <c r="W195" s="236"/>
      <c r="X195" s="231"/>
      <c r="Y195" s="231"/>
      <c r="Z195" s="231"/>
      <c r="AA195" s="236"/>
      <c r="AB195" s="231"/>
      <c r="AC195" s="231"/>
      <c r="AD195" s="231"/>
      <c r="AE195" s="236"/>
      <c r="AF195" s="239"/>
      <c r="AG195" s="239"/>
      <c r="AH195" s="239"/>
      <c r="AI195" s="239"/>
      <c r="AJ195" s="239"/>
      <c r="AK195" s="239"/>
    </row>
    <row r="196" spans="8:37">
      <c r="H196" s="231"/>
      <c r="I196" s="231"/>
      <c r="J196" s="231"/>
      <c r="K196" s="236"/>
      <c r="L196" s="231"/>
      <c r="M196" s="231"/>
      <c r="N196" s="231"/>
      <c r="O196" s="236"/>
      <c r="P196" s="231"/>
      <c r="Q196" s="231"/>
      <c r="R196" s="231"/>
      <c r="S196" s="236"/>
      <c r="T196" s="231"/>
      <c r="U196" s="231"/>
      <c r="V196" s="231"/>
      <c r="W196" s="236"/>
      <c r="X196" s="231"/>
      <c r="Y196" s="231"/>
      <c r="Z196" s="231"/>
      <c r="AA196" s="236"/>
      <c r="AB196" s="231"/>
      <c r="AC196" s="231"/>
      <c r="AD196" s="231"/>
      <c r="AE196" s="236"/>
      <c r="AF196" s="239"/>
      <c r="AG196" s="239"/>
      <c r="AH196" s="239"/>
      <c r="AI196" s="239"/>
      <c r="AJ196" s="239"/>
      <c r="AK196" s="239"/>
    </row>
    <row r="197" spans="8:37">
      <c r="H197" s="231"/>
      <c r="I197" s="231"/>
      <c r="J197" s="231"/>
      <c r="K197" s="236"/>
      <c r="L197" s="231"/>
      <c r="M197" s="231"/>
      <c r="N197" s="231"/>
      <c r="O197" s="236"/>
      <c r="P197" s="231"/>
      <c r="Q197" s="231"/>
      <c r="R197" s="231"/>
      <c r="S197" s="236"/>
      <c r="T197" s="231"/>
      <c r="U197" s="231"/>
      <c r="V197" s="231"/>
      <c r="W197" s="236"/>
      <c r="X197" s="231"/>
      <c r="Y197" s="231"/>
      <c r="Z197" s="231"/>
      <c r="AA197" s="236"/>
      <c r="AB197" s="231"/>
      <c r="AC197" s="231"/>
      <c r="AD197" s="231"/>
      <c r="AE197" s="236"/>
      <c r="AF197" s="239"/>
      <c r="AG197" s="239"/>
      <c r="AH197" s="239"/>
      <c r="AI197" s="239"/>
      <c r="AJ197" s="239"/>
      <c r="AK197" s="239"/>
    </row>
    <row r="198" spans="8:37">
      <c r="H198" s="231"/>
      <c r="I198" s="231"/>
      <c r="J198" s="231"/>
      <c r="K198" s="236"/>
      <c r="L198" s="231"/>
      <c r="M198" s="231"/>
      <c r="N198" s="231"/>
      <c r="O198" s="236"/>
      <c r="P198" s="231"/>
      <c r="Q198" s="231"/>
      <c r="R198" s="231"/>
      <c r="S198" s="236"/>
      <c r="T198" s="231"/>
      <c r="U198" s="231"/>
      <c r="V198" s="231"/>
      <c r="W198" s="236"/>
      <c r="X198" s="231"/>
      <c r="Y198" s="231"/>
      <c r="Z198" s="231"/>
      <c r="AA198" s="236"/>
      <c r="AB198" s="231"/>
      <c r="AC198" s="231"/>
      <c r="AD198" s="231"/>
      <c r="AE198" s="236"/>
      <c r="AF198" s="239"/>
      <c r="AG198" s="239"/>
      <c r="AH198" s="239"/>
      <c r="AI198" s="239"/>
      <c r="AJ198" s="239"/>
      <c r="AK198" s="239"/>
    </row>
    <row r="199" spans="8:37">
      <c r="H199" s="231"/>
      <c r="I199" s="231"/>
      <c r="J199" s="231"/>
      <c r="K199" s="236"/>
      <c r="L199" s="231"/>
      <c r="M199" s="231"/>
      <c r="N199" s="231"/>
      <c r="O199" s="236"/>
      <c r="P199" s="231"/>
      <c r="Q199" s="231"/>
      <c r="R199" s="231"/>
      <c r="S199" s="236"/>
      <c r="T199" s="231"/>
      <c r="U199" s="231"/>
      <c r="V199" s="231"/>
      <c r="W199" s="236"/>
      <c r="X199" s="231"/>
      <c r="Y199" s="231"/>
      <c r="Z199" s="231"/>
      <c r="AA199" s="236"/>
      <c r="AB199" s="231"/>
      <c r="AC199" s="231"/>
      <c r="AD199" s="231"/>
      <c r="AE199" s="236"/>
      <c r="AF199" s="239"/>
      <c r="AG199" s="239"/>
      <c r="AH199" s="239"/>
      <c r="AI199" s="239"/>
      <c r="AJ199" s="239"/>
      <c r="AK199" s="239"/>
    </row>
    <row r="200" spans="8:37">
      <c r="H200" s="231"/>
      <c r="I200" s="231"/>
      <c r="J200" s="231"/>
      <c r="K200" s="236"/>
      <c r="L200" s="231"/>
      <c r="M200" s="231"/>
      <c r="N200" s="231"/>
      <c r="O200" s="236"/>
      <c r="P200" s="231"/>
      <c r="Q200" s="231"/>
      <c r="R200" s="231"/>
      <c r="S200" s="236"/>
      <c r="T200" s="231"/>
      <c r="U200" s="231"/>
      <c r="V200" s="231"/>
      <c r="W200" s="236"/>
      <c r="X200" s="231"/>
      <c r="Y200" s="231"/>
      <c r="Z200" s="231"/>
      <c r="AA200" s="236"/>
      <c r="AB200" s="231"/>
      <c r="AC200" s="231"/>
      <c r="AD200" s="231"/>
      <c r="AE200" s="236"/>
      <c r="AF200" s="239"/>
      <c r="AG200" s="239"/>
      <c r="AH200" s="239"/>
      <c r="AI200" s="239"/>
      <c r="AJ200" s="239"/>
      <c r="AK200" s="239"/>
    </row>
    <row r="201" spans="8:37">
      <c r="H201" s="231"/>
      <c r="I201" s="231"/>
      <c r="J201" s="231"/>
      <c r="K201" s="236"/>
      <c r="L201" s="231"/>
      <c r="M201" s="231"/>
      <c r="N201" s="231"/>
      <c r="O201" s="236"/>
      <c r="P201" s="231"/>
      <c r="Q201" s="231"/>
      <c r="R201" s="231"/>
      <c r="S201" s="236"/>
      <c r="T201" s="231"/>
      <c r="U201" s="231"/>
      <c r="V201" s="231"/>
      <c r="W201" s="236"/>
      <c r="X201" s="231"/>
      <c r="Y201" s="231"/>
      <c r="Z201" s="231"/>
      <c r="AA201" s="236"/>
      <c r="AB201" s="231"/>
      <c r="AC201" s="231"/>
      <c r="AD201" s="231"/>
      <c r="AE201" s="236"/>
      <c r="AF201" s="239"/>
      <c r="AG201" s="239"/>
      <c r="AH201" s="239"/>
      <c r="AI201" s="239"/>
      <c r="AJ201" s="239"/>
      <c r="AK201" s="239"/>
    </row>
    <row r="202" spans="8:37">
      <c r="H202" s="231"/>
      <c r="I202" s="231"/>
      <c r="J202" s="231"/>
      <c r="K202" s="236"/>
      <c r="L202" s="231"/>
      <c r="M202" s="231"/>
      <c r="N202" s="231"/>
      <c r="O202" s="236"/>
      <c r="P202" s="231"/>
      <c r="Q202" s="231"/>
      <c r="R202" s="231"/>
      <c r="S202" s="236"/>
      <c r="T202" s="231"/>
      <c r="U202" s="231"/>
      <c r="V202" s="231"/>
      <c r="W202" s="236"/>
      <c r="X202" s="231"/>
      <c r="Y202" s="231"/>
      <c r="Z202" s="231"/>
      <c r="AA202" s="236"/>
      <c r="AB202" s="231"/>
      <c r="AC202" s="231"/>
      <c r="AD202" s="231"/>
      <c r="AE202" s="236"/>
      <c r="AF202" s="239"/>
      <c r="AG202" s="239"/>
      <c r="AH202" s="239"/>
      <c r="AI202" s="239"/>
      <c r="AJ202" s="239"/>
      <c r="AK202" s="239"/>
    </row>
    <row r="203" spans="8:37">
      <c r="H203" s="231"/>
      <c r="I203" s="231"/>
      <c r="J203" s="231"/>
      <c r="K203" s="236"/>
      <c r="L203" s="231"/>
      <c r="M203" s="231"/>
      <c r="N203" s="231"/>
      <c r="O203" s="236"/>
      <c r="P203" s="231"/>
      <c r="Q203" s="231"/>
      <c r="R203" s="231"/>
      <c r="S203" s="236"/>
      <c r="T203" s="231"/>
      <c r="U203" s="231"/>
      <c r="V203" s="231"/>
      <c r="W203" s="236"/>
      <c r="X203" s="231"/>
      <c r="Y203" s="231"/>
      <c r="Z203" s="231"/>
      <c r="AA203" s="236"/>
      <c r="AB203" s="231"/>
      <c r="AC203" s="231"/>
      <c r="AD203" s="231"/>
      <c r="AE203" s="236"/>
      <c r="AF203" s="239"/>
      <c r="AG203" s="239"/>
      <c r="AH203" s="239"/>
      <c r="AI203" s="239"/>
      <c r="AJ203" s="239"/>
      <c r="AK203" s="239"/>
    </row>
    <row r="204" spans="8:37">
      <c r="H204" s="231"/>
      <c r="I204" s="231"/>
      <c r="J204" s="231"/>
      <c r="K204" s="236"/>
      <c r="L204" s="231"/>
      <c r="M204" s="231"/>
      <c r="N204" s="231"/>
      <c r="O204" s="236"/>
      <c r="P204" s="231"/>
      <c r="Q204" s="231"/>
      <c r="R204" s="231"/>
      <c r="S204" s="236"/>
      <c r="T204" s="231"/>
      <c r="U204" s="231"/>
      <c r="V204" s="231"/>
      <c r="W204" s="236"/>
      <c r="X204" s="231"/>
      <c r="Y204" s="231"/>
      <c r="Z204" s="231"/>
      <c r="AA204" s="236"/>
      <c r="AB204" s="231"/>
      <c r="AC204" s="231"/>
      <c r="AD204" s="231"/>
      <c r="AE204" s="236"/>
      <c r="AF204" s="239"/>
      <c r="AG204" s="239"/>
      <c r="AH204" s="239"/>
      <c r="AI204" s="239"/>
      <c r="AJ204" s="239"/>
      <c r="AK204" s="239"/>
    </row>
    <row r="205" spans="8:37">
      <c r="H205" s="231"/>
      <c r="I205" s="231"/>
      <c r="J205" s="231"/>
      <c r="K205" s="236"/>
      <c r="L205" s="231"/>
      <c r="M205" s="231"/>
      <c r="N205" s="231"/>
      <c r="O205" s="236"/>
      <c r="P205" s="231"/>
      <c r="Q205" s="231"/>
      <c r="R205" s="231"/>
      <c r="S205" s="236"/>
      <c r="T205" s="231"/>
      <c r="U205" s="231"/>
      <c r="V205" s="231"/>
      <c r="W205" s="236"/>
      <c r="X205" s="231"/>
      <c r="Y205" s="231"/>
      <c r="Z205" s="231"/>
      <c r="AA205" s="236"/>
      <c r="AB205" s="231"/>
      <c r="AC205" s="231"/>
      <c r="AD205" s="231"/>
      <c r="AE205" s="236"/>
      <c r="AF205" s="239"/>
      <c r="AG205" s="239"/>
      <c r="AH205" s="239"/>
      <c r="AI205" s="239"/>
      <c r="AJ205" s="239"/>
      <c r="AK205" s="239"/>
    </row>
    <row r="206" spans="8:37">
      <c r="H206" s="231"/>
      <c r="I206" s="231"/>
      <c r="J206" s="231"/>
      <c r="K206" s="236"/>
      <c r="L206" s="231"/>
      <c r="M206" s="231"/>
      <c r="N206" s="231"/>
      <c r="O206" s="236"/>
      <c r="P206" s="231"/>
      <c r="Q206" s="231"/>
      <c r="R206" s="231"/>
      <c r="S206" s="236"/>
      <c r="T206" s="231"/>
      <c r="U206" s="231"/>
      <c r="V206" s="231"/>
      <c r="W206" s="236"/>
      <c r="X206" s="231"/>
      <c r="Y206" s="231"/>
      <c r="Z206" s="231"/>
      <c r="AA206" s="236"/>
      <c r="AB206" s="231"/>
      <c r="AC206" s="231"/>
      <c r="AD206" s="231"/>
      <c r="AE206" s="236"/>
      <c r="AF206" s="239"/>
      <c r="AG206" s="239"/>
      <c r="AH206" s="239"/>
      <c r="AI206" s="239"/>
      <c r="AJ206" s="239"/>
      <c r="AK206" s="239"/>
    </row>
    <row r="207" spans="8:37">
      <c r="H207" s="231"/>
      <c r="I207" s="231"/>
      <c r="J207" s="231"/>
      <c r="K207" s="236"/>
      <c r="L207" s="231"/>
      <c r="M207" s="231"/>
      <c r="N207" s="231"/>
      <c r="O207" s="236"/>
      <c r="P207" s="231"/>
      <c r="Q207" s="231"/>
      <c r="R207" s="231"/>
      <c r="S207" s="236"/>
      <c r="T207" s="231"/>
      <c r="U207" s="231"/>
      <c r="V207" s="231"/>
      <c r="W207" s="236"/>
      <c r="X207" s="231"/>
      <c r="Y207" s="231"/>
      <c r="Z207" s="231"/>
      <c r="AA207" s="236"/>
      <c r="AB207" s="231"/>
      <c r="AC207" s="231"/>
      <c r="AD207" s="231"/>
      <c r="AE207" s="236"/>
      <c r="AF207" s="239"/>
      <c r="AG207" s="239"/>
      <c r="AH207" s="239"/>
      <c r="AI207" s="239"/>
      <c r="AJ207" s="239"/>
      <c r="AK207" s="239"/>
    </row>
    <row r="208" spans="8:37">
      <c r="H208" s="231"/>
      <c r="I208" s="231"/>
      <c r="J208" s="231"/>
      <c r="K208" s="236"/>
      <c r="L208" s="231"/>
      <c r="M208" s="231"/>
      <c r="N208" s="231"/>
      <c r="O208" s="236"/>
      <c r="P208" s="231"/>
      <c r="Q208" s="231"/>
      <c r="R208" s="231"/>
      <c r="S208" s="236"/>
      <c r="T208" s="231"/>
      <c r="U208" s="231"/>
      <c r="V208" s="231"/>
      <c r="W208" s="236"/>
      <c r="X208" s="231"/>
      <c r="Y208" s="231"/>
      <c r="Z208" s="231"/>
      <c r="AA208" s="236"/>
      <c r="AB208" s="231"/>
      <c r="AC208" s="231"/>
      <c r="AD208" s="231"/>
      <c r="AE208" s="236"/>
      <c r="AF208" s="239"/>
      <c r="AG208" s="239"/>
      <c r="AH208" s="239"/>
      <c r="AI208" s="239"/>
      <c r="AJ208" s="239"/>
      <c r="AK208" s="239"/>
    </row>
    <row r="209" spans="8:37">
      <c r="H209" s="231"/>
      <c r="I209" s="231"/>
      <c r="J209" s="231"/>
      <c r="K209" s="236"/>
      <c r="L209" s="231"/>
      <c r="M209" s="231"/>
      <c r="N209" s="231"/>
      <c r="O209" s="236"/>
      <c r="P209" s="231"/>
      <c r="Q209" s="231"/>
      <c r="R209" s="231"/>
      <c r="S209" s="236"/>
      <c r="T209" s="231"/>
      <c r="U209" s="231"/>
      <c r="V209" s="231"/>
      <c r="W209" s="236"/>
      <c r="X209" s="231"/>
      <c r="Y209" s="231"/>
      <c r="Z209" s="231"/>
      <c r="AA209" s="236"/>
      <c r="AB209" s="231"/>
      <c r="AC209" s="231"/>
      <c r="AD209" s="231"/>
      <c r="AE209" s="236"/>
      <c r="AF209" s="239"/>
      <c r="AG209" s="239"/>
      <c r="AH209" s="239"/>
      <c r="AI209" s="239"/>
      <c r="AJ209" s="239"/>
      <c r="AK209" s="239"/>
    </row>
    <row r="210" spans="8:37">
      <c r="H210" s="231"/>
      <c r="I210" s="231"/>
      <c r="J210" s="231"/>
      <c r="K210" s="236"/>
      <c r="L210" s="231"/>
      <c r="M210" s="231"/>
      <c r="N210" s="231"/>
      <c r="O210" s="236"/>
      <c r="P210" s="231"/>
      <c r="Q210" s="231"/>
      <c r="R210" s="231"/>
      <c r="S210" s="236"/>
      <c r="T210" s="231"/>
      <c r="U210" s="231"/>
      <c r="V210" s="231"/>
      <c r="W210" s="236"/>
      <c r="X210" s="231"/>
      <c r="Y210" s="231"/>
      <c r="Z210" s="231"/>
      <c r="AA210" s="236"/>
      <c r="AB210" s="231"/>
      <c r="AC210" s="231"/>
      <c r="AD210" s="231"/>
      <c r="AE210" s="236"/>
      <c r="AF210" s="239"/>
      <c r="AG210" s="239"/>
      <c r="AH210" s="239"/>
      <c r="AI210" s="239"/>
      <c r="AJ210" s="239"/>
      <c r="AK210" s="239"/>
    </row>
    <row r="211" spans="8:37">
      <c r="H211" s="231"/>
      <c r="I211" s="231"/>
      <c r="J211" s="231"/>
      <c r="K211" s="236"/>
      <c r="L211" s="231"/>
      <c r="M211" s="231"/>
      <c r="N211" s="231"/>
      <c r="O211" s="236"/>
      <c r="P211" s="231"/>
      <c r="Q211" s="231"/>
      <c r="R211" s="231"/>
      <c r="S211" s="236"/>
      <c r="T211" s="231"/>
      <c r="U211" s="231"/>
      <c r="V211" s="231"/>
      <c r="W211" s="236"/>
      <c r="X211" s="231"/>
      <c r="Y211" s="231"/>
      <c r="Z211" s="231"/>
      <c r="AA211" s="236"/>
      <c r="AB211" s="231"/>
      <c r="AC211" s="231"/>
      <c r="AD211" s="231"/>
      <c r="AE211" s="236"/>
      <c r="AF211" s="239"/>
      <c r="AG211" s="239"/>
      <c r="AH211" s="239"/>
      <c r="AI211" s="239"/>
      <c r="AJ211" s="239"/>
      <c r="AK211" s="239"/>
    </row>
    <row r="212" spans="8:37">
      <c r="H212" s="231"/>
      <c r="I212" s="231"/>
      <c r="J212" s="231"/>
      <c r="K212" s="236"/>
      <c r="L212" s="231"/>
      <c r="M212" s="231"/>
      <c r="N212" s="231"/>
      <c r="O212" s="236"/>
      <c r="P212" s="231"/>
      <c r="Q212" s="231"/>
      <c r="R212" s="231"/>
      <c r="S212" s="236"/>
      <c r="T212" s="231"/>
      <c r="U212" s="231"/>
      <c r="V212" s="231"/>
      <c r="W212" s="236"/>
      <c r="X212" s="231"/>
      <c r="Y212" s="231"/>
      <c r="Z212" s="231"/>
      <c r="AA212" s="236"/>
      <c r="AB212" s="231"/>
      <c r="AC212" s="231"/>
      <c r="AD212" s="231"/>
      <c r="AE212" s="236"/>
      <c r="AF212" s="239"/>
      <c r="AG212" s="239"/>
      <c r="AH212" s="239"/>
      <c r="AI212" s="239"/>
      <c r="AJ212" s="239"/>
      <c r="AK212" s="239"/>
    </row>
    <row r="213" spans="8:37">
      <c r="H213" s="231"/>
      <c r="I213" s="231"/>
      <c r="J213" s="231"/>
      <c r="K213" s="236"/>
      <c r="L213" s="231"/>
      <c r="M213" s="231"/>
      <c r="N213" s="231"/>
      <c r="O213" s="236"/>
      <c r="P213" s="231"/>
      <c r="Q213" s="231"/>
      <c r="R213" s="231"/>
      <c r="S213" s="236"/>
      <c r="T213" s="231"/>
      <c r="U213" s="231"/>
      <c r="V213" s="231"/>
      <c r="W213" s="236"/>
      <c r="X213" s="231"/>
      <c r="Y213" s="231"/>
      <c r="Z213" s="231"/>
      <c r="AA213" s="236"/>
      <c r="AB213" s="231"/>
      <c r="AC213" s="231"/>
      <c r="AD213" s="231"/>
      <c r="AE213" s="236"/>
      <c r="AF213" s="239"/>
      <c r="AG213" s="239"/>
      <c r="AH213" s="239"/>
      <c r="AI213" s="239"/>
      <c r="AJ213" s="239"/>
      <c r="AK213" s="239"/>
    </row>
    <row r="214" spans="8:37">
      <c r="H214" s="231"/>
      <c r="I214" s="231"/>
      <c r="J214" s="231"/>
      <c r="K214" s="236"/>
      <c r="L214" s="231"/>
      <c r="M214" s="231"/>
      <c r="N214" s="231"/>
      <c r="O214" s="236"/>
      <c r="P214" s="231"/>
      <c r="Q214" s="231"/>
      <c r="R214" s="231"/>
      <c r="S214" s="236"/>
      <c r="T214" s="231"/>
      <c r="U214" s="231"/>
      <c r="V214" s="231"/>
      <c r="W214" s="236"/>
      <c r="X214" s="231"/>
      <c r="Y214" s="231"/>
      <c r="Z214" s="231"/>
      <c r="AA214" s="236"/>
      <c r="AB214" s="231"/>
      <c r="AC214" s="231"/>
      <c r="AD214" s="231"/>
      <c r="AE214" s="236"/>
      <c r="AF214" s="239"/>
      <c r="AG214" s="239"/>
      <c r="AH214" s="239"/>
      <c r="AI214" s="239"/>
      <c r="AJ214" s="239"/>
      <c r="AK214" s="239"/>
    </row>
    <row r="215" spans="8:37">
      <c r="H215" s="231"/>
      <c r="I215" s="231"/>
      <c r="J215" s="231"/>
      <c r="K215" s="236"/>
      <c r="L215" s="231"/>
      <c r="M215" s="231"/>
      <c r="N215" s="231"/>
      <c r="O215" s="236"/>
      <c r="P215" s="231"/>
      <c r="Q215" s="231"/>
      <c r="R215" s="231"/>
      <c r="S215" s="236"/>
      <c r="T215" s="231"/>
      <c r="U215" s="231"/>
      <c r="V215" s="231"/>
      <c r="W215" s="236"/>
      <c r="X215" s="231"/>
      <c r="Y215" s="231"/>
      <c r="Z215" s="231"/>
      <c r="AA215" s="236"/>
      <c r="AB215" s="231"/>
      <c r="AC215" s="231"/>
      <c r="AD215" s="231"/>
      <c r="AE215" s="236"/>
      <c r="AF215" s="239"/>
      <c r="AG215" s="239"/>
      <c r="AH215" s="239"/>
      <c r="AI215" s="239"/>
      <c r="AJ215" s="239"/>
      <c r="AK215" s="239"/>
    </row>
    <row r="216" spans="8:37">
      <c r="H216" s="231"/>
      <c r="I216" s="231"/>
      <c r="J216" s="231"/>
      <c r="K216" s="236"/>
      <c r="L216" s="231"/>
      <c r="M216" s="231"/>
      <c r="N216" s="231"/>
      <c r="O216" s="236"/>
      <c r="P216" s="231"/>
      <c r="Q216" s="231"/>
      <c r="R216" s="231"/>
      <c r="S216" s="236"/>
      <c r="T216" s="231"/>
      <c r="U216" s="231"/>
      <c r="V216" s="231"/>
      <c r="W216" s="236"/>
      <c r="X216" s="231"/>
      <c r="Y216" s="231"/>
      <c r="Z216" s="231"/>
      <c r="AA216" s="236"/>
      <c r="AB216" s="231"/>
      <c r="AC216" s="231"/>
      <c r="AD216" s="231"/>
      <c r="AE216" s="236"/>
      <c r="AF216" s="239"/>
      <c r="AG216" s="239"/>
      <c r="AH216" s="239"/>
      <c r="AI216" s="239"/>
      <c r="AJ216" s="239"/>
      <c r="AK216" s="239"/>
    </row>
    <row r="217" spans="8:37">
      <c r="H217" s="231"/>
      <c r="I217" s="231"/>
      <c r="J217" s="231"/>
      <c r="K217" s="236"/>
      <c r="L217" s="231"/>
      <c r="M217" s="231"/>
      <c r="N217" s="231"/>
      <c r="O217" s="236"/>
      <c r="P217" s="231"/>
      <c r="Q217" s="231"/>
      <c r="R217" s="231"/>
      <c r="S217" s="236"/>
      <c r="T217" s="231"/>
      <c r="U217" s="231"/>
      <c r="V217" s="231"/>
      <c r="W217" s="236"/>
      <c r="X217" s="231"/>
      <c r="Y217" s="231"/>
      <c r="Z217" s="231"/>
      <c r="AA217" s="236"/>
      <c r="AB217" s="231"/>
      <c r="AC217" s="231"/>
      <c r="AD217" s="231"/>
      <c r="AE217" s="236"/>
      <c r="AF217" s="239"/>
      <c r="AG217" s="239"/>
      <c r="AH217" s="239"/>
      <c r="AI217" s="239"/>
      <c r="AJ217" s="239"/>
      <c r="AK217" s="239"/>
    </row>
    <row r="218" spans="8:37">
      <c r="H218" s="231"/>
      <c r="I218" s="231"/>
      <c r="J218" s="231"/>
      <c r="K218" s="236"/>
      <c r="L218" s="231"/>
      <c r="M218" s="231"/>
      <c r="N218" s="231"/>
      <c r="O218" s="236"/>
      <c r="P218" s="231"/>
      <c r="Q218" s="231"/>
      <c r="R218" s="231"/>
      <c r="S218" s="236"/>
      <c r="T218" s="231"/>
      <c r="U218" s="231"/>
      <c r="V218" s="231"/>
      <c r="W218" s="236"/>
      <c r="X218" s="231"/>
      <c r="Y218" s="231"/>
      <c r="Z218" s="231"/>
      <c r="AA218" s="236"/>
      <c r="AB218" s="231"/>
      <c r="AC218" s="231"/>
      <c r="AD218" s="231"/>
      <c r="AE218" s="236"/>
      <c r="AF218" s="239"/>
      <c r="AG218" s="239"/>
      <c r="AH218" s="239"/>
      <c r="AI218" s="239"/>
      <c r="AJ218" s="239"/>
      <c r="AK218" s="239"/>
    </row>
    <row r="219" spans="8:37">
      <c r="H219" s="231"/>
      <c r="I219" s="231"/>
      <c r="J219" s="231"/>
      <c r="K219" s="236"/>
      <c r="L219" s="231"/>
      <c r="M219" s="231"/>
      <c r="N219" s="231"/>
      <c r="O219" s="236"/>
      <c r="P219" s="231"/>
      <c r="Q219" s="231"/>
      <c r="R219" s="231"/>
      <c r="S219" s="236"/>
      <c r="T219" s="231"/>
      <c r="U219" s="231"/>
      <c r="V219" s="231"/>
      <c r="W219" s="236"/>
      <c r="X219" s="231"/>
      <c r="Y219" s="231"/>
      <c r="Z219" s="231"/>
      <c r="AA219" s="236"/>
      <c r="AB219" s="231"/>
      <c r="AC219" s="231"/>
      <c r="AD219" s="231"/>
      <c r="AE219" s="236"/>
      <c r="AF219" s="239"/>
      <c r="AG219" s="239"/>
      <c r="AH219" s="239"/>
      <c r="AI219" s="239"/>
      <c r="AJ219" s="239"/>
      <c r="AK219" s="239"/>
    </row>
    <row r="220" spans="8:37">
      <c r="H220" s="231"/>
      <c r="I220" s="231"/>
      <c r="J220" s="231"/>
      <c r="K220" s="236"/>
      <c r="L220" s="231"/>
      <c r="M220" s="231"/>
      <c r="N220" s="231"/>
      <c r="O220" s="236"/>
      <c r="P220" s="231"/>
      <c r="Q220" s="231"/>
      <c r="R220" s="231"/>
      <c r="S220" s="236"/>
      <c r="T220" s="231"/>
      <c r="U220" s="231"/>
      <c r="V220" s="231"/>
      <c r="W220" s="236"/>
      <c r="X220" s="231"/>
      <c r="Y220" s="231"/>
      <c r="Z220" s="231"/>
      <c r="AA220" s="236"/>
      <c r="AB220" s="231"/>
      <c r="AC220" s="231"/>
      <c r="AD220" s="231"/>
      <c r="AE220" s="236"/>
      <c r="AF220" s="239"/>
      <c r="AG220" s="239"/>
      <c r="AH220" s="239"/>
      <c r="AI220" s="239"/>
      <c r="AJ220" s="239"/>
      <c r="AK220" s="239"/>
    </row>
    <row r="221" spans="8:37">
      <c r="H221" s="231"/>
      <c r="I221" s="231"/>
      <c r="J221" s="231"/>
      <c r="K221" s="236"/>
      <c r="L221" s="231"/>
      <c r="M221" s="231"/>
      <c r="N221" s="231"/>
      <c r="O221" s="236"/>
      <c r="P221" s="231"/>
      <c r="Q221" s="231"/>
      <c r="R221" s="231"/>
      <c r="S221" s="236"/>
      <c r="T221" s="231"/>
      <c r="U221" s="231"/>
      <c r="V221" s="231"/>
      <c r="W221" s="236"/>
      <c r="X221" s="231"/>
      <c r="Y221" s="231"/>
      <c r="Z221" s="231"/>
      <c r="AA221" s="236"/>
      <c r="AB221" s="231"/>
      <c r="AC221" s="231"/>
      <c r="AD221" s="231"/>
      <c r="AE221" s="236"/>
      <c r="AF221" s="239"/>
      <c r="AG221" s="239"/>
      <c r="AH221" s="239"/>
      <c r="AI221" s="239"/>
      <c r="AJ221" s="239"/>
      <c r="AK221" s="239"/>
    </row>
    <row r="222" spans="8:37">
      <c r="H222" s="231"/>
      <c r="I222" s="231"/>
      <c r="J222" s="231"/>
      <c r="K222" s="236"/>
      <c r="L222" s="231"/>
      <c r="M222" s="231"/>
      <c r="N222" s="231"/>
      <c r="O222" s="236"/>
      <c r="P222" s="231"/>
      <c r="Q222" s="231"/>
      <c r="R222" s="231"/>
      <c r="S222" s="236"/>
      <c r="T222" s="231"/>
      <c r="U222" s="231"/>
      <c r="V222" s="231"/>
      <c r="W222" s="236"/>
      <c r="X222" s="231"/>
      <c r="Y222" s="231"/>
      <c r="Z222" s="231"/>
      <c r="AA222" s="236"/>
      <c r="AB222" s="231"/>
      <c r="AC222" s="231"/>
      <c r="AD222" s="231"/>
      <c r="AE222" s="236"/>
      <c r="AF222" s="239"/>
      <c r="AG222" s="239"/>
      <c r="AH222" s="239"/>
      <c r="AI222" s="239"/>
      <c r="AJ222" s="239"/>
      <c r="AK222" s="239"/>
    </row>
    <row r="223" spans="8:37">
      <c r="H223" s="231"/>
      <c r="I223" s="231"/>
      <c r="J223" s="231"/>
      <c r="K223" s="236"/>
      <c r="L223" s="231"/>
      <c r="M223" s="231"/>
      <c r="N223" s="231"/>
      <c r="O223" s="236"/>
      <c r="P223" s="231"/>
      <c r="Q223" s="231"/>
      <c r="R223" s="231"/>
      <c r="S223" s="236"/>
      <c r="T223" s="231"/>
      <c r="U223" s="231"/>
      <c r="V223" s="231"/>
      <c r="W223" s="236"/>
      <c r="X223" s="231"/>
      <c r="Y223" s="231"/>
      <c r="Z223" s="231"/>
      <c r="AA223" s="236"/>
      <c r="AB223" s="231"/>
      <c r="AC223" s="231"/>
      <c r="AD223" s="231"/>
      <c r="AE223" s="236"/>
      <c r="AF223" s="239"/>
      <c r="AG223" s="239"/>
      <c r="AH223" s="239"/>
      <c r="AI223" s="239"/>
      <c r="AJ223" s="239"/>
      <c r="AK223" s="239"/>
    </row>
    <row r="224" spans="8:37">
      <c r="H224" s="231"/>
      <c r="I224" s="231"/>
      <c r="J224" s="231"/>
      <c r="K224" s="236"/>
      <c r="L224" s="231"/>
      <c r="M224" s="231"/>
      <c r="N224" s="231"/>
      <c r="O224" s="236"/>
      <c r="P224" s="231"/>
      <c r="Q224" s="231"/>
      <c r="R224" s="231"/>
      <c r="S224" s="236"/>
      <c r="T224" s="231"/>
      <c r="U224" s="231"/>
      <c r="V224" s="231"/>
      <c r="W224" s="236"/>
      <c r="X224" s="231"/>
      <c r="Y224" s="231"/>
      <c r="Z224" s="231"/>
      <c r="AA224" s="236"/>
      <c r="AB224" s="231"/>
      <c r="AC224" s="231"/>
      <c r="AD224" s="231"/>
      <c r="AE224" s="236"/>
      <c r="AF224" s="239"/>
      <c r="AG224" s="239"/>
      <c r="AH224" s="239"/>
      <c r="AI224" s="239"/>
      <c r="AJ224" s="239"/>
      <c r="AK224" s="239"/>
    </row>
    <row r="225" spans="8:37">
      <c r="H225" s="231"/>
      <c r="I225" s="231"/>
      <c r="J225" s="231"/>
      <c r="K225" s="236"/>
      <c r="L225" s="231"/>
      <c r="M225" s="231"/>
      <c r="N225" s="231"/>
      <c r="O225" s="236"/>
      <c r="P225" s="231"/>
      <c r="Q225" s="231"/>
      <c r="R225" s="231"/>
      <c r="S225" s="236"/>
      <c r="T225" s="231"/>
      <c r="U225" s="231"/>
      <c r="V225" s="231"/>
      <c r="W225" s="236"/>
      <c r="X225" s="231"/>
      <c r="Y225" s="231"/>
      <c r="Z225" s="231"/>
      <c r="AA225" s="236"/>
      <c r="AB225" s="231"/>
      <c r="AC225" s="231"/>
      <c r="AD225" s="231"/>
      <c r="AE225" s="236"/>
      <c r="AF225" s="239"/>
      <c r="AG225" s="239"/>
      <c r="AH225" s="239"/>
      <c r="AI225" s="239"/>
      <c r="AJ225" s="239"/>
      <c r="AK225" s="239"/>
    </row>
    <row r="226" spans="8:37">
      <c r="H226" s="231"/>
      <c r="I226" s="231"/>
      <c r="J226" s="231"/>
      <c r="K226" s="236"/>
      <c r="L226" s="231"/>
      <c r="M226" s="231"/>
      <c r="N226" s="231"/>
      <c r="O226" s="236"/>
      <c r="P226" s="231"/>
      <c r="Q226" s="231"/>
      <c r="R226" s="231"/>
      <c r="S226" s="236"/>
      <c r="T226" s="231"/>
      <c r="U226" s="231"/>
      <c r="V226" s="231"/>
      <c r="W226" s="236"/>
      <c r="X226" s="231"/>
      <c r="Y226" s="231"/>
      <c r="Z226" s="231"/>
      <c r="AA226" s="236"/>
      <c r="AB226" s="231"/>
      <c r="AC226" s="231"/>
      <c r="AD226" s="231"/>
      <c r="AE226" s="236"/>
      <c r="AF226" s="239"/>
      <c r="AG226" s="239"/>
      <c r="AH226" s="239"/>
      <c r="AI226" s="239"/>
      <c r="AJ226" s="239"/>
      <c r="AK226" s="239"/>
    </row>
    <row r="227" spans="8:37">
      <c r="H227" s="231"/>
      <c r="I227" s="231"/>
      <c r="J227" s="231"/>
      <c r="K227" s="236"/>
      <c r="L227" s="231"/>
      <c r="M227" s="231"/>
      <c r="N227" s="231"/>
      <c r="O227" s="236"/>
      <c r="P227" s="231"/>
      <c r="Q227" s="231"/>
      <c r="R227" s="231"/>
      <c r="S227" s="236"/>
      <c r="T227" s="231"/>
      <c r="U227" s="231"/>
      <c r="V227" s="231"/>
      <c r="W227" s="236"/>
      <c r="X227" s="231"/>
      <c r="Y227" s="231"/>
      <c r="Z227" s="231"/>
      <c r="AA227" s="236"/>
      <c r="AB227" s="231"/>
      <c r="AC227" s="231"/>
      <c r="AD227" s="231"/>
      <c r="AE227" s="236"/>
      <c r="AF227" s="239"/>
      <c r="AG227" s="239"/>
      <c r="AH227" s="239"/>
      <c r="AI227" s="239"/>
      <c r="AJ227" s="239"/>
      <c r="AK227" s="239"/>
    </row>
    <row r="228" spans="8:37">
      <c r="H228" s="231"/>
      <c r="I228" s="231"/>
      <c r="J228" s="231"/>
      <c r="K228" s="236"/>
      <c r="L228" s="231"/>
      <c r="M228" s="231"/>
      <c r="N228" s="231"/>
      <c r="O228" s="236"/>
      <c r="P228" s="231"/>
      <c r="Q228" s="231"/>
      <c r="R228" s="231"/>
      <c r="S228" s="236"/>
      <c r="T228" s="231"/>
      <c r="U228" s="231"/>
      <c r="V228" s="231"/>
      <c r="W228" s="236"/>
      <c r="X228" s="231"/>
      <c r="Y228" s="231"/>
      <c r="Z228" s="231"/>
      <c r="AA228" s="236"/>
      <c r="AB228" s="231"/>
      <c r="AC228" s="231"/>
      <c r="AD228" s="231"/>
      <c r="AE228" s="236"/>
      <c r="AF228" s="239"/>
      <c r="AG228" s="239"/>
      <c r="AH228" s="239"/>
      <c r="AI228" s="239"/>
      <c r="AJ228" s="239"/>
      <c r="AK228" s="239"/>
    </row>
    <row r="229" spans="8:37">
      <c r="H229" s="231"/>
      <c r="I229" s="231"/>
      <c r="J229" s="231"/>
      <c r="K229" s="236"/>
      <c r="L229" s="231"/>
      <c r="M229" s="231"/>
      <c r="N229" s="231"/>
      <c r="O229" s="236"/>
      <c r="P229" s="231"/>
      <c r="Q229" s="231"/>
      <c r="R229" s="231"/>
      <c r="S229" s="236"/>
      <c r="T229" s="231"/>
      <c r="U229" s="231"/>
      <c r="V229" s="231"/>
      <c r="W229" s="236"/>
      <c r="X229" s="231"/>
      <c r="Y229" s="231"/>
      <c r="Z229" s="231"/>
      <c r="AA229" s="236"/>
      <c r="AB229" s="231"/>
      <c r="AC229" s="231"/>
      <c r="AD229" s="231"/>
      <c r="AE229" s="236"/>
      <c r="AF229" s="239"/>
      <c r="AG229" s="239"/>
      <c r="AH229" s="239"/>
      <c r="AI229" s="239"/>
      <c r="AJ229" s="239"/>
      <c r="AK229" s="239"/>
    </row>
    <row r="230" spans="8:37">
      <c r="H230" s="231"/>
      <c r="I230" s="231"/>
      <c r="J230" s="231"/>
      <c r="K230" s="236"/>
      <c r="L230" s="231"/>
      <c r="M230" s="231"/>
      <c r="N230" s="231"/>
      <c r="O230" s="236"/>
      <c r="P230" s="231"/>
      <c r="Q230" s="231"/>
      <c r="R230" s="231"/>
      <c r="S230" s="236"/>
      <c r="T230" s="231"/>
      <c r="U230" s="231"/>
      <c r="V230" s="231"/>
      <c r="W230" s="236"/>
      <c r="X230" s="231"/>
      <c r="Y230" s="231"/>
      <c r="Z230" s="231"/>
      <c r="AA230" s="236"/>
      <c r="AB230" s="231"/>
      <c r="AC230" s="231"/>
      <c r="AD230" s="231"/>
      <c r="AE230" s="236"/>
      <c r="AF230" s="239"/>
      <c r="AG230" s="239"/>
      <c r="AH230" s="239"/>
      <c r="AI230" s="239"/>
      <c r="AJ230" s="239"/>
      <c r="AK230" s="239"/>
    </row>
    <row r="231" spans="8:37">
      <c r="H231" s="231"/>
      <c r="I231" s="231"/>
      <c r="J231" s="231"/>
      <c r="K231" s="236"/>
      <c r="L231" s="231"/>
      <c r="M231" s="231"/>
      <c r="N231" s="231"/>
      <c r="O231" s="236"/>
      <c r="P231" s="231"/>
      <c r="Q231" s="231"/>
      <c r="R231" s="231"/>
      <c r="S231" s="236"/>
      <c r="T231" s="231"/>
      <c r="U231" s="231"/>
      <c r="V231" s="231"/>
      <c r="W231" s="236"/>
      <c r="X231" s="231"/>
      <c r="Y231" s="231"/>
      <c r="Z231" s="231"/>
      <c r="AA231" s="236"/>
      <c r="AB231" s="231"/>
      <c r="AC231" s="231"/>
      <c r="AD231" s="231"/>
      <c r="AE231" s="236"/>
      <c r="AF231" s="239"/>
      <c r="AG231" s="239"/>
      <c r="AH231" s="239"/>
      <c r="AI231" s="239"/>
      <c r="AJ231" s="239"/>
      <c r="AK231" s="239"/>
    </row>
    <row r="232" spans="8:37">
      <c r="H232" s="231"/>
      <c r="I232" s="231"/>
      <c r="J232" s="231"/>
      <c r="K232" s="236"/>
      <c r="L232" s="231"/>
      <c r="M232" s="231"/>
      <c r="N232" s="231"/>
      <c r="O232" s="236"/>
      <c r="P232" s="231"/>
      <c r="Q232" s="231"/>
      <c r="R232" s="231"/>
      <c r="S232" s="236"/>
      <c r="T232" s="231"/>
      <c r="U232" s="231"/>
      <c r="V232" s="231"/>
      <c r="W232" s="236"/>
      <c r="X232" s="231"/>
      <c r="Y232" s="231"/>
      <c r="Z232" s="231"/>
      <c r="AA232" s="236"/>
      <c r="AB232" s="231"/>
      <c r="AC232" s="231"/>
      <c r="AD232" s="231"/>
      <c r="AE232" s="236"/>
      <c r="AF232" s="239"/>
      <c r="AG232" s="239"/>
      <c r="AH232" s="239"/>
      <c r="AI232" s="239"/>
      <c r="AJ232" s="239"/>
      <c r="AK232" s="239"/>
    </row>
    <row r="233" spans="8:37">
      <c r="H233" s="231"/>
      <c r="I233" s="231"/>
      <c r="J233" s="231"/>
      <c r="K233" s="236"/>
      <c r="L233" s="231"/>
      <c r="M233" s="231"/>
      <c r="N233" s="231"/>
      <c r="O233" s="236"/>
      <c r="P233" s="231"/>
      <c r="Q233" s="231"/>
      <c r="R233" s="231"/>
      <c r="S233" s="236"/>
      <c r="T233" s="231"/>
      <c r="U233" s="231"/>
      <c r="V233" s="231"/>
      <c r="W233" s="236"/>
      <c r="X233" s="231"/>
      <c r="Y233" s="231"/>
      <c r="Z233" s="231"/>
      <c r="AA233" s="236"/>
      <c r="AB233" s="231"/>
      <c r="AC233" s="231"/>
      <c r="AD233" s="231"/>
      <c r="AE233" s="236"/>
      <c r="AF233" s="239"/>
      <c r="AG233" s="239"/>
      <c r="AH233" s="239"/>
      <c r="AI233" s="239"/>
      <c r="AJ233" s="239"/>
      <c r="AK233" s="239"/>
    </row>
    <row r="234" spans="8:37">
      <c r="H234" s="231"/>
      <c r="I234" s="231"/>
      <c r="J234" s="231"/>
      <c r="K234" s="236"/>
      <c r="L234" s="231"/>
      <c r="M234" s="231"/>
      <c r="N234" s="231"/>
      <c r="O234" s="236"/>
      <c r="P234" s="231"/>
      <c r="Q234" s="231"/>
      <c r="R234" s="231"/>
      <c r="S234" s="236"/>
      <c r="T234" s="231"/>
      <c r="U234" s="231"/>
      <c r="V234" s="231"/>
      <c r="W234" s="236"/>
      <c r="X234" s="231"/>
      <c r="Y234" s="231"/>
      <c r="Z234" s="231"/>
      <c r="AA234" s="236"/>
      <c r="AB234" s="231"/>
      <c r="AC234" s="231"/>
      <c r="AD234" s="231"/>
      <c r="AE234" s="236"/>
      <c r="AF234" s="239"/>
      <c r="AG234" s="239"/>
      <c r="AH234" s="239"/>
      <c r="AI234" s="239"/>
      <c r="AJ234" s="239"/>
      <c r="AK234" s="239"/>
    </row>
    <row r="235" spans="8:37">
      <c r="H235" s="231"/>
      <c r="I235" s="231"/>
      <c r="J235" s="231"/>
      <c r="K235" s="236"/>
      <c r="L235" s="231"/>
      <c r="M235" s="231"/>
      <c r="N235" s="231"/>
      <c r="O235" s="236"/>
      <c r="P235" s="231"/>
      <c r="Q235" s="231"/>
      <c r="R235" s="231"/>
      <c r="S235" s="236"/>
      <c r="T235" s="231"/>
      <c r="U235" s="231"/>
      <c r="V235" s="231"/>
      <c r="W235" s="236"/>
      <c r="X235" s="231"/>
      <c r="Y235" s="231"/>
      <c r="Z235" s="231"/>
      <c r="AA235" s="236"/>
      <c r="AB235" s="231"/>
      <c r="AC235" s="231"/>
      <c r="AD235" s="231"/>
      <c r="AE235" s="236"/>
      <c r="AF235" s="239"/>
      <c r="AG235" s="239"/>
      <c r="AH235" s="239"/>
      <c r="AI235" s="239"/>
      <c r="AJ235" s="239"/>
      <c r="AK235" s="239"/>
    </row>
    <row r="236" spans="8:37">
      <c r="H236" s="231"/>
      <c r="I236" s="231"/>
      <c r="J236" s="231"/>
      <c r="K236" s="236"/>
      <c r="L236" s="231"/>
      <c r="M236" s="231"/>
      <c r="N236" s="231"/>
      <c r="O236" s="236"/>
      <c r="P236" s="231"/>
      <c r="Q236" s="231"/>
      <c r="R236" s="231"/>
      <c r="S236" s="236"/>
      <c r="T236" s="231"/>
      <c r="U236" s="231"/>
      <c r="V236" s="231"/>
      <c r="W236" s="236"/>
      <c r="X236" s="231"/>
      <c r="Y236" s="231"/>
      <c r="Z236" s="231"/>
      <c r="AA236" s="236"/>
      <c r="AB236" s="231"/>
      <c r="AC236" s="231"/>
      <c r="AD236" s="231"/>
      <c r="AE236" s="236"/>
      <c r="AF236" s="239"/>
      <c r="AG236" s="239"/>
      <c r="AH236" s="239"/>
      <c r="AI236" s="239"/>
      <c r="AJ236" s="239"/>
      <c r="AK236" s="239"/>
    </row>
    <row r="237" spans="8:37">
      <c r="H237" s="231"/>
      <c r="I237" s="231"/>
      <c r="J237" s="231"/>
      <c r="K237" s="236"/>
      <c r="L237" s="231"/>
      <c r="M237" s="231"/>
      <c r="N237" s="231"/>
      <c r="O237" s="236"/>
      <c r="P237" s="231"/>
      <c r="Q237" s="231"/>
      <c r="R237" s="231"/>
      <c r="S237" s="236"/>
      <c r="T237" s="231"/>
      <c r="U237" s="231"/>
      <c r="V237" s="231"/>
      <c r="W237" s="236"/>
      <c r="X237" s="231"/>
      <c r="Y237" s="231"/>
      <c r="Z237" s="231"/>
      <c r="AA237" s="236"/>
      <c r="AB237" s="231"/>
      <c r="AC237" s="231"/>
      <c r="AD237" s="231"/>
      <c r="AE237" s="236"/>
      <c r="AF237" s="239"/>
      <c r="AG237" s="239"/>
      <c r="AH237" s="239"/>
      <c r="AI237" s="239"/>
      <c r="AJ237" s="239"/>
      <c r="AK237" s="239"/>
    </row>
    <row r="238" spans="8:37">
      <c r="H238" s="231"/>
      <c r="I238" s="231"/>
      <c r="J238" s="231"/>
      <c r="K238" s="236"/>
      <c r="L238" s="231"/>
      <c r="M238" s="231"/>
      <c r="N238" s="231"/>
      <c r="O238" s="236"/>
      <c r="P238" s="231"/>
      <c r="Q238" s="231"/>
      <c r="R238" s="231"/>
      <c r="S238" s="236"/>
      <c r="T238" s="231"/>
      <c r="U238" s="231"/>
      <c r="V238" s="231"/>
      <c r="W238" s="236"/>
      <c r="X238" s="231"/>
      <c r="Y238" s="231"/>
      <c r="Z238" s="231"/>
      <c r="AA238" s="236"/>
      <c r="AB238" s="231"/>
      <c r="AC238" s="231"/>
      <c r="AD238" s="231"/>
      <c r="AE238" s="236"/>
      <c r="AF238" s="239"/>
      <c r="AG238" s="239"/>
      <c r="AH238" s="239"/>
      <c r="AI238" s="239"/>
      <c r="AJ238" s="239"/>
      <c r="AK238" s="239"/>
    </row>
    <row r="239" spans="8:37">
      <c r="H239" s="231"/>
      <c r="I239" s="231"/>
      <c r="J239" s="231"/>
      <c r="K239" s="236"/>
      <c r="L239" s="231"/>
      <c r="M239" s="231"/>
      <c r="N239" s="231"/>
      <c r="O239" s="236"/>
      <c r="P239" s="231"/>
      <c r="Q239" s="231"/>
      <c r="R239" s="231"/>
      <c r="S239" s="236"/>
      <c r="T239" s="231"/>
      <c r="U239" s="231"/>
      <c r="V239" s="231"/>
      <c r="W239" s="236"/>
      <c r="X239" s="231"/>
      <c r="Y239" s="231"/>
      <c r="Z239" s="231"/>
      <c r="AA239" s="236"/>
      <c r="AB239" s="231"/>
      <c r="AC239" s="231"/>
      <c r="AD239" s="231"/>
      <c r="AE239" s="236"/>
      <c r="AF239" s="239"/>
      <c r="AG239" s="239"/>
      <c r="AH239" s="239"/>
      <c r="AI239" s="239"/>
      <c r="AJ239" s="239"/>
      <c r="AK239" s="239"/>
    </row>
    <row r="240" spans="8:37">
      <c r="H240" s="231"/>
      <c r="I240" s="231"/>
      <c r="J240" s="231"/>
      <c r="K240" s="236"/>
      <c r="L240" s="231"/>
      <c r="M240" s="231"/>
      <c r="N240" s="231"/>
      <c r="O240" s="236"/>
      <c r="P240" s="231"/>
      <c r="Q240" s="231"/>
      <c r="R240" s="231"/>
      <c r="S240" s="236"/>
      <c r="T240" s="231"/>
      <c r="U240" s="231"/>
      <c r="V240" s="231"/>
      <c r="W240" s="236"/>
      <c r="X240" s="231"/>
      <c r="Y240" s="231"/>
      <c r="Z240" s="231"/>
      <c r="AA240" s="236"/>
      <c r="AB240" s="231"/>
      <c r="AC240" s="231"/>
      <c r="AD240" s="231"/>
      <c r="AE240" s="236"/>
      <c r="AF240" s="239"/>
      <c r="AG240" s="239"/>
      <c r="AH240" s="239"/>
      <c r="AI240" s="239"/>
      <c r="AJ240" s="239"/>
      <c r="AK240" s="239"/>
    </row>
    <row r="241" spans="8:37">
      <c r="H241" s="231"/>
      <c r="I241" s="231"/>
      <c r="J241" s="231"/>
      <c r="K241" s="236"/>
      <c r="L241" s="231"/>
      <c r="M241" s="231"/>
      <c r="N241" s="231"/>
      <c r="O241" s="236"/>
      <c r="P241" s="231"/>
      <c r="Q241" s="231"/>
      <c r="R241" s="231"/>
      <c r="S241" s="236"/>
      <c r="T241" s="231"/>
      <c r="U241" s="231"/>
      <c r="V241" s="231"/>
      <c r="W241" s="236"/>
      <c r="X241" s="231"/>
      <c r="Y241" s="231"/>
      <c r="Z241" s="231"/>
      <c r="AA241" s="236"/>
      <c r="AB241" s="231"/>
      <c r="AC241" s="231"/>
      <c r="AD241" s="231"/>
      <c r="AE241" s="236"/>
      <c r="AF241" s="239"/>
      <c r="AG241" s="239"/>
      <c r="AH241" s="239"/>
      <c r="AI241" s="239"/>
      <c r="AJ241" s="239"/>
      <c r="AK241" s="239"/>
    </row>
    <row r="242" spans="8:37">
      <c r="H242" s="231"/>
      <c r="I242" s="231"/>
      <c r="J242" s="231"/>
      <c r="K242" s="236"/>
      <c r="L242" s="231"/>
      <c r="M242" s="231"/>
      <c r="N242" s="231"/>
      <c r="O242" s="236"/>
      <c r="P242" s="231"/>
      <c r="Q242" s="231"/>
      <c r="R242" s="231"/>
      <c r="S242" s="236"/>
      <c r="T242" s="231"/>
      <c r="U242" s="231"/>
      <c r="V242" s="231"/>
      <c r="W242" s="236"/>
      <c r="X242" s="231"/>
      <c r="Y242" s="231"/>
      <c r="Z242" s="231"/>
      <c r="AA242" s="236"/>
      <c r="AB242" s="231"/>
      <c r="AC242" s="231"/>
      <c r="AD242" s="231"/>
      <c r="AE242" s="236"/>
      <c r="AF242" s="239"/>
      <c r="AG242" s="239"/>
      <c r="AH242" s="239"/>
      <c r="AI242" s="239"/>
      <c r="AJ242" s="239"/>
      <c r="AK242" s="239"/>
    </row>
    <row r="243" spans="8:37">
      <c r="H243" s="231"/>
      <c r="I243" s="231"/>
      <c r="J243" s="231"/>
      <c r="K243" s="236"/>
      <c r="L243" s="231"/>
      <c r="M243" s="231"/>
      <c r="N243" s="231"/>
      <c r="O243" s="236"/>
      <c r="P243" s="231"/>
      <c r="Q243" s="231"/>
      <c r="R243" s="231"/>
      <c r="S243" s="236"/>
      <c r="T243" s="231"/>
      <c r="U243" s="231"/>
      <c r="V243" s="231"/>
      <c r="W243" s="236"/>
      <c r="X243" s="231"/>
      <c r="Y243" s="231"/>
      <c r="Z243" s="231"/>
      <c r="AA243" s="236"/>
      <c r="AB243" s="231"/>
      <c r="AC243" s="231"/>
      <c r="AD243" s="231"/>
      <c r="AE243" s="236"/>
      <c r="AF243" s="239"/>
      <c r="AG243" s="239"/>
      <c r="AH243" s="239"/>
      <c r="AI243" s="239"/>
      <c r="AJ243" s="239"/>
      <c r="AK243" s="239"/>
    </row>
    <row r="244" spans="8:37">
      <c r="H244" s="231"/>
      <c r="I244" s="231"/>
      <c r="J244" s="231"/>
      <c r="K244" s="236"/>
      <c r="L244" s="231"/>
      <c r="M244" s="231"/>
      <c r="N244" s="231"/>
      <c r="O244" s="236"/>
      <c r="P244" s="231"/>
      <c r="Q244" s="231"/>
      <c r="R244" s="231"/>
      <c r="S244" s="236"/>
      <c r="T244" s="231"/>
      <c r="U244" s="231"/>
      <c r="V244" s="231"/>
      <c r="W244" s="236"/>
      <c r="X244" s="231"/>
      <c r="Y244" s="231"/>
      <c r="Z244" s="231"/>
      <c r="AA244" s="236"/>
      <c r="AB244" s="231"/>
      <c r="AC244" s="231"/>
      <c r="AD244" s="231"/>
      <c r="AE244" s="236"/>
      <c r="AF244" s="239"/>
      <c r="AG244" s="239"/>
      <c r="AH244" s="239"/>
      <c r="AI244" s="239"/>
      <c r="AJ244" s="239"/>
      <c r="AK244" s="239"/>
    </row>
    <row r="245" spans="8:37">
      <c r="H245" s="231"/>
      <c r="I245" s="231"/>
      <c r="J245" s="231"/>
      <c r="K245" s="236"/>
      <c r="L245" s="231"/>
      <c r="M245" s="231"/>
      <c r="N245" s="231"/>
      <c r="O245" s="236"/>
      <c r="P245" s="231"/>
      <c r="Q245" s="231"/>
      <c r="R245" s="231"/>
      <c r="S245" s="236"/>
      <c r="T245" s="231"/>
      <c r="U245" s="231"/>
      <c r="V245" s="231"/>
      <c r="W245" s="236"/>
      <c r="X245" s="231"/>
      <c r="Y245" s="231"/>
      <c r="Z245" s="231"/>
      <c r="AA245" s="236"/>
      <c r="AB245" s="231"/>
      <c r="AC245" s="231"/>
      <c r="AD245" s="231"/>
      <c r="AE245" s="236"/>
      <c r="AF245" s="239"/>
      <c r="AG245" s="239"/>
      <c r="AH245" s="239"/>
      <c r="AI245" s="239"/>
      <c r="AJ245" s="239"/>
      <c r="AK245" s="239"/>
    </row>
    <row r="246" spans="8:37">
      <c r="H246" s="231"/>
      <c r="I246" s="231"/>
      <c r="J246" s="231"/>
      <c r="K246" s="236"/>
      <c r="L246" s="231"/>
      <c r="M246" s="231"/>
      <c r="N246" s="231"/>
      <c r="O246" s="236"/>
      <c r="P246" s="231"/>
      <c r="Q246" s="231"/>
      <c r="R246" s="231"/>
      <c r="S246" s="236"/>
      <c r="T246" s="231"/>
      <c r="U246" s="231"/>
      <c r="V246" s="231"/>
      <c r="W246" s="236"/>
      <c r="X246" s="231"/>
      <c r="Y246" s="231"/>
      <c r="Z246" s="231"/>
      <c r="AA246" s="236"/>
      <c r="AB246" s="231"/>
      <c r="AC246" s="231"/>
      <c r="AD246" s="231"/>
      <c r="AE246" s="236"/>
      <c r="AF246" s="239"/>
      <c r="AG246" s="239"/>
      <c r="AH246" s="239"/>
      <c r="AI246" s="239"/>
      <c r="AJ246" s="239"/>
      <c r="AK246" s="239"/>
    </row>
    <row r="247" spans="8:37">
      <c r="H247" s="231"/>
      <c r="I247" s="231"/>
      <c r="J247" s="231"/>
      <c r="K247" s="236"/>
      <c r="L247" s="231"/>
      <c r="M247" s="231"/>
      <c r="N247" s="231"/>
      <c r="O247" s="236"/>
      <c r="P247" s="231"/>
      <c r="Q247" s="231"/>
      <c r="R247" s="231"/>
      <c r="S247" s="236"/>
      <c r="T247" s="231"/>
      <c r="U247" s="231"/>
      <c r="V247" s="231"/>
      <c r="W247" s="236"/>
      <c r="X247" s="231"/>
      <c r="Y247" s="231"/>
      <c r="Z247" s="231"/>
      <c r="AA247" s="236"/>
      <c r="AB247" s="231"/>
      <c r="AC247" s="231"/>
      <c r="AD247" s="231"/>
      <c r="AE247" s="236"/>
      <c r="AF247" s="239"/>
      <c r="AG247" s="239"/>
      <c r="AH247" s="239"/>
      <c r="AI247" s="239"/>
      <c r="AJ247" s="239"/>
      <c r="AK247" s="239"/>
    </row>
    <row r="248" spans="8:37">
      <c r="H248" s="231"/>
      <c r="I248" s="231"/>
      <c r="J248" s="231"/>
      <c r="K248" s="236"/>
      <c r="L248" s="231"/>
      <c r="M248" s="231"/>
      <c r="N248" s="231"/>
      <c r="O248" s="236"/>
      <c r="P248" s="231"/>
      <c r="Q248" s="231"/>
      <c r="R248" s="231"/>
      <c r="S248" s="236"/>
      <c r="T248" s="231"/>
      <c r="U248" s="231"/>
      <c r="V248" s="231"/>
      <c r="W248" s="236"/>
      <c r="X248" s="231"/>
      <c r="Y248" s="231"/>
      <c r="Z248" s="231"/>
      <c r="AA248" s="236"/>
      <c r="AB248" s="231"/>
      <c r="AC248" s="231"/>
      <c r="AD248" s="231"/>
      <c r="AE248" s="236"/>
      <c r="AF248" s="239"/>
      <c r="AG248" s="239"/>
      <c r="AH248" s="239"/>
      <c r="AI248" s="239"/>
      <c r="AJ248" s="239"/>
      <c r="AK248" s="239"/>
    </row>
    <row r="249" spans="8:37">
      <c r="H249" s="231"/>
      <c r="I249" s="231"/>
      <c r="J249" s="231"/>
      <c r="K249" s="236"/>
      <c r="L249" s="231"/>
      <c r="M249" s="231"/>
      <c r="N249" s="231"/>
      <c r="O249" s="236"/>
      <c r="P249" s="231"/>
      <c r="Q249" s="231"/>
      <c r="R249" s="231"/>
      <c r="S249" s="236"/>
      <c r="T249" s="231"/>
      <c r="U249" s="231"/>
      <c r="V249" s="231"/>
      <c r="W249" s="236"/>
      <c r="X249" s="231"/>
      <c r="Y249" s="231"/>
      <c r="Z249" s="231"/>
      <c r="AA249" s="236"/>
      <c r="AB249" s="231"/>
      <c r="AC249" s="231"/>
      <c r="AD249" s="231"/>
      <c r="AE249" s="236"/>
      <c r="AF249" s="239"/>
      <c r="AG249" s="239"/>
      <c r="AH249" s="239"/>
      <c r="AI249" s="239"/>
      <c r="AJ249" s="239"/>
      <c r="AK249" s="239"/>
    </row>
    <row r="250" spans="8:37">
      <c r="H250" s="231"/>
      <c r="I250" s="231"/>
      <c r="J250" s="231"/>
      <c r="K250" s="236"/>
      <c r="L250" s="231"/>
      <c r="M250" s="231"/>
      <c r="N250" s="231"/>
      <c r="O250" s="236"/>
      <c r="P250" s="231"/>
      <c r="Q250" s="231"/>
      <c r="R250" s="231"/>
      <c r="S250" s="236"/>
      <c r="T250" s="231"/>
      <c r="U250" s="231"/>
      <c r="V250" s="231"/>
      <c r="W250" s="236"/>
      <c r="X250" s="231"/>
      <c r="Y250" s="231"/>
      <c r="Z250" s="231"/>
      <c r="AA250" s="236"/>
      <c r="AB250" s="231"/>
      <c r="AC250" s="231"/>
      <c r="AD250" s="231"/>
      <c r="AE250" s="236"/>
      <c r="AF250" s="239"/>
      <c r="AG250" s="239"/>
      <c r="AH250" s="239"/>
      <c r="AI250" s="239"/>
      <c r="AJ250" s="239"/>
      <c r="AK250" s="239"/>
    </row>
    <row r="251" spans="8:37">
      <c r="H251" s="231"/>
      <c r="I251" s="231"/>
      <c r="J251" s="231"/>
      <c r="K251" s="236"/>
      <c r="L251" s="231"/>
      <c r="M251" s="231"/>
      <c r="N251" s="231"/>
      <c r="O251" s="236"/>
      <c r="P251" s="231"/>
      <c r="Q251" s="231"/>
      <c r="R251" s="231"/>
      <c r="S251" s="236"/>
      <c r="T251" s="231"/>
      <c r="U251" s="231"/>
      <c r="V251" s="231"/>
      <c r="W251" s="236"/>
      <c r="X251" s="231"/>
      <c r="Y251" s="231"/>
      <c r="Z251" s="231"/>
      <c r="AA251" s="236"/>
      <c r="AB251" s="231"/>
      <c r="AC251" s="231"/>
      <c r="AD251" s="231"/>
      <c r="AE251" s="236"/>
      <c r="AF251" s="239"/>
      <c r="AG251" s="239"/>
      <c r="AH251" s="239"/>
      <c r="AI251" s="239"/>
      <c r="AJ251" s="239"/>
      <c r="AK251" s="239"/>
    </row>
    <row r="252" spans="8:37">
      <c r="H252" s="231"/>
      <c r="I252" s="231"/>
      <c r="J252" s="231"/>
      <c r="K252" s="236"/>
      <c r="L252" s="231"/>
      <c r="M252" s="231"/>
      <c r="N252" s="231"/>
      <c r="O252" s="236"/>
      <c r="P252" s="231"/>
      <c r="Q252" s="231"/>
      <c r="R252" s="231"/>
      <c r="S252" s="236"/>
      <c r="T252" s="231"/>
      <c r="U252" s="231"/>
      <c r="V252" s="231"/>
      <c r="W252" s="236"/>
      <c r="X252" s="231"/>
      <c r="Y252" s="231"/>
      <c r="Z252" s="231"/>
      <c r="AA252" s="236"/>
      <c r="AB252" s="231"/>
      <c r="AC252" s="231"/>
      <c r="AD252" s="231"/>
      <c r="AE252" s="236"/>
      <c r="AF252" s="239"/>
      <c r="AG252" s="239"/>
      <c r="AH252" s="239"/>
      <c r="AI252" s="239"/>
      <c r="AJ252" s="239"/>
      <c r="AK252" s="239"/>
    </row>
    <row r="253" spans="8:37">
      <c r="H253" s="231"/>
      <c r="I253" s="231"/>
      <c r="J253" s="231"/>
      <c r="K253" s="236"/>
      <c r="L253" s="231"/>
      <c r="M253" s="231"/>
      <c r="N253" s="231"/>
      <c r="O253" s="236"/>
      <c r="P253" s="231"/>
      <c r="Q253" s="231"/>
      <c r="R253" s="231"/>
      <c r="S253" s="236"/>
      <c r="T253" s="231"/>
      <c r="U253" s="231"/>
      <c r="V253" s="231"/>
      <c r="W253" s="236"/>
      <c r="X253" s="231"/>
      <c r="Y253" s="231"/>
      <c r="Z253" s="231"/>
      <c r="AA253" s="236"/>
      <c r="AB253" s="231"/>
      <c r="AC253" s="231"/>
      <c r="AD253" s="231"/>
      <c r="AE253" s="236"/>
      <c r="AF253" s="239"/>
      <c r="AG253" s="239"/>
      <c r="AH253" s="239"/>
      <c r="AI253" s="239"/>
      <c r="AJ253" s="239"/>
      <c r="AK253" s="239"/>
    </row>
    <row r="254" spans="8:37">
      <c r="H254" s="231"/>
      <c r="I254" s="231"/>
      <c r="J254" s="231"/>
      <c r="K254" s="236"/>
      <c r="L254" s="231"/>
      <c r="M254" s="231"/>
      <c r="N254" s="231"/>
      <c r="O254" s="236"/>
      <c r="P254" s="231"/>
      <c r="Q254" s="231"/>
      <c r="R254" s="231"/>
      <c r="S254" s="236"/>
      <c r="T254" s="231"/>
      <c r="U254" s="231"/>
      <c r="V254" s="231"/>
      <c r="W254" s="236"/>
      <c r="X254" s="231"/>
      <c r="Y254" s="231"/>
      <c r="Z254" s="231"/>
      <c r="AA254" s="236"/>
      <c r="AB254" s="231"/>
      <c r="AC254" s="231"/>
      <c r="AD254" s="231"/>
      <c r="AE254" s="236"/>
      <c r="AF254" s="239"/>
      <c r="AG254" s="239"/>
      <c r="AH254" s="239"/>
      <c r="AI254" s="239"/>
      <c r="AJ254" s="239"/>
      <c r="AK254" s="239"/>
    </row>
    <row r="255" spans="8:37">
      <c r="H255" s="231"/>
      <c r="I255" s="231"/>
      <c r="J255" s="231"/>
      <c r="K255" s="236"/>
      <c r="L255" s="231"/>
      <c r="M255" s="231"/>
      <c r="N255" s="231"/>
      <c r="O255" s="236"/>
      <c r="P255" s="231"/>
      <c r="Q255" s="231"/>
      <c r="R255" s="231"/>
      <c r="S255" s="236"/>
      <c r="T255" s="231"/>
      <c r="U255" s="231"/>
      <c r="V255" s="231"/>
      <c r="W255" s="236"/>
      <c r="X255" s="231"/>
      <c r="Y255" s="231"/>
      <c r="Z255" s="231"/>
      <c r="AA255" s="236"/>
      <c r="AB255" s="231"/>
      <c r="AC255" s="231"/>
      <c r="AD255" s="231"/>
      <c r="AE255" s="236"/>
      <c r="AF255" s="239"/>
      <c r="AG255" s="239"/>
      <c r="AH255" s="239"/>
      <c r="AI255" s="239"/>
      <c r="AJ255" s="239"/>
      <c r="AK255" s="239"/>
    </row>
    <row r="256" spans="8:37">
      <c r="H256" s="231"/>
      <c r="I256" s="231"/>
      <c r="J256" s="231"/>
      <c r="K256" s="236"/>
      <c r="L256" s="231"/>
      <c r="M256" s="231"/>
      <c r="N256" s="231"/>
      <c r="O256" s="236"/>
      <c r="P256" s="231"/>
      <c r="Q256" s="231"/>
      <c r="R256" s="231"/>
      <c r="S256" s="236"/>
      <c r="T256" s="231"/>
      <c r="U256" s="231"/>
      <c r="V256" s="231"/>
      <c r="W256" s="236"/>
      <c r="X256" s="231"/>
      <c r="Y256" s="231"/>
      <c r="Z256" s="231"/>
      <c r="AA256" s="236"/>
      <c r="AB256" s="231"/>
      <c r="AC256" s="231"/>
      <c r="AD256" s="231"/>
      <c r="AE256" s="236"/>
      <c r="AF256" s="239"/>
      <c r="AG256" s="239"/>
      <c r="AH256" s="239"/>
      <c r="AI256" s="239"/>
      <c r="AJ256" s="239"/>
      <c r="AK256" s="239"/>
    </row>
    <row r="257" spans="8:37">
      <c r="H257" s="231"/>
      <c r="I257" s="231"/>
      <c r="J257" s="231"/>
      <c r="K257" s="236"/>
      <c r="L257" s="231"/>
      <c r="M257" s="231"/>
      <c r="N257" s="231"/>
      <c r="O257" s="236"/>
      <c r="P257" s="231"/>
      <c r="Q257" s="231"/>
      <c r="R257" s="231"/>
      <c r="S257" s="236"/>
      <c r="T257" s="231"/>
      <c r="U257" s="231"/>
      <c r="V257" s="231"/>
      <c r="W257" s="236"/>
      <c r="X257" s="231"/>
      <c r="Y257" s="231"/>
      <c r="Z257" s="231"/>
      <c r="AA257" s="236"/>
      <c r="AB257" s="231"/>
      <c r="AC257" s="231"/>
      <c r="AD257" s="231"/>
      <c r="AE257" s="236"/>
      <c r="AF257" s="239"/>
      <c r="AG257" s="239"/>
      <c r="AH257" s="239"/>
      <c r="AI257" s="239"/>
      <c r="AJ257" s="239"/>
      <c r="AK257" s="239"/>
    </row>
    <row r="258" spans="8:37">
      <c r="H258" s="231"/>
      <c r="I258" s="231"/>
      <c r="J258" s="231"/>
      <c r="K258" s="236"/>
      <c r="L258" s="231"/>
      <c r="M258" s="231"/>
      <c r="N258" s="231"/>
      <c r="O258" s="236"/>
      <c r="P258" s="231"/>
      <c r="Q258" s="231"/>
      <c r="R258" s="231"/>
      <c r="S258" s="236"/>
      <c r="T258" s="231"/>
      <c r="U258" s="231"/>
      <c r="V258" s="231"/>
      <c r="W258" s="236"/>
      <c r="X258" s="231"/>
      <c r="Y258" s="231"/>
      <c r="Z258" s="231"/>
      <c r="AA258" s="236"/>
      <c r="AB258" s="231"/>
      <c r="AC258" s="231"/>
      <c r="AD258" s="231"/>
      <c r="AE258" s="236"/>
      <c r="AF258" s="239"/>
      <c r="AG258" s="239"/>
      <c r="AH258" s="239"/>
      <c r="AI258" s="239"/>
      <c r="AJ258" s="239"/>
      <c r="AK258" s="239"/>
    </row>
    <row r="259" spans="8:37">
      <c r="H259" s="231"/>
      <c r="I259" s="231"/>
      <c r="J259" s="231"/>
      <c r="K259" s="236"/>
      <c r="L259" s="231"/>
      <c r="M259" s="231"/>
      <c r="N259" s="231"/>
      <c r="O259" s="236"/>
      <c r="P259" s="231"/>
      <c r="Q259" s="231"/>
      <c r="R259" s="231"/>
      <c r="S259" s="236"/>
      <c r="T259" s="231"/>
      <c r="U259" s="231"/>
      <c r="V259" s="231"/>
      <c r="W259" s="236"/>
      <c r="X259" s="231"/>
      <c r="Y259" s="231"/>
      <c r="Z259" s="231"/>
      <c r="AA259" s="236"/>
      <c r="AB259" s="231"/>
      <c r="AC259" s="231"/>
      <c r="AD259" s="231"/>
      <c r="AE259" s="236"/>
      <c r="AF259" s="239"/>
      <c r="AG259" s="239"/>
      <c r="AH259" s="239"/>
      <c r="AI259" s="239"/>
      <c r="AJ259" s="239"/>
      <c r="AK259" s="239"/>
    </row>
    <row r="260" spans="8:37">
      <c r="H260" s="231"/>
      <c r="I260" s="231"/>
      <c r="J260" s="231"/>
      <c r="K260" s="236"/>
      <c r="L260" s="231"/>
      <c r="M260" s="231"/>
      <c r="N260" s="231"/>
      <c r="O260" s="236"/>
      <c r="P260" s="231"/>
      <c r="Q260" s="231"/>
      <c r="R260" s="231"/>
      <c r="S260" s="236"/>
      <c r="T260" s="231"/>
      <c r="U260" s="231"/>
      <c r="V260" s="231"/>
      <c r="W260" s="236"/>
      <c r="X260" s="231"/>
      <c r="Y260" s="231"/>
      <c r="Z260" s="231"/>
      <c r="AA260" s="236"/>
      <c r="AB260" s="231"/>
      <c r="AC260" s="231"/>
      <c r="AD260" s="231"/>
      <c r="AE260" s="236"/>
      <c r="AF260" s="239"/>
      <c r="AG260" s="239"/>
      <c r="AH260" s="239"/>
      <c r="AI260" s="239"/>
      <c r="AJ260" s="239"/>
      <c r="AK260" s="239"/>
    </row>
    <row r="261" spans="8:37">
      <c r="H261" s="231"/>
      <c r="I261" s="231"/>
      <c r="J261" s="231"/>
      <c r="K261" s="236"/>
      <c r="L261" s="231"/>
      <c r="M261" s="231"/>
      <c r="N261" s="231"/>
      <c r="O261" s="236"/>
      <c r="P261" s="231"/>
      <c r="Q261" s="231"/>
      <c r="R261" s="231"/>
      <c r="S261" s="236"/>
      <c r="T261" s="231"/>
      <c r="U261" s="231"/>
      <c r="V261" s="231"/>
      <c r="W261" s="236"/>
      <c r="X261" s="231"/>
      <c r="Y261" s="231"/>
      <c r="Z261" s="231"/>
      <c r="AA261" s="236"/>
      <c r="AB261" s="231"/>
      <c r="AC261" s="231"/>
      <c r="AD261" s="231"/>
      <c r="AE261" s="236"/>
      <c r="AF261" s="239"/>
      <c r="AG261" s="239"/>
      <c r="AH261" s="239"/>
      <c r="AI261" s="239"/>
      <c r="AJ261" s="239"/>
      <c r="AK261" s="239"/>
    </row>
    <row r="262" spans="8:37">
      <c r="H262" s="231"/>
      <c r="I262" s="231"/>
      <c r="J262" s="231"/>
      <c r="K262" s="236"/>
      <c r="L262" s="231"/>
      <c r="M262" s="231"/>
      <c r="N262" s="231"/>
      <c r="O262" s="236"/>
      <c r="P262" s="231"/>
      <c r="Q262" s="231"/>
      <c r="R262" s="231"/>
      <c r="S262" s="236"/>
      <c r="T262" s="231"/>
      <c r="U262" s="231"/>
      <c r="V262" s="231"/>
      <c r="W262" s="236"/>
      <c r="X262" s="231"/>
      <c r="Y262" s="231"/>
      <c r="Z262" s="231"/>
      <c r="AA262" s="236"/>
      <c r="AB262" s="231"/>
      <c r="AC262" s="231"/>
      <c r="AD262" s="231"/>
      <c r="AE262" s="236"/>
      <c r="AF262" s="239"/>
      <c r="AG262" s="239"/>
      <c r="AH262" s="239"/>
      <c r="AI262" s="239"/>
      <c r="AJ262" s="239"/>
      <c r="AK262" s="239"/>
    </row>
    <row r="263" spans="8:37">
      <c r="H263" s="231"/>
      <c r="I263" s="231"/>
      <c r="J263" s="231"/>
      <c r="K263" s="236"/>
      <c r="L263" s="231"/>
      <c r="M263" s="231"/>
      <c r="N263" s="231"/>
      <c r="O263" s="236"/>
      <c r="P263" s="231"/>
      <c r="Q263" s="231"/>
      <c r="R263" s="231"/>
      <c r="S263" s="236"/>
      <c r="T263" s="231"/>
      <c r="U263" s="231"/>
      <c r="V263" s="231"/>
      <c r="W263" s="236"/>
      <c r="X263" s="231"/>
      <c r="Y263" s="231"/>
      <c r="Z263" s="231"/>
      <c r="AA263" s="236"/>
      <c r="AB263" s="231"/>
      <c r="AC263" s="231"/>
      <c r="AD263" s="231"/>
      <c r="AE263" s="236"/>
      <c r="AF263" s="239"/>
      <c r="AG263" s="239"/>
      <c r="AH263" s="239"/>
      <c r="AI263" s="239"/>
      <c r="AJ263" s="239"/>
      <c r="AK263" s="239"/>
    </row>
    <row r="264" spans="8:37">
      <c r="H264" s="231"/>
      <c r="I264" s="231"/>
      <c r="J264" s="231"/>
      <c r="K264" s="236"/>
      <c r="L264" s="231"/>
      <c r="M264" s="231"/>
      <c r="N264" s="231"/>
      <c r="O264" s="236"/>
      <c r="P264" s="231"/>
      <c r="Q264" s="231"/>
      <c r="R264" s="231"/>
      <c r="S264" s="236"/>
      <c r="T264" s="231"/>
      <c r="U264" s="231"/>
      <c r="V264" s="231"/>
      <c r="W264" s="236"/>
      <c r="X264" s="231"/>
      <c r="Y264" s="231"/>
      <c r="Z264" s="231"/>
      <c r="AA264" s="236"/>
      <c r="AB264" s="231"/>
      <c r="AC264" s="231"/>
      <c r="AD264" s="231"/>
      <c r="AE264" s="236"/>
      <c r="AF264" s="239"/>
      <c r="AG264" s="239"/>
      <c r="AH264" s="239"/>
      <c r="AI264" s="239"/>
      <c r="AJ264" s="239"/>
      <c r="AK264" s="239"/>
    </row>
    <row r="265" spans="8:37">
      <c r="H265" s="231"/>
      <c r="I265" s="231"/>
      <c r="J265" s="231"/>
      <c r="K265" s="236"/>
      <c r="L265" s="231"/>
      <c r="M265" s="231"/>
      <c r="N265" s="231"/>
      <c r="O265" s="236"/>
      <c r="P265" s="231"/>
      <c r="Q265" s="231"/>
      <c r="R265" s="231"/>
      <c r="S265" s="236"/>
      <c r="T265" s="231"/>
      <c r="U265" s="231"/>
      <c r="V265" s="231"/>
      <c r="W265" s="236"/>
      <c r="X265" s="231"/>
      <c r="Y265" s="231"/>
      <c r="Z265" s="231"/>
      <c r="AA265" s="236"/>
      <c r="AB265" s="231"/>
      <c r="AC265" s="231"/>
      <c r="AD265" s="231"/>
      <c r="AE265" s="236"/>
      <c r="AF265" s="239"/>
      <c r="AG265" s="239"/>
      <c r="AH265" s="239"/>
      <c r="AI265" s="239"/>
      <c r="AJ265" s="239"/>
      <c r="AK265" s="239"/>
    </row>
    <row r="266" spans="8:37">
      <c r="H266" s="231"/>
      <c r="I266" s="231"/>
      <c r="J266" s="231"/>
      <c r="K266" s="236"/>
      <c r="L266" s="231"/>
      <c r="M266" s="231"/>
      <c r="N266" s="231"/>
      <c r="O266" s="236"/>
      <c r="P266" s="231"/>
      <c r="Q266" s="231"/>
      <c r="R266" s="231"/>
      <c r="S266" s="236"/>
      <c r="T266" s="231"/>
      <c r="U266" s="231"/>
      <c r="V266" s="231"/>
      <c r="W266" s="236"/>
      <c r="X266" s="231"/>
      <c r="Y266" s="231"/>
      <c r="Z266" s="231"/>
      <c r="AA266" s="236"/>
      <c r="AB266" s="231"/>
      <c r="AC266" s="231"/>
      <c r="AD266" s="231"/>
      <c r="AE266" s="236"/>
      <c r="AF266" s="239"/>
      <c r="AG266" s="239"/>
      <c r="AH266" s="239"/>
      <c r="AI266" s="239"/>
      <c r="AJ266" s="239"/>
      <c r="AK266" s="239"/>
    </row>
    <row r="267" spans="8:37">
      <c r="H267" s="231"/>
      <c r="I267" s="231"/>
      <c r="J267" s="231"/>
      <c r="K267" s="236"/>
      <c r="L267" s="231"/>
      <c r="M267" s="231"/>
      <c r="N267" s="231"/>
      <c r="O267" s="236"/>
      <c r="P267" s="231"/>
      <c r="Q267" s="231"/>
      <c r="R267" s="231"/>
      <c r="S267" s="236"/>
      <c r="T267" s="231"/>
      <c r="U267" s="231"/>
      <c r="V267" s="231"/>
      <c r="W267" s="236"/>
      <c r="X267" s="231"/>
      <c r="Y267" s="231"/>
      <c r="Z267" s="231"/>
      <c r="AA267" s="236"/>
      <c r="AB267" s="231"/>
      <c r="AC267" s="231"/>
      <c r="AD267" s="231"/>
      <c r="AE267" s="236"/>
      <c r="AF267" s="239"/>
      <c r="AG267" s="239"/>
      <c r="AH267" s="239"/>
      <c r="AI267" s="239"/>
      <c r="AJ267" s="239"/>
      <c r="AK267" s="239"/>
    </row>
    <row r="268" spans="8:37">
      <c r="H268" s="231"/>
      <c r="I268" s="231"/>
      <c r="J268" s="231"/>
      <c r="K268" s="236"/>
      <c r="L268" s="231"/>
      <c r="M268" s="231"/>
      <c r="N268" s="231"/>
      <c r="O268" s="236"/>
      <c r="P268" s="231"/>
      <c r="Q268" s="231"/>
      <c r="R268" s="231"/>
      <c r="S268" s="236"/>
      <c r="T268" s="231"/>
      <c r="U268" s="231"/>
      <c r="V268" s="231"/>
      <c r="W268" s="236"/>
      <c r="X268" s="231"/>
      <c r="Y268" s="231"/>
      <c r="Z268" s="231"/>
      <c r="AA268" s="236"/>
      <c r="AB268" s="231"/>
      <c r="AC268" s="231"/>
      <c r="AD268" s="231"/>
      <c r="AE268" s="236"/>
      <c r="AF268" s="239"/>
      <c r="AG268" s="239"/>
      <c r="AH268" s="239"/>
      <c r="AI268" s="239"/>
      <c r="AJ268" s="239"/>
      <c r="AK268" s="239"/>
    </row>
    <row r="269" spans="8:37">
      <c r="H269" s="231"/>
      <c r="I269" s="231"/>
      <c r="J269" s="231"/>
      <c r="K269" s="236"/>
      <c r="L269" s="231"/>
      <c r="M269" s="231"/>
      <c r="N269" s="231"/>
      <c r="O269" s="236"/>
      <c r="P269" s="231"/>
      <c r="Q269" s="231"/>
      <c r="R269" s="231"/>
      <c r="S269" s="236"/>
      <c r="T269" s="231"/>
      <c r="U269" s="231"/>
      <c r="V269" s="231"/>
      <c r="W269" s="236"/>
      <c r="X269" s="231"/>
      <c r="Y269" s="231"/>
      <c r="Z269" s="231"/>
      <c r="AA269" s="236"/>
      <c r="AB269" s="231"/>
      <c r="AC269" s="231"/>
      <c r="AD269" s="231"/>
      <c r="AE269" s="236"/>
      <c r="AF269" s="239"/>
      <c r="AG269" s="239"/>
      <c r="AH269" s="239"/>
      <c r="AI269" s="239"/>
      <c r="AJ269" s="239"/>
      <c r="AK269" s="239"/>
    </row>
    <row r="270" spans="8:37">
      <c r="H270" s="231"/>
      <c r="I270" s="231"/>
      <c r="J270" s="231"/>
      <c r="K270" s="236"/>
      <c r="L270" s="231"/>
      <c r="M270" s="231"/>
      <c r="N270" s="231"/>
      <c r="O270" s="236"/>
      <c r="P270" s="231"/>
      <c r="Q270" s="231"/>
      <c r="R270" s="231"/>
      <c r="S270" s="236"/>
      <c r="T270" s="231"/>
      <c r="U270" s="231"/>
      <c r="V270" s="231"/>
      <c r="W270" s="236"/>
      <c r="X270" s="231"/>
      <c r="Y270" s="231"/>
      <c r="Z270" s="231"/>
      <c r="AA270" s="236"/>
      <c r="AB270" s="231"/>
      <c r="AC270" s="231"/>
      <c r="AD270" s="231"/>
      <c r="AE270" s="236"/>
      <c r="AF270" s="239"/>
      <c r="AG270" s="239"/>
      <c r="AH270" s="239"/>
      <c r="AI270" s="239"/>
      <c r="AJ270" s="239"/>
      <c r="AK270" s="239"/>
    </row>
    <row r="271" spans="8:37">
      <c r="H271" s="231"/>
      <c r="I271" s="231"/>
      <c r="J271" s="231"/>
      <c r="K271" s="236"/>
      <c r="L271" s="231"/>
      <c r="M271" s="231"/>
      <c r="N271" s="231"/>
      <c r="O271" s="236"/>
      <c r="P271" s="231"/>
      <c r="Q271" s="231"/>
      <c r="R271" s="231"/>
      <c r="S271" s="236"/>
      <c r="T271" s="231"/>
      <c r="U271" s="231"/>
      <c r="V271" s="231"/>
      <c r="W271" s="236"/>
      <c r="X271" s="231"/>
      <c r="Y271" s="231"/>
      <c r="Z271" s="231"/>
      <c r="AA271" s="236"/>
      <c r="AB271" s="231"/>
      <c r="AC271" s="231"/>
      <c r="AD271" s="231"/>
      <c r="AE271" s="236"/>
      <c r="AF271" s="239"/>
      <c r="AG271" s="239"/>
      <c r="AH271" s="239"/>
      <c r="AI271" s="239"/>
      <c r="AJ271" s="239"/>
      <c r="AK271" s="239"/>
    </row>
    <row r="272" spans="8:37">
      <c r="H272" s="231"/>
      <c r="I272" s="231"/>
      <c r="J272" s="231"/>
      <c r="K272" s="236"/>
      <c r="L272" s="231"/>
      <c r="M272" s="231"/>
      <c r="N272" s="231"/>
      <c r="O272" s="236"/>
      <c r="P272" s="231"/>
      <c r="Q272" s="231"/>
      <c r="R272" s="231"/>
      <c r="S272" s="236"/>
      <c r="T272" s="231"/>
      <c r="U272" s="231"/>
      <c r="V272" s="231"/>
      <c r="W272" s="236"/>
      <c r="X272" s="231"/>
      <c r="Y272" s="231"/>
      <c r="Z272" s="231"/>
      <c r="AA272" s="236"/>
      <c r="AB272" s="231"/>
      <c r="AC272" s="231"/>
      <c r="AD272" s="231"/>
      <c r="AE272" s="236"/>
      <c r="AF272" s="239"/>
      <c r="AG272" s="239"/>
      <c r="AH272" s="239"/>
      <c r="AI272" s="239"/>
      <c r="AJ272" s="239"/>
      <c r="AK272" s="239"/>
    </row>
    <row r="273" spans="8:37">
      <c r="H273" s="231"/>
      <c r="I273" s="231"/>
      <c r="J273" s="231"/>
      <c r="K273" s="236"/>
      <c r="L273" s="231"/>
      <c r="M273" s="231"/>
      <c r="N273" s="231"/>
      <c r="O273" s="236"/>
      <c r="P273" s="231"/>
      <c r="Q273" s="231"/>
      <c r="R273" s="231"/>
      <c r="S273" s="236"/>
      <c r="T273" s="231"/>
      <c r="U273" s="231"/>
      <c r="V273" s="231"/>
      <c r="W273" s="236"/>
      <c r="X273" s="231"/>
      <c r="Y273" s="231"/>
      <c r="Z273" s="231"/>
      <c r="AA273" s="236"/>
      <c r="AB273" s="231"/>
      <c r="AC273" s="231"/>
      <c r="AD273" s="231"/>
      <c r="AE273" s="236"/>
      <c r="AF273" s="239"/>
      <c r="AG273" s="239"/>
      <c r="AH273" s="239"/>
      <c r="AI273" s="239"/>
      <c r="AJ273" s="239"/>
      <c r="AK273" s="239"/>
    </row>
    <row r="274" spans="8:37">
      <c r="H274" s="231"/>
      <c r="I274" s="231"/>
      <c r="J274" s="231"/>
      <c r="K274" s="236"/>
      <c r="L274" s="231"/>
      <c r="M274" s="231"/>
      <c r="N274" s="231"/>
      <c r="O274" s="236"/>
      <c r="P274" s="231"/>
      <c r="Q274" s="231"/>
      <c r="R274" s="231"/>
      <c r="S274" s="236"/>
      <c r="T274" s="231"/>
      <c r="U274" s="231"/>
      <c r="V274" s="231"/>
      <c r="W274" s="236"/>
      <c r="X274" s="231"/>
      <c r="Y274" s="231"/>
      <c r="Z274" s="231"/>
      <c r="AA274" s="236"/>
      <c r="AB274" s="231"/>
      <c r="AC274" s="231"/>
      <c r="AD274" s="231"/>
      <c r="AE274" s="236"/>
      <c r="AF274" s="239"/>
      <c r="AG274" s="239"/>
      <c r="AH274" s="239"/>
      <c r="AI274" s="239"/>
      <c r="AJ274" s="239"/>
      <c r="AK274" s="239"/>
    </row>
    <row r="275" spans="8:37">
      <c r="H275" s="231"/>
      <c r="I275" s="231"/>
      <c r="J275" s="231"/>
      <c r="K275" s="236"/>
      <c r="L275" s="231"/>
      <c r="M275" s="231"/>
      <c r="N275" s="231"/>
      <c r="O275" s="236"/>
      <c r="P275" s="231"/>
      <c r="Q275" s="231"/>
      <c r="R275" s="231"/>
      <c r="S275" s="236"/>
      <c r="T275" s="231"/>
      <c r="U275" s="231"/>
      <c r="V275" s="231"/>
      <c r="W275" s="236"/>
      <c r="X275" s="231"/>
      <c r="Y275" s="231"/>
      <c r="Z275" s="231"/>
      <c r="AA275" s="236"/>
      <c r="AB275" s="231"/>
      <c r="AC275" s="231"/>
      <c r="AD275" s="231"/>
      <c r="AE275" s="236"/>
      <c r="AF275" s="239"/>
      <c r="AG275" s="239"/>
      <c r="AH275" s="239"/>
      <c r="AI275" s="239"/>
      <c r="AJ275" s="239"/>
      <c r="AK275" s="239"/>
    </row>
    <row r="276" spans="8:37">
      <c r="H276" s="231"/>
      <c r="I276" s="231"/>
      <c r="J276" s="231"/>
      <c r="K276" s="236"/>
      <c r="L276" s="231"/>
      <c r="M276" s="231"/>
      <c r="N276" s="231"/>
      <c r="O276" s="236"/>
      <c r="P276" s="231"/>
      <c r="Q276" s="231"/>
      <c r="R276" s="231"/>
      <c r="S276" s="236"/>
      <c r="T276" s="231"/>
      <c r="U276" s="231"/>
      <c r="V276" s="231"/>
      <c r="W276" s="236"/>
      <c r="X276" s="231"/>
      <c r="Y276" s="231"/>
      <c r="Z276" s="231"/>
      <c r="AA276" s="236"/>
      <c r="AB276" s="231"/>
      <c r="AC276" s="231"/>
      <c r="AD276" s="231"/>
      <c r="AE276" s="236"/>
      <c r="AF276" s="239"/>
      <c r="AG276" s="239"/>
      <c r="AH276" s="239"/>
      <c r="AI276" s="239"/>
      <c r="AJ276" s="239"/>
      <c r="AK276" s="239"/>
    </row>
    <row r="277" spans="8:37">
      <c r="H277" s="231"/>
      <c r="I277" s="231"/>
      <c r="J277" s="231"/>
      <c r="K277" s="236"/>
      <c r="L277" s="231"/>
      <c r="M277" s="231"/>
      <c r="N277" s="231"/>
      <c r="O277" s="236"/>
      <c r="P277" s="231"/>
      <c r="Q277" s="231"/>
      <c r="R277" s="231"/>
      <c r="S277" s="236"/>
      <c r="T277" s="231"/>
      <c r="U277" s="231"/>
      <c r="V277" s="231"/>
      <c r="W277" s="236"/>
      <c r="X277" s="231"/>
      <c r="Y277" s="231"/>
      <c r="Z277" s="231"/>
      <c r="AA277" s="236"/>
      <c r="AB277" s="231"/>
      <c r="AC277" s="231"/>
      <c r="AD277" s="231"/>
      <c r="AE277" s="236"/>
      <c r="AF277" s="239"/>
      <c r="AG277" s="239"/>
      <c r="AH277" s="239"/>
      <c r="AI277" s="239"/>
      <c r="AJ277" s="239"/>
      <c r="AK277" s="239"/>
    </row>
    <row r="278" spans="8:37">
      <c r="H278" s="231"/>
      <c r="I278" s="231"/>
      <c r="J278" s="231"/>
      <c r="K278" s="236"/>
      <c r="L278" s="231"/>
      <c r="M278" s="231"/>
      <c r="N278" s="231"/>
      <c r="O278" s="236"/>
      <c r="P278" s="231"/>
      <c r="Q278" s="231"/>
      <c r="R278" s="231"/>
      <c r="S278" s="236"/>
      <c r="T278" s="231"/>
      <c r="U278" s="231"/>
      <c r="V278" s="231"/>
      <c r="W278" s="236"/>
      <c r="X278" s="231"/>
      <c r="Y278" s="231"/>
      <c r="Z278" s="231"/>
      <c r="AA278" s="236"/>
      <c r="AB278" s="231"/>
      <c r="AC278" s="231"/>
      <c r="AD278" s="231"/>
      <c r="AE278" s="236"/>
      <c r="AF278" s="239"/>
      <c r="AG278" s="239"/>
      <c r="AH278" s="239"/>
      <c r="AI278" s="239"/>
      <c r="AJ278" s="239"/>
      <c r="AK278" s="239"/>
    </row>
    <row r="279" spans="8:37">
      <c r="H279" s="231"/>
      <c r="I279" s="231"/>
      <c r="J279" s="231"/>
      <c r="K279" s="236"/>
      <c r="L279" s="231"/>
      <c r="M279" s="231"/>
      <c r="N279" s="231"/>
      <c r="O279" s="236"/>
      <c r="P279" s="231"/>
      <c r="Q279" s="231"/>
      <c r="R279" s="231"/>
      <c r="S279" s="236"/>
      <c r="T279" s="231"/>
      <c r="U279" s="231"/>
      <c r="V279" s="231"/>
      <c r="W279" s="236"/>
      <c r="X279" s="231"/>
      <c r="Y279" s="231"/>
      <c r="Z279" s="231"/>
      <c r="AA279" s="236"/>
      <c r="AB279" s="231"/>
      <c r="AC279" s="231"/>
      <c r="AD279" s="231"/>
      <c r="AE279" s="236"/>
      <c r="AF279" s="239"/>
      <c r="AG279" s="239"/>
      <c r="AH279" s="239"/>
      <c r="AI279" s="239"/>
      <c r="AJ279" s="239"/>
      <c r="AK279" s="239"/>
    </row>
    <row r="280" spans="8:37">
      <c r="H280" s="231"/>
      <c r="I280" s="231"/>
      <c r="J280" s="231"/>
      <c r="K280" s="236"/>
      <c r="L280" s="231"/>
      <c r="M280" s="231"/>
      <c r="N280" s="231"/>
      <c r="O280" s="236"/>
      <c r="P280" s="231"/>
      <c r="Q280" s="231"/>
      <c r="R280" s="231"/>
      <c r="S280" s="236"/>
      <c r="T280" s="231"/>
      <c r="U280" s="231"/>
      <c r="V280" s="231"/>
      <c r="W280" s="236"/>
      <c r="X280" s="231"/>
      <c r="Y280" s="231"/>
      <c r="Z280" s="231"/>
      <c r="AA280" s="236"/>
      <c r="AB280" s="231"/>
      <c r="AC280" s="231"/>
      <c r="AD280" s="231"/>
      <c r="AE280" s="236"/>
      <c r="AF280" s="239"/>
      <c r="AG280" s="239"/>
      <c r="AH280" s="239"/>
      <c r="AI280" s="239"/>
      <c r="AJ280" s="239"/>
      <c r="AK280" s="239"/>
    </row>
    <row r="281" spans="8:37">
      <c r="H281" s="231"/>
      <c r="I281" s="231"/>
      <c r="J281" s="231"/>
      <c r="K281" s="236"/>
      <c r="L281" s="231"/>
      <c r="M281" s="231"/>
      <c r="N281" s="231"/>
      <c r="O281" s="236"/>
      <c r="P281" s="231"/>
      <c r="Q281" s="231"/>
      <c r="R281" s="231"/>
      <c r="S281" s="236"/>
      <c r="T281" s="231"/>
      <c r="U281" s="231"/>
      <c r="V281" s="231"/>
      <c r="W281" s="236"/>
      <c r="X281" s="231"/>
      <c r="Y281" s="231"/>
      <c r="Z281" s="231"/>
      <c r="AA281" s="236"/>
      <c r="AB281" s="231"/>
      <c r="AC281" s="231"/>
      <c r="AD281" s="231"/>
      <c r="AE281" s="236"/>
      <c r="AF281" s="239"/>
      <c r="AG281" s="239"/>
      <c r="AH281" s="239"/>
      <c r="AI281" s="239"/>
      <c r="AJ281" s="239"/>
      <c r="AK281" s="239"/>
    </row>
    <row r="282" spans="8:37">
      <c r="H282" s="231"/>
      <c r="I282" s="231"/>
      <c r="J282" s="231"/>
      <c r="K282" s="236"/>
      <c r="L282" s="231"/>
      <c r="M282" s="231"/>
      <c r="N282" s="231"/>
      <c r="O282" s="236"/>
      <c r="P282" s="231"/>
      <c r="Q282" s="231"/>
      <c r="R282" s="231"/>
      <c r="S282" s="236"/>
      <c r="T282" s="231"/>
      <c r="U282" s="231"/>
      <c r="V282" s="231"/>
      <c r="W282" s="236"/>
      <c r="X282" s="231"/>
      <c r="Y282" s="231"/>
      <c r="Z282" s="231"/>
      <c r="AA282" s="236"/>
      <c r="AB282" s="231"/>
      <c r="AC282" s="231"/>
      <c r="AD282" s="231"/>
      <c r="AE282" s="236"/>
      <c r="AF282" s="239"/>
      <c r="AG282" s="239"/>
      <c r="AH282" s="239"/>
      <c r="AI282" s="239"/>
      <c r="AJ282" s="239"/>
      <c r="AK282" s="239"/>
    </row>
    <row r="283" spans="8:37">
      <c r="H283" s="231"/>
      <c r="I283" s="231"/>
      <c r="J283" s="231"/>
      <c r="K283" s="236"/>
      <c r="L283" s="231"/>
      <c r="M283" s="231"/>
      <c r="N283" s="231"/>
      <c r="O283" s="236"/>
      <c r="P283" s="231"/>
      <c r="Q283" s="231"/>
      <c r="R283" s="231"/>
      <c r="S283" s="236"/>
      <c r="T283" s="231"/>
      <c r="U283" s="231"/>
      <c r="V283" s="231"/>
      <c r="W283" s="236"/>
      <c r="X283" s="231"/>
      <c r="Y283" s="231"/>
      <c r="Z283" s="231"/>
      <c r="AA283" s="236"/>
      <c r="AB283" s="231"/>
      <c r="AC283" s="231"/>
      <c r="AD283" s="231"/>
      <c r="AE283" s="236"/>
      <c r="AF283" s="239"/>
      <c r="AG283" s="239"/>
      <c r="AH283" s="239"/>
      <c r="AI283" s="239"/>
      <c r="AJ283" s="239"/>
      <c r="AK283" s="239"/>
    </row>
    <row r="284" spans="8:37">
      <c r="H284" s="231"/>
      <c r="I284" s="231"/>
      <c r="J284" s="231"/>
      <c r="K284" s="236"/>
      <c r="L284" s="231"/>
      <c r="M284" s="231"/>
      <c r="N284" s="231"/>
      <c r="O284" s="236"/>
      <c r="P284" s="231"/>
      <c r="Q284" s="231"/>
      <c r="R284" s="231"/>
      <c r="S284" s="236"/>
      <c r="T284" s="231"/>
      <c r="U284" s="231"/>
      <c r="V284" s="231"/>
      <c r="W284" s="236"/>
      <c r="X284" s="231"/>
      <c r="Y284" s="231"/>
      <c r="Z284" s="231"/>
      <c r="AA284" s="236"/>
      <c r="AB284" s="231"/>
      <c r="AC284" s="231"/>
      <c r="AD284" s="231"/>
      <c r="AE284" s="236"/>
      <c r="AF284" s="239"/>
      <c r="AG284" s="239"/>
      <c r="AH284" s="239"/>
      <c r="AI284" s="239"/>
      <c r="AJ284" s="239"/>
      <c r="AK284" s="239"/>
    </row>
    <row r="285" spans="8:37">
      <c r="H285" s="231"/>
      <c r="I285" s="231"/>
      <c r="J285" s="231"/>
      <c r="K285" s="236"/>
      <c r="L285" s="231"/>
      <c r="M285" s="231"/>
      <c r="N285" s="231"/>
      <c r="O285" s="236"/>
      <c r="P285" s="231"/>
      <c r="Q285" s="231"/>
      <c r="R285" s="231"/>
      <c r="S285" s="236"/>
      <c r="T285" s="231"/>
      <c r="U285" s="231"/>
      <c r="V285" s="231"/>
      <c r="W285" s="236"/>
      <c r="X285" s="231"/>
      <c r="Y285" s="231"/>
      <c r="Z285" s="231"/>
      <c r="AA285" s="236"/>
      <c r="AB285" s="231"/>
      <c r="AC285" s="231"/>
      <c r="AD285" s="231"/>
      <c r="AE285" s="236"/>
      <c r="AF285" s="239"/>
      <c r="AG285" s="239"/>
      <c r="AH285" s="239"/>
      <c r="AI285" s="239"/>
      <c r="AJ285" s="239"/>
      <c r="AK285" s="239"/>
    </row>
    <row r="286" spans="8:37">
      <c r="H286" s="231"/>
      <c r="I286" s="231"/>
      <c r="J286" s="231"/>
      <c r="K286" s="236"/>
      <c r="L286" s="231"/>
      <c r="M286" s="231"/>
      <c r="N286" s="231"/>
      <c r="O286" s="236"/>
      <c r="P286" s="231"/>
      <c r="Q286" s="231"/>
      <c r="R286" s="231"/>
      <c r="S286" s="236"/>
      <c r="T286" s="231"/>
      <c r="U286" s="231"/>
      <c r="V286" s="231"/>
      <c r="W286" s="236"/>
      <c r="X286" s="231"/>
      <c r="Y286" s="231"/>
      <c r="Z286" s="231"/>
      <c r="AA286" s="236"/>
      <c r="AB286" s="231"/>
      <c r="AC286" s="231"/>
      <c r="AD286" s="231"/>
      <c r="AE286" s="236"/>
      <c r="AF286" s="239"/>
      <c r="AG286" s="239"/>
      <c r="AH286" s="239"/>
      <c r="AI286" s="239"/>
      <c r="AJ286" s="239"/>
      <c r="AK286" s="239"/>
    </row>
    <row r="287" spans="8:37">
      <c r="H287" s="231"/>
      <c r="I287" s="231"/>
      <c r="J287" s="231"/>
      <c r="K287" s="236"/>
      <c r="L287" s="231"/>
      <c r="M287" s="231"/>
      <c r="N287" s="231"/>
      <c r="O287" s="236"/>
      <c r="P287" s="231"/>
      <c r="Q287" s="231"/>
      <c r="R287" s="231"/>
      <c r="S287" s="236"/>
      <c r="T287" s="231"/>
      <c r="U287" s="231"/>
      <c r="V287" s="231"/>
      <c r="W287" s="236"/>
      <c r="X287" s="231"/>
      <c r="Y287" s="231"/>
      <c r="Z287" s="231"/>
      <c r="AA287" s="236"/>
      <c r="AB287" s="231"/>
      <c r="AC287" s="231"/>
      <c r="AD287" s="231"/>
      <c r="AE287" s="236"/>
      <c r="AF287" s="239"/>
      <c r="AG287" s="239"/>
      <c r="AH287" s="239"/>
      <c r="AI287" s="239"/>
      <c r="AJ287" s="239"/>
      <c r="AK287" s="239"/>
    </row>
    <row r="288" spans="8:37">
      <c r="H288" s="231"/>
      <c r="I288" s="231"/>
      <c r="J288" s="231"/>
      <c r="K288" s="236"/>
      <c r="L288" s="231"/>
      <c r="M288" s="231"/>
      <c r="N288" s="231"/>
      <c r="O288" s="236"/>
      <c r="P288" s="231"/>
      <c r="Q288" s="231"/>
      <c r="R288" s="231"/>
      <c r="S288" s="236"/>
      <c r="T288" s="231"/>
      <c r="U288" s="231"/>
      <c r="V288" s="231"/>
      <c r="W288" s="236"/>
      <c r="X288" s="231"/>
      <c r="Y288" s="231"/>
      <c r="Z288" s="231"/>
      <c r="AA288" s="236"/>
      <c r="AB288" s="231"/>
      <c r="AC288" s="231"/>
      <c r="AD288" s="231"/>
      <c r="AE288" s="236"/>
      <c r="AF288" s="239"/>
      <c r="AG288" s="239"/>
      <c r="AH288" s="239"/>
      <c r="AI288" s="239"/>
      <c r="AJ288" s="239"/>
      <c r="AK288" s="239"/>
    </row>
    <row r="289" spans="8:37">
      <c r="H289" s="231"/>
      <c r="I289" s="231"/>
      <c r="J289" s="231"/>
      <c r="K289" s="236"/>
      <c r="L289" s="231"/>
      <c r="M289" s="231"/>
      <c r="N289" s="231"/>
      <c r="O289" s="236"/>
      <c r="P289" s="231"/>
      <c r="Q289" s="231"/>
      <c r="R289" s="231"/>
      <c r="S289" s="236"/>
      <c r="T289" s="231"/>
      <c r="U289" s="231"/>
      <c r="V289" s="231"/>
      <c r="W289" s="236"/>
      <c r="X289" s="231"/>
      <c r="Y289" s="231"/>
      <c r="Z289" s="231"/>
      <c r="AA289" s="236"/>
      <c r="AB289" s="231"/>
      <c r="AC289" s="231"/>
      <c r="AD289" s="231"/>
      <c r="AE289" s="236"/>
      <c r="AF289" s="239"/>
      <c r="AG289" s="239"/>
      <c r="AH289" s="239"/>
      <c r="AI289" s="239"/>
      <c r="AJ289" s="239"/>
      <c r="AK289" s="239"/>
    </row>
    <row r="290" spans="8:37">
      <c r="H290" s="231"/>
      <c r="I290" s="231"/>
      <c r="J290" s="231"/>
      <c r="K290" s="236"/>
      <c r="L290" s="231"/>
      <c r="M290" s="231"/>
      <c r="N290" s="231"/>
      <c r="O290" s="236"/>
      <c r="P290" s="231"/>
      <c r="Q290" s="231"/>
      <c r="R290" s="231"/>
      <c r="S290" s="236"/>
      <c r="T290" s="231"/>
      <c r="U290" s="231"/>
      <c r="V290" s="231"/>
      <c r="W290" s="236"/>
      <c r="X290" s="231"/>
      <c r="Y290" s="231"/>
      <c r="Z290" s="231"/>
      <c r="AA290" s="236"/>
      <c r="AB290" s="231"/>
      <c r="AC290" s="231"/>
      <c r="AD290" s="231"/>
      <c r="AE290" s="236"/>
      <c r="AF290" s="239"/>
      <c r="AG290" s="239"/>
      <c r="AH290" s="239"/>
      <c r="AI290" s="239"/>
      <c r="AJ290" s="239"/>
      <c r="AK290" s="239"/>
    </row>
    <row r="291" spans="8:37">
      <c r="H291" s="231"/>
      <c r="I291" s="231"/>
      <c r="J291" s="231"/>
      <c r="K291" s="236"/>
      <c r="L291" s="231"/>
      <c r="M291" s="231"/>
      <c r="N291" s="231"/>
      <c r="O291" s="236"/>
      <c r="P291" s="231"/>
      <c r="Q291" s="231"/>
      <c r="R291" s="231"/>
      <c r="S291" s="236"/>
      <c r="T291" s="231"/>
      <c r="U291" s="231"/>
      <c r="V291" s="231"/>
      <c r="W291" s="236"/>
      <c r="X291" s="231"/>
      <c r="Y291" s="231"/>
      <c r="Z291" s="231"/>
      <c r="AA291" s="236"/>
      <c r="AB291" s="231"/>
      <c r="AC291" s="231"/>
      <c r="AD291" s="231"/>
      <c r="AE291" s="236"/>
      <c r="AF291" s="239"/>
      <c r="AG291" s="239"/>
      <c r="AH291" s="239"/>
      <c r="AI291" s="239"/>
      <c r="AJ291" s="239"/>
      <c r="AK291" s="239"/>
    </row>
    <row r="292" spans="8:37">
      <c r="H292" s="231"/>
      <c r="I292" s="231"/>
      <c r="J292" s="231"/>
      <c r="K292" s="236"/>
      <c r="L292" s="231"/>
      <c r="M292" s="231"/>
      <c r="N292" s="231"/>
      <c r="O292" s="236"/>
      <c r="P292" s="231"/>
      <c r="Q292" s="231"/>
      <c r="R292" s="231"/>
      <c r="S292" s="236"/>
      <c r="T292" s="231"/>
      <c r="U292" s="231"/>
      <c r="V292" s="231"/>
      <c r="W292" s="236"/>
      <c r="X292" s="231"/>
      <c r="Y292" s="231"/>
      <c r="Z292" s="231"/>
      <c r="AA292" s="236"/>
      <c r="AB292" s="231"/>
      <c r="AC292" s="231"/>
      <c r="AD292" s="231"/>
      <c r="AE292" s="236"/>
      <c r="AF292" s="239"/>
      <c r="AG292" s="239"/>
      <c r="AH292" s="239"/>
      <c r="AI292" s="239"/>
      <c r="AJ292" s="239"/>
      <c r="AK292" s="239"/>
    </row>
    <row r="293" spans="8:37">
      <c r="H293" s="231"/>
      <c r="I293" s="231"/>
      <c r="J293" s="231"/>
      <c r="K293" s="236"/>
      <c r="L293" s="231"/>
      <c r="M293" s="231"/>
      <c r="N293" s="231"/>
      <c r="O293" s="236"/>
      <c r="P293" s="231"/>
      <c r="Q293" s="231"/>
      <c r="R293" s="231"/>
      <c r="S293" s="236"/>
      <c r="T293" s="231"/>
      <c r="U293" s="231"/>
      <c r="V293" s="231"/>
      <c r="W293" s="236"/>
      <c r="X293" s="231"/>
      <c r="Y293" s="231"/>
      <c r="Z293" s="231"/>
      <c r="AA293" s="236"/>
      <c r="AB293" s="231"/>
      <c r="AC293" s="231"/>
      <c r="AD293" s="231"/>
      <c r="AE293" s="236"/>
      <c r="AF293" s="239"/>
      <c r="AG293" s="239"/>
      <c r="AH293" s="239"/>
      <c r="AI293" s="239"/>
      <c r="AJ293" s="239"/>
      <c r="AK293" s="239"/>
    </row>
    <row r="294" spans="8:37">
      <c r="H294" s="231"/>
      <c r="I294" s="231"/>
      <c r="J294" s="231"/>
      <c r="K294" s="236"/>
      <c r="L294" s="231"/>
      <c r="M294" s="231"/>
      <c r="N294" s="231"/>
      <c r="O294" s="236"/>
      <c r="P294" s="231"/>
      <c r="Q294" s="231"/>
      <c r="R294" s="231"/>
      <c r="S294" s="236"/>
      <c r="T294" s="231"/>
      <c r="U294" s="231"/>
      <c r="V294" s="231"/>
      <c r="W294" s="236"/>
      <c r="X294" s="231"/>
      <c r="Y294" s="231"/>
      <c r="Z294" s="231"/>
      <c r="AA294" s="236"/>
      <c r="AB294" s="231"/>
      <c r="AC294" s="231"/>
      <c r="AD294" s="231"/>
      <c r="AE294" s="236"/>
      <c r="AF294" s="239"/>
      <c r="AG294" s="239"/>
      <c r="AH294" s="239"/>
      <c r="AI294" s="239"/>
      <c r="AJ294" s="239"/>
      <c r="AK294" s="239"/>
    </row>
    <row r="295" spans="8:37">
      <c r="H295" s="231"/>
      <c r="I295" s="231"/>
      <c r="J295" s="231"/>
      <c r="K295" s="236"/>
      <c r="L295" s="231"/>
      <c r="M295" s="231"/>
      <c r="N295" s="231"/>
      <c r="O295" s="236"/>
      <c r="P295" s="231"/>
      <c r="Q295" s="231"/>
      <c r="R295" s="231"/>
      <c r="S295" s="236"/>
      <c r="T295" s="231"/>
      <c r="U295" s="231"/>
      <c r="V295" s="231"/>
      <c r="W295" s="236"/>
      <c r="X295" s="231"/>
      <c r="Y295" s="231"/>
      <c r="Z295" s="231"/>
      <c r="AA295" s="236"/>
      <c r="AB295" s="231"/>
      <c r="AC295" s="231"/>
      <c r="AD295" s="231"/>
      <c r="AE295" s="236"/>
      <c r="AF295" s="239"/>
      <c r="AG295" s="239"/>
      <c r="AH295" s="239"/>
      <c r="AI295" s="239"/>
      <c r="AJ295" s="239"/>
      <c r="AK295" s="239"/>
    </row>
    <row r="296" spans="8:37">
      <c r="H296" s="231"/>
      <c r="I296" s="231"/>
      <c r="J296" s="231"/>
      <c r="K296" s="236"/>
      <c r="L296" s="231"/>
      <c r="M296" s="231"/>
      <c r="N296" s="231"/>
      <c r="O296" s="236"/>
      <c r="P296" s="231"/>
      <c r="Q296" s="231"/>
      <c r="R296" s="231"/>
      <c r="S296" s="236"/>
      <c r="T296" s="231"/>
      <c r="U296" s="231"/>
      <c r="V296" s="231"/>
      <c r="W296" s="236"/>
      <c r="X296" s="231"/>
      <c r="Y296" s="231"/>
      <c r="Z296" s="231"/>
      <c r="AA296" s="236"/>
      <c r="AB296" s="231"/>
      <c r="AC296" s="231"/>
      <c r="AD296" s="231"/>
      <c r="AE296" s="236"/>
      <c r="AF296" s="239"/>
      <c r="AG296" s="239"/>
      <c r="AH296" s="239"/>
      <c r="AI296" s="239"/>
      <c r="AJ296" s="239"/>
      <c r="AK296" s="239"/>
    </row>
    <row r="297" spans="8:37">
      <c r="H297" s="231"/>
      <c r="I297" s="231"/>
      <c r="J297" s="231"/>
      <c r="K297" s="236"/>
      <c r="L297" s="231"/>
      <c r="M297" s="231"/>
      <c r="N297" s="231"/>
      <c r="O297" s="236"/>
      <c r="P297" s="231"/>
      <c r="Q297" s="231"/>
      <c r="R297" s="231"/>
      <c r="S297" s="236"/>
      <c r="T297" s="231"/>
      <c r="U297" s="231"/>
      <c r="V297" s="231"/>
      <c r="W297" s="236"/>
      <c r="X297" s="231"/>
      <c r="Y297" s="231"/>
      <c r="Z297" s="231"/>
      <c r="AA297" s="236"/>
      <c r="AB297" s="231"/>
      <c r="AC297" s="231"/>
      <c r="AD297" s="231"/>
      <c r="AE297" s="236"/>
      <c r="AF297" s="239"/>
      <c r="AG297" s="239"/>
      <c r="AH297" s="239"/>
      <c r="AI297" s="239"/>
      <c r="AJ297" s="239"/>
      <c r="AK297" s="239"/>
    </row>
    <row r="298" spans="8:37">
      <c r="H298" s="231"/>
      <c r="I298" s="231"/>
      <c r="J298" s="231"/>
      <c r="K298" s="236"/>
      <c r="L298" s="231"/>
      <c r="M298" s="231"/>
      <c r="N298" s="231"/>
      <c r="O298" s="236"/>
      <c r="P298" s="231"/>
      <c r="Q298" s="231"/>
      <c r="R298" s="231"/>
      <c r="S298" s="236"/>
      <c r="T298" s="231"/>
      <c r="U298" s="231"/>
      <c r="V298" s="231"/>
      <c r="W298" s="236"/>
      <c r="X298" s="231"/>
      <c r="Y298" s="231"/>
      <c r="Z298" s="231"/>
      <c r="AA298" s="236"/>
      <c r="AB298" s="231"/>
      <c r="AC298" s="231"/>
      <c r="AD298" s="231"/>
      <c r="AE298" s="236"/>
      <c r="AF298" s="239"/>
      <c r="AG298" s="239"/>
      <c r="AH298" s="239"/>
      <c r="AI298" s="239"/>
      <c r="AJ298" s="239"/>
      <c r="AK298" s="239"/>
    </row>
    <row r="299" spans="8:37">
      <c r="H299" s="231"/>
      <c r="I299" s="231"/>
      <c r="J299" s="231"/>
      <c r="K299" s="236"/>
      <c r="L299" s="231"/>
      <c r="M299" s="231"/>
      <c r="N299" s="231"/>
      <c r="O299" s="236"/>
      <c r="P299" s="231"/>
      <c r="Q299" s="231"/>
      <c r="R299" s="231"/>
      <c r="S299" s="236"/>
      <c r="T299" s="231"/>
      <c r="U299" s="231"/>
      <c r="V299" s="231"/>
      <c r="W299" s="236"/>
      <c r="X299" s="231"/>
      <c r="Y299" s="231"/>
      <c r="Z299" s="231"/>
      <c r="AA299" s="236"/>
      <c r="AB299" s="231"/>
      <c r="AC299" s="231"/>
      <c r="AD299" s="231"/>
      <c r="AE299" s="236"/>
      <c r="AF299" s="239"/>
      <c r="AG299" s="239"/>
      <c r="AH299" s="239"/>
      <c r="AI299" s="239"/>
      <c r="AJ299" s="239"/>
      <c r="AK299" s="239"/>
    </row>
    <row r="300" spans="8:37">
      <c r="H300" s="231"/>
      <c r="I300" s="231"/>
      <c r="J300" s="231"/>
      <c r="K300" s="236"/>
      <c r="L300" s="231"/>
      <c r="M300" s="231"/>
      <c r="N300" s="231"/>
      <c r="O300" s="236"/>
      <c r="P300" s="231"/>
      <c r="Q300" s="231"/>
      <c r="R300" s="231"/>
      <c r="S300" s="236"/>
      <c r="T300" s="231"/>
      <c r="U300" s="231"/>
      <c r="V300" s="231"/>
      <c r="W300" s="236"/>
      <c r="X300" s="231"/>
      <c r="Y300" s="231"/>
      <c r="Z300" s="231"/>
      <c r="AA300" s="236"/>
      <c r="AB300" s="231"/>
      <c r="AC300" s="231"/>
      <c r="AD300" s="231"/>
      <c r="AE300" s="236"/>
      <c r="AF300" s="239"/>
      <c r="AG300" s="239"/>
      <c r="AH300" s="239"/>
      <c r="AI300" s="239"/>
      <c r="AJ300" s="239"/>
      <c r="AK300" s="239"/>
    </row>
    <row r="301" spans="8:37">
      <c r="H301" s="231"/>
      <c r="I301" s="231"/>
      <c r="J301" s="231"/>
      <c r="K301" s="236"/>
      <c r="L301" s="231"/>
      <c r="M301" s="231"/>
      <c r="N301" s="231"/>
      <c r="O301" s="236"/>
      <c r="P301" s="231"/>
      <c r="Q301" s="231"/>
      <c r="R301" s="231"/>
      <c r="S301" s="236"/>
      <c r="T301" s="231"/>
      <c r="U301" s="231"/>
      <c r="V301" s="231"/>
      <c r="W301" s="236"/>
      <c r="X301" s="231"/>
      <c r="Y301" s="231"/>
      <c r="Z301" s="231"/>
      <c r="AA301" s="236"/>
      <c r="AB301" s="231"/>
      <c r="AC301" s="231"/>
      <c r="AD301" s="231"/>
      <c r="AE301" s="236"/>
      <c r="AF301" s="239"/>
      <c r="AG301" s="239"/>
      <c r="AH301" s="239"/>
      <c r="AI301" s="239"/>
      <c r="AJ301" s="239"/>
      <c r="AK301" s="239"/>
    </row>
    <row r="302" spans="8:37">
      <c r="H302" s="231"/>
      <c r="I302" s="231"/>
      <c r="J302" s="231"/>
      <c r="K302" s="236"/>
      <c r="L302" s="231"/>
      <c r="M302" s="231"/>
      <c r="N302" s="231"/>
      <c r="O302" s="236"/>
      <c r="P302" s="231"/>
      <c r="Q302" s="231"/>
      <c r="R302" s="231"/>
      <c r="S302" s="236"/>
      <c r="T302" s="231"/>
      <c r="U302" s="231"/>
      <c r="V302" s="231"/>
      <c r="W302" s="236"/>
      <c r="X302" s="231"/>
      <c r="Y302" s="231"/>
      <c r="Z302" s="231"/>
      <c r="AA302" s="236"/>
      <c r="AB302" s="231"/>
      <c r="AC302" s="231"/>
      <c r="AD302" s="231"/>
      <c r="AE302" s="236"/>
      <c r="AF302" s="239"/>
      <c r="AG302" s="239"/>
      <c r="AH302" s="239"/>
      <c r="AI302" s="239"/>
      <c r="AJ302" s="239"/>
      <c r="AK302" s="239"/>
    </row>
    <row r="303" spans="8:37">
      <c r="H303" s="231"/>
      <c r="I303" s="231"/>
      <c r="J303" s="231"/>
      <c r="K303" s="236"/>
      <c r="L303" s="231"/>
      <c r="M303" s="231"/>
      <c r="N303" s="231"/>
      <c r="O303" s="236"/>
      <c r="P303" s="231"/>
      <c r="Q303" s="231"/>
      <c r="R303" s="231"/>
      <c r="S303" s="236"/>
      <c r="T303" s="231"/>
      <c r="U303" s="231"/>
      <c r="V303" s="231"/>
      <c r="W303" s="236"/>
      <c r="X303" s="231"/>
      <c r="Y303" s="231"/>
      <c r="Z303" s="231"/>
      <c r="AA303" s="236"/>
      <c r="AB303" s="231"/>
      <c r="AC303" s="231"/>
      <c r="AD303" s="231"/>
      <c r="AE303" s="236"/>
      <c r="AF303" s="239"/>
      <c r="AG303" s="239"/>
      <c r="AH303" s="239"/>
      <c r="AI303" s="239"/>
      <c r="AJ303" s="239"/>
      <c r="AK303" s="239"/>
    </row>
    <row r="304" spans="8:37">
      <c r="H304" s="231"/>
      <c r="I304" s="231"/>
      <c r="J304" s="231"/>
      <c r="K304" s="236"/>
      <c r="L304" s="231"/>
      <c r="M304" s="231"/>
      <c r="N304" s="231"/>
      <c r="O304" s="236"/>
      <c r="P304" s="231"/>
      <c r="Q304" s="231"/>
      <c r="R304" s="231"/>
      <c r="S304" s="236"/>
      <c r="T304" s="231"/>
      <c r="U304" s="231"/>
      <c r="V304" s="231"/>
      <c r="W304" s="236"/>
      <c r="X304" s="231"/>
      <c r="Y304" s="231"/>
      <c r="Z304" s="231"/>
      <c r="AA304" s="236"/>
      <c r="AB304" s="231"/>
      <c r="AC304" s="231"/>
      <c r="AD304" s="231"/>
      <c r="AE304" s="236"/>
      <c r="AF304" s="239"/>
      <c r="AG304" s="239"/>
      <c r="AH304" s="239"/>
      <c r="AI304" s="239"/>
      <c r="AJ304" s="239"/>
      <c r="AK304" s="239"/>
    </row>
    <row r="305" spans="8:37">
      <c r="H305" s="231"/>
      <c r="I305" s="231"/>
      <c r="J305" s="231"/>
      <c r="K305" s="236"/>
      <c r="L305" s="231"/>
      <c r="M305" s="231"/>
      <c r="N305" s="231"/>
      <c r="O305" s="236"/>
      <c r="P305" s="231"/>
      <c r="Q305" s="231"/>
      <c r="R305" s="231"/>
      <c r="S305" s="236"/>
      <c r="T305" s="231"/>
      <c r="U305" s="231"/>
      <c r="V305" s="231"/>
      <c r="W305" s="236"/>
      <c r="X305" s="231"/>
      <c r="Y305" s="231"/>
      <c r="Z305" s="231"/>
      <c r="AA305" s="236"/>
      <c r="AB305" s="231"/>
      <c r="AC305" s="231"/>
      <c r="AD305" s="231"/>
      <c r="AE305" s="236"/>
      <c r="AF305" s="239"/>
      <c r="AG305" s="239"/>
      <c r="AH305" s="239"/>
      <c r="AI305" s="239"/>
      <c r="AJ305" s="239"/>
      <c r="AK305" s="239"/>
    </row>
    <row r="306" spans="8:37">
      <c r="H306" s="231"/>
      <c r="I306" s="231"/>
      <c r="J306" s="231"/>
      <c r="K306" s="236"/>
      <c r="L306" s="231"/>
      <c r="M306" s="231"/>
      <c r="N306" s="231"/>
      <c r="O306" s="236"/>
      <c r="P306" s="231"/>
      <c r="Q306" s="231"/>
      <c r="R306" s="231"/>
      <c r="S306" s="236"/>
      <c r="T306" s="231"/>
      <c r="U306" s="231"/>
      <c r="V306" s="231"/>
      <c r="W306" s="236"/>
      <c r="X306" s="231"/>
      <c r="Y306" s="231"/>
      <c r="Z306" s="231"/>
      <c r="AA306" s="236"/>
      <c r="AB306" s="231"/>
      <c r="AC306" s="231"/>
      <c r="AD306" s="231"/>
      <c r="AE306" s="236"/>
      <c r="AF306" s="239"/>
      <c r="AG306" s="239"/>
      <c r="AH306" s="239"/>
      <c r="AI306" s="239"/>
      <c r="AJ306" s="239"/>
      <c r="AK306" s="239"/>
    </row>
    <row r="307" spans="8:37">
      <c r="H307" s="231"/>
      <c r="I307" s="231"/>
      <c r="J307" s="231"/>
      <c r="K307" s="236"/>
      <c r="L307" s="231"/>
      <c r="M307" s="231"/>
      <c r="N307" s="231"/>
      <c r="O307" s="236"/>
      <c r="P307" s="231"/>
      <c r="Q307" s="231"/>
      <c r="R307" s="231"/>
      <c r="S307" s="236"/>
      <c r="T307" s="231"/>
      <c r="U307" s="231"/>
      <c r="V307" s="231"/>
      <c r="W307" s="236"/>
      <c r="X307" s="231"/>
      <c r="Y307" s="231"/>
      <c r="Z307" s="231"/>
      <c r="AA307" s="236"/>
      <c r="AB307" s="231"/>
      <c r="AC307" s="231"/>
      <c r="AD307" s="231"/>
      <c r="AE307" s="236"/>
      <c r="AF307" s="239"/>
      <c r="AG307" s="239"/>
      <c r="AH307" s="239"/>
      <c r="AI307" s="239"/>
      <c r="AJ307" s="239"/>
      <c r="AK307" s="239"/>
    </row>
    <row r="308" spans="8:37">
      <c r="H308" s="231"/>
      <c r="I308" s="231"/>
      <c r="J308" s="231"/>
      <c r="K308" s="236"/>
      <c r="L308" s="231"/>
      <c r="M308" s="231"/>
      <c r="N308" s="231"/>
      <c r="O308" s="236"/>
      <c r="P308" s="231"/>
      <c r="Q308" s="231"/>
      <c r="R308" s="231"/>
      <c r="S308" s="236"/>
      <c r="T308" s="231"/>
      <c r="U308" s="231"/>
      <c r="V308" s="231"/>
      <c r="W308" s="236"/>
      <c r="X308" s="231"/>
      <c r="Y308" s="231"/>
      <c r="Z308" s="231"/>
      <c r="AA308" s="236"/>
      <c r="AB308" s="231"/>
      <c r="AC308" s="231"/>
      <c r="AD308" s="231"/>
      <c r="AE308" s="236"/>
      <c r="AF308" s="239"/>
      <c r="AG308" s="239"/>
      <c r="AH308" s="239"/>
      <c r="AI308" s="239"/>
      <c r="AJ308" s="239"/>
      <c r="AK308" s="239"/>
    </row>
    <row r="309" spans="8:37">
      <c r="H309" s="231"/>
      <c r="I309" s="231"/>
      <c r="J309" s="231"/>
      <c r="K309" s="236"/>
      <c r="L309" s="231"/>
      <c r="M309" s="231"/>
      <c r="N309" s="231"/>
      <c r="O309" s="236"/>
      <c r="P309" s="231"/>
      <c r="Q309" s="231"/>
      <c r="R309" s="231"/>
      <c r="S309" s="236"/>
      <c r="T309" s="231"/>
      <c r="U309" s="231"/>
      <c r="V309" s="231"/>
      <c r="W309" s="236"/>
      <c r="X309" s="231"/>
      <c r="Y309" s="231"/>
      <c r="Z309" s="231"/>
      <c r="AA309" s="236"/>
      <c r="AB309" s="231"/>
      <c r="AC309" s="231"/>
      <c r="AD309" s="231"/>
      <c r="AE309" s="236"/>
      <c r="AF309" s="239"/>
      <c r="AG309" s="239"/>
      <c r="AH309" s="239"/>
      <c r="AI309" s="239"/>
      <c r="AJ309" s="239"/>
      <c r="AK309" s="239"/>
    </row>
    <row r="310" spans="8:37">
      <c r="H310" s="231"/>
      <c r="I310" s="231"/>
      <c r="J310" s="231"/>
      <c r="K310" s="236"/>
      <c r="L310" s="231"/>
      <c r="M310" s="231"/>
      <c r="N310" s="231"/>
      <c r="O310" s="236"/>
      <c r="P310" s="231"/>
      <c r="Q310" s="231"/>
      <c r="R310" s="231"/>
      <c r="S310" s="236"/>
      <c r="T310" s="231"/>
      <c r="U310" s="231"/>
      <c r="V310" s="231"/>
      <c r="W310" s="236"/>
      <c r="X310" s="231"/>
      <c r="Y310" s="231"/>
      <c r="Z310" s="231"/>
      <c r="AA310" s="236"/>
      <c r="AB310" s="231"/>
      <c r="AC310" s="231"/>
      <c r="AD310" s="231"/>
      <c r="AE310" s="236"/>
      <c r="AF310" s="239"/>
      <c r="AG310" s="239"/>
      <c r="AH310" s="239"/>
      <c r="AI310" s="239"/>
      <c r="AJ310" s="239"/>
      <c r="AK310" s="239"/>
    </row>
    <row r="311" spans="8:37">
      <c r="H311" s="231"/>
      <c r="I311" s="231"/>
      <c r="J311" s="231"/>
      <c r="K311" s="236"/>
      <c r="L311" s="231"/>
      <c r="M311" s="231"/>
      <c r="N311" s="231"/>
      <c r="O311" s="236"/>
      <c r="P311" s="231"/>
      <c r="Q311" s="231"/>
      <c r="R311" s="231"/>
      <c r="S311" s="236"/>
      <c r="T311" s="231"/>
      <c r="U311" s="231"/>
      <c r="V311" s="231"/>
      <c r="W311" s="236"/>
      <c r="X311" s="231"/>
      <c r="Y311" s="231"/>
      <c r="Z311" s="231"/>
      <c r="AA311" s="236"/>
      <c r="AB311" s="231"/>
      <c r="AC311" s="231"/>
      <c r="AD311" s="231"/>
      <c r="AE311" s="236"/>
      <c r="AF311" s="239"/>
      <c r="AG311" s="239"/>
      <c r="AH311" s="239"/>
      <c r="AI311" s="239"/>
      <c r="AJ311" s="239"/>
      <c r="AK311" s="239"/>
    </row>
    <row r="312" spans="8:37">
      <c r="H312" s="231"/>
      <c r="I312" s="231"/>
      <c r="J312" s="231"/>
      <c r="K312" s="236"/>
      <c r="L312" s="231"/>
      <c r="M312" s="231"/>
      <c r="N312" s="231"/>
      <c r="O312" s="236"/>
      <c r="P312" s="231"/>
      <c r="Q312" s="231"/>
      <c r="R312" s="231"/>
      <c r="S312" s="236"/>
      <c r="T312" s="231"/>
      <c r="U312" s="231"/>
      <c r="V312" s="231"/>
      <c r="W312" s="236"/>
      <c r="X312" s="231"/>
      <c r="Y312" s="231"/>
      <c r="Z312" s="231"/>
      <c r="AA312" s="236"/>
      <c r="AB312" s="231"/>
      <c r="AC312" s="231"/>
      <c r="AD312" s="231"/>
      <c r="AE312" s="236"/>
      <c r="AF312" s="239"/>
      <c r="AG312" s="239"/>
      <c r="AH312" s="239"/>
      <c r="AI312" s="239"/>
      <c r="AJ312" s="239"/>
      <c r="AK312" s="239"/>
    </row>
    <row r="313" spans="8:37">
      <c r="H313" s="231"/>
      <c r="I313" s="231"/>
      <c r="J313" s="231"/>
      <c r="K313" s="236"/>
      <c r="L313" s="231"/>
      <c r="M313" s="231"/>
      <c r="N313" s="231"/>
      <c r="O313" s="236"/>
      <c r="P313" s="231"/>
      <c r="Q313" s="231"/>
      <c r="R313" s="231"/>
      <c r="S313" s="236"/>
      <c r="T313" s="231"/>
      <c r="U313" s="231"/>
      <c r="V313" s="231"/>
      <c r="W313" s="236"/>
      <c r="X313" s="231"/>
      <c r="Y313" s="231"/>
      <c r="Z313" s="231"/>
      <c r="AA313" s="236"/>
      <c r="AB313" s="231"/>
      <c r="AC313" s="231"/>
      <c r="AD313" s="231"/>
      <c r="AE313" s="236"/>
      <c r="AF313" s="239"/>
      <c r="AG313" s="239"/>
      <c r="AH313" s="239"/>
      <c r="AI313" s="239"/>
      <c r="AJ313" s="239"/>
      <c r="AK313" s="239"/>
    </row>
    <row r="314" spans="8:37">
      <c r="H314" s="231"/>
      <c r="I314" s="231"/>
      <c r="J314" s="231"/>
      <c r="K314" s="236"/>
      <c r="L314" s="231"/>
      <c r="M314" s="231"/>
      <c r="N314" s="231"/>
      <c r="O314" s="236"/>
      <c r="P314" s="231"/>
      <c r="Q314" s="231"/>
      <c r="R314" s="231"/>
      <c r="S314" s="236"/>
      <c r="T314" s="231"/>
      <c r="U314" s="231"/>
      <c r="V314" s="231"/>
      <c r="W314" s="236"/>
      <c r="X314" s="231"/>
      <c r="Y314" s="231"/>
      <c r="Z314" s="231"/>
      <c r="AA314" s="236"/>
      <c r="AB314" s="231"/>
      <c r="AC314" s="231"/>
      <c r="AD314" s="231"/>
      <c r="AE314" s="236"/>
      <c r="AF314" s="239"/>
      <c r="AG314" s="239"/>
      <c r="AH314" s="239"/>
      <c r="AI314" s="239"/>
      <c r="AJ314" s="239"/>
      <c r="AK314" s="239"/>
    </row>
    <row r="315" spans="8:37">
      <c r="H315" s="231"/>
      <c r="I315" s="231"/>
      <c r="J315" s="231"/>
      <c r="K315" s="236"/>
      <c r="L315" s="231"/>
      <c r="M315" s="231"/>
      <c r="N315" s="231"/>
      <c r="O315" s="236"/>
      <c r="P315" s="231"/>
      <c r="Q315" s="231"/>
      <c r="R315" s="231"/>
      <c r="S315" s="236"/>
      <c r="T315" s="231"/>
      <c r="U315" s="231"/>
      <c r="V315" s="231"/>
      <c r="W315" s="236"/>
      <c r="X315" s="231"/>
      <c r="Y315" s="231"/>
      <c r="Z315" s="231"/>
      <c r="AA315" s="236"/>
      <c r="AB315" s="231"/>
      <c r="AC315" s="231"/>
      <c r="AD315" s="231"/>
      <c r="AE315" s="236"/>
      <c r="AF315" s="239"/>
      <c r="AG315" s="239"/>
      <c r="AH315" s="239"/>
      <c r="AI315" s="239"/>
      <c r="AJ315" s="239"/>
      <c r="AK315" s="239"/>
    </row>
    <row r="316" spans="8:37">
      <c r="H316" s="231"/>
      <c r="I316" s="231"/>
      <c r="J316" s="231"/>
      <c r="K316" s="236"/>
      <c r="L316" s="231"/>
      <c r="M316" s="231"/>
      <c r="N316" s="231"/>
      <c r="O316" s="236"/>
      <c r="P316" s="231"/>
      <c r="Q316" s="231"/>
      <c r="R316" s="231"/>
      <c r="S316" s="236"/>
      <c r="T316" s="231"/>
      <c r="U316" s="231"/>
      <c r="V316" s="231"/>
      <c r="W316" s="236"/>
      <c r="X316" s="231"/>
      <c r="Y316" s="231"/>
      <c r="Z316" s="231"/>
      <c r="AA316" s="236"/>
      <c r="AB316" s="231"/>
      <c r="AC316" s="231"/>
      <c r="AD316" s="231"/>
      <c r="AE316" s="236"/>
      <c r="AF316" s="239"/>
      <c r="AG316" s="239"/>
      <c r="AH316" s="239"/>
      <c r="AI316" s="239"/>
      <c r="AJ316" s="239"/>
      <c r="AK316" s="239"/>
    </row>
    <row r="317" spans="8:37">
      <c r="H317" s="231"/>
      <c r="I317" s="231"/>
      <c r="J317" s="231"/>
      <c r="K317" s="236"/>
      <c r="L317" s="231"/>
      <c r="M317" s="231"/>
      <c r="N317" s="231"/>
      <c r="O317" s="236"/>
      <c r="P317" s="231"/>
      <c r="Q317" s="231"/>
      <c r="R317" s="231"/>
      <c r="S317" s="236"/>
      <c r="T317" s="231"/>
      <c r="U317" s="231"/>
      <c r="V317" s="231"/>
      <c r="W317" s="236"/>
      <c r="X317" s="231"/>
      <c r="Y317" s="231"/>
      <c r="Z317" s="231"/>
      <c r="AA317" s="236"/>
      <c r="AB317" s="231"/>
      <c r="AC317" s="231"/>
      <c r="AD317" s="231"/>
      <c r="AE317" s="236"/>
      <c r="AF317" s="239"/>
      <c r="AG317" s="239"/>
      <c r="AH317" s="239"/>
      <c r="AI317" s="239"/>
      <c r="AJ317" s="239"/>
      <c r="AK317" s="239"/>
    </row>
    <row r="318" spans="8:37">
      <c r="H318" s="231"/>
      <c r="I318" s="231"/>
      <c r="J318" s="231"/>
      <c r="K318" s="236"/>
      <c r="L318" s="231"/>
      <c r="M318" s="231"/>
      <c r="N318" s="231"/>
      <c r="O318" s="236"/>
      <c r="P318" s="231"/>
      <c r="Q318" s="231"/>
      <c r="R318" s="231"/>
      <c r="S318" s="236"/>
      <c r="T318" s="231"/>
      <c r="U318" s="231"/>
      <c r="V318" s="231"/>
      <c r="W318" s="236"/>
      <c r="X318" s="231"/>
      <c r="Y318" s="231"/>
      <c r="Z318" s="231"/>
      <c r="AA318" s="236"/>
      <c r="AB318" s="231"/>
      <c r="AC318" s="231"/>
      <c r="AD318" s="231"/>
      <c r="AE318" s="236"/>
      <c r="AF318" s="239"/>
      <c r="AG318" s="239"/>
      <c r="AH318" s="239"/>
      <c r="AI318" s="239"/>
      <c r="AJ318" s="239"/>
      <c r="AK318" s="239"/>
    </row>
    <row r="319" spans="8:37">
      <c r="H319" s="231"/>
      <c r="I319" s="231"/>
      <c r="J319" s="231"/>
      <c r="K319" s="236"/>
      <c r="L319" s="231"/>
      <c r="M319" s="231"/>
      <c r="N319" s="231"/>
      <c r="O319" s="236"/>
      <c r="P319" s="231"/>
      <c r="Q319" s="231"/>
      <c r="R319" s="231"/>
      <c r="S319" s="236"/>
      <c r="T319" s="231"/>
      <c r="U319" s="231"/>
      <c r="V319" s="231"/>
      <c r="W319" s="236"/>
      <c r="X319" s="231"/>
      <c r="Y319" s="231"/>
      <c r="Z319" s="231"/>
      <c r="AA319" s="236"/>
      <c r="AB319" s="231"/>
      <c r="AC319" s="231"/>
      <c r="AD319" s="231"/>
      <c r="AE319" s="236"/>
      <c r="AF319" s="239"/>
      <c r="AG319" s="239"/>
      <c r="AH319" s="239"/>
      <c r="AI319" s="239"/>
      <c r="AJ319" s="239"/>
      <c r="AK319" s="239"/>
    </row>
    <row r="320" spans="8:37">
      <c r="H320" s="231"/>
      <c r="I320" s="231"/>
      <c r="J320" s="231"/>
      <c r="K320" s="236"/>
      <c r="L320" s="231"/>
      <c r="M320" s="231"/>
      <c r="N320" s="231"/>
      <c r="O320" s="236"/>
      <c r="P320" s="231"/>
      <c r="Q320" s="231"/>
      <c r="R320" s="231"/>
      <c r="S320" s="236"/>
      <c r="T320" s="231"/>
      <c r="U320" s="231"/>
      <c r="V320" s="231"/>
      <c r="W320" s="236"/>
      <c r="X320" s="231"/>
      <c r="Y320" s="231"/>
      <c r="Z320" s="231"/>
      <c r="AA320" s="236"/>
      <c r="AB320" s="231"/>
      <c r="AC320" s="231"/>
      <c r="AD320" s="231"/>
      <c r="AE320" s="236"/>
      <c r="AF320" s="239"/>
      <c r="AG320" s="239"/>
      <c r="AH320" s="239"/>
      <c r="AI320" s="239"/>
      <c r="AJ320" s="239"/>
      <c r="AK320" s="239"/>
    </row>
    <row r="321" spans="8:37">
      <c r="H321" s="231"/>
      <c r="I321" s="231"/>
      <c r="J321" s="231"/>
      <c r="K321" s="236"/>
      <c r="L321" s="231"/>
      <c r="M321" s="231"/>
      <c r="N321" s="231"/>
      <c r="O321" s="236"/>
      <c r="P321" s="231"/>
      <c r="Q321" s="231"/>
      <c r="R321" s="231"/>
      <c r="S321" s="236"/>
      <c r="T321" s="231"/>
      <c r="U321" s="231"/>
      <c r="V321" s="231"/>
      <c r="W321" s="236"/>
      <c r="X321" s="231"/>
      <c r="Y321" s="231"/>
      <c r="Z321" s="231"/>
      <c r="AA321" s="236"/>
      <c r="AB321" s="231"/>
      <c r="AC321" s="231"/>
      <c r="AD321" s="231"/>
      <c r="AE321" s="236"/>
      <c r="AF321" s="239"/>
      <c r="AG321" s="239"/>
      <c r="AH321" s="239"/>
      <c r="AI321" s="239"/>
      <c r="AJ321" s="239"/>
      <c r="AK321" s="239"/>
    </row>
    <row r="322" spans="8:37">
      <c r="H322" s="231"/>
      <c r="I322" s="231"/>
      <c r="J322" s="231"/>
      <c r="K322" s="236"/>
      <c r="L322" s="231"/>
      <c r="M322" s="231"/>
      <c r="N322" s="231"/>
      <c r="O322" s="236"/>
      <c r="P322" s="231"/>
      <c r="Q322" s="231"/>
      <c r="R322" s="231"/>
      <c r="S322" s="236"/>
      <c r="T322" s="231"/>
      <c r="U322" s="231"/>
      <c r="V322" s="231"/>
      <c r="W322" s="236"/>
      <c r="X322" s="231"/>
      <c r="Y322" s="231"/>
      <c r="Z322" s="231"/>
      <c r="AA322" s="236"/>
      <c r="AB322" s="231"/>
      <c r="AC322" s="231"/>
      <c r="AD322" s="231"/>
      <c r="AE322" s="236"/>
      <c r="AF322" s="239"/>
      <c r="AG322" s="239"/>
      <c r="AH322" s="239"/>
      <c r="AI322" s="239"/>
      <c r="AJ322" s="239"/>
      <c r="AK322" s="239"/>
    </row>
    <row r="323" spans="8:37">
      <c r="H323" s="231"/>
      <c r="I323" s="231"/>
      <c r="J323" s="231"/>
      <c r="K323" s="236"/>
      <c r="L323" s="231"/>
      <c r="M323" s="231"/>
      <c r="N323" s="231"/>
      <c r="O323" s="236"/>
      <c r="P323" s="231"/>
      <c r="Q323" s="231"/>
      <c r="R323" s="231"/>
      <c r="S323" s="236"/>
      <c r="T323" s="231"/>
      <c r="U323" s="231"/>
      <c r="V323" s="231"/>
      <c r="W323" s="236"/>
      <c r="X323" s="231"/>
      <c r="Y323" s="231"/>
      <c r="Z323" s="231"/>
      <c r="AA323" s="236"/>
      <c r="AB323" s="231"/>
      <c r="AC323" s="231"/>
      <c r="AD323" s="231"/>
      <c r="AE323" s="236"/>
      <c r="AF323" s="239"/>
      <c r="AG323" s="239"/>
      <c r="AH323" s="239"/>
      <c r="AI323" s="239"/>
      <c r="AJ323" s="239"/>
      <c r="AK323" s="239"/>
    </row>
    <row r="324" spans="8:37">
      <c r="H324" s="231"/>
      <c r="I324" s="231"/>
      <c r="J324" s="231"/>
      <c r="K324" s="236"/>
      <c r="L324" s="231"/>
      <c r="M324" s="231"/>
      <c r="N324" s="231"/>
      <c r="O324" s="236"/>
      <c r="P324" s="231"/>
      <c r="Q324" s="231"/>
      <c r="R324" s="231"/>
      <c r="S324" s="236"/>
      <c r="T324" s="231"/>
      <c r="U324" s="231"/>
      <c r="V324" s="231"/>
      <c r="W324" s="236"/>
      <c r="X324" s="231"/>
      <c r="Y324" s="231"/>
      <c r="Z324" s="231"/>
      <c r="AA324" s="236"/>
      <c r="AB324" s="231"/>
      <c r="AC324" s="231"/>
      <c r="AD324" s="231"/>
      <c r="AE324" s="236"/>
      <c r="AF324" s="239"/>
      <c r="AG324" s="239"/>
      <c r="AH324" s="239"/>
      <c r="AI324" s="239"/>
      <c r="AJ324" s="239"/>
      <c r="AK324" s="239"/>
    </row>
    <row r="325" spans="8:37">
      <c r="H325" s="231"/>
      <c r="I325" s="231"/>
      <c r="J325" s="231"/>
      <c r="K325" s="236"/>
      <c r="L325" s="231"/>
      <c r="M325" s="231"/>
      <c r="N325" s="231"/>
      <c r="O325" s="236"/>
      <c r="P325" s="231"/>
      <c r="Q325" s="231"/>
      <c r="R325" s="231"/>
      <c r="S325" s="236"/>
      <c r="T325" s="231"/>
      <c r="U325" s="231"/>
      <c r="V325" s="231"/>
      <c r="W325" s="236"/>
      <c r="X325" s="231"/>
      <c r="Y325" s="231"/>
      <c r="Z325" s="231"/>
      <c r="AA325" s="236"/>
      <c r="AB325" s="231"/>
      <c r="AC325" s="231"/>
      <c r="AD325" s="231"/>
      <c r="AE325" s="236"/>
      <c r="AF325" s="239"/>
      <c r="AG325" s="239"/>
      <c r="AH325" s="239"/>
      <c r="AI325" s="239"/>
      <c r="AJ325" s="239"/>
      <c r="AK325" s="239"/>
    </row>
    <row r="326" spans="8:37">
      <c r="H326" s="231"/>
      <c r="I326" s="231"/>
      <c r="J326" s="231"/>
      <c r="K326" s="236"/>
      <c r="L326" s="231"/>
      <c r="M326" s="231"/>
      <c r="N326" s="231"/>
      <c r="O326" s="236"/>
      <c r="P326" s="231"/>
      <c r="Q326" s="231"/>
      <c r="R326" s="231"/>
      <c r="S326" s="236"/>
      <c r="T326" s="231"/>
      <c r="U326" s="231"/>
      <c r="V326" s="231"/>
      <c r="W326" s="236"/>
      <c r="X326" s="231"/>
      <c r="Y326" s="231"/>
      <c r="Z326" s="231"/>
      <c r="AA326" s="236"/>
      <c r="AB326" s="231"/>
      <c r="AC326" s="231"/>
      <c r="AD326" s="231"/>
      <c r="AE326" s="236"/>
      <c r="AF326" s="239"/>
      <c r="AG326" s="239"/>
      <c r="AH326" s="239"/>
      <c r="AI326" s="239"/>
      <c r="AJ326" s="239"/>
      <c r="AK326" s="239"/>
    </row>
    <row r="327" spans="8:37">
      <c r="H327" s="231"/>
      <c r="I327" s="231"/>
      <c r="J327" s="231"/>
      <c r="K327" s="236"/>
      <c r="L327" s="231"/>
      <c r="M327" s="231"/>
      <c r="N327" s="231"/>
      <c r="O327" s="236"/>
      <c r="P327" s="231"/>
      <c r="Q327" s="231"/>
      <c r="R327" s="231"/>
      <c r="S327" s="236"/>
      <c r="T327" s="231"/>
      <c r="U327" s="231"/>
      <c r="V327" s="231"/>
      <c r="W327" s="236"/>
      <c r="X327" s="231"/>
      <c r="Y327" s="231"/>
      <c r="Z327" s="231"/>
      <c r="AA327" s="236"/>
      <c r="AB327" s="231"/>
      <c r="AC327" s="231"/>
      <c r="AD327" s="231"/>
      <c r="AE327" s="236"/>
      <c r="AF327" s="239"/>
      <c r="AG327" s="239"/>
      <c r="AH327" s="239"/>
      <c r="AI327" s="239"/>
      <c r="AJ327" s="239"/>
      <c r="AK327" s="239"/>
    </row>
    <row r="328" spans="8:37">
      <c r="H328" s="231"/>
      <c r="I328" s="231"/>
      <c r="J328" s="231"/>
      <c r="K328" s="236"/>
      <c r="L328" s="231"/>
      <c r="M328" s="231"/>
      <c r="N328" s="231"/>
      <c r="O328" s="236"/>
      <c r="P328" s="231"/>
      <c r="Q328" s="231"/>
      <c r="R328" s="231"/>
      <c r="S328" s="236"/>
      <c r="T328" s="231"/>
      <c r="U328" s="231"/>
      <c r="V328" s="231"/>
      <c r="W328" s="236"/>
      <c r="X328" s="231"/>
      <c r="Y328" s="231"/>
      <c r="Z328" s="231"/>
      <c r="AA328" s="236"/>
      <c r="AB328" s="231"/>
      <c r="AC328" s="231"/>
      <c r="AD328" s="231"/>
      <c r="AE328" s="236"/>
      <c r="AF328" s="239"/>
      <c r="AG328" s="239"/>
      <c r="AH328" s="239"/>
      <c r="AI328" s="239"/>
      <c r="AJ328" s="239"/>
      <c r="AK328" s="239"/>
    </row>
    <row r="329" spans="8:37">
      <c r="H329" s="231"/>
      <c r="I329" s="231"/>
      <c r="J329" s="231"/>
      <c r="K329" s="236"/>
      <c r="L329" s="231"/>
      <c r="M329" s="231"/>
      <c r="N329" s="231"/>
      <c r="O329" s="236"/>
      <c r="P329" s="231"/>
      <c r="Q329" s="231"/>
      <c r="R329" s="231"/>
      <c r="S329" s="236"/>
      <c r="T329" s="231"/>
      <c r="U329" s="231"/>
      <c r="V329" s="231"/>
      <c r="W329" s="236"/>
      <c r="X329" s="231"/>
      <c r="Y329" s="231"/>
      <c r="Z329" s="231"/>
      <c r="AA329" s="236"/>
      <c r="AB329" s="231"/>
      <c r="AC329" s="231"/>
      <c r="AD329" s="231"/>
      <c r="AE329" s="236"/>
      <c r="AF329" s="239"/>
      <c r="AG329" s="239"/>
      <c r="AH329" s="239"/>
      <c r="AI329" s="239"/>
      <c r="AJ329" s="239"/>
      <c r="AK329" s="239"/>
    </row>
    <row r="330" spans="8:37">
      <c r="AF330" s="239"/>
      <c r="AG330" s="239"/>
      <c r="AH330" s="239"/>
      <c r="AI330" s="239"/>
      <c r="AJ330" s="239"/>
      <c r="AK330" s="239"/>
    </row>
    <row r="331" spans="8:37">
      <c r="AF331" s="239"/>
      <c r="AG331" s="239"/>
      <c r="AH331" s="239"/>
      <c r="AI331" s="239"/>
      <c r="AJ331" s="239"/>
      <c r="AK331" s="239"/>
    </row>
    <row r="332" spans="8:37">
      <c r="AF332" s="239"/>
      <c r="AG332" s="239"/>
      <c r="AH332" s="239"/>
      <c r="AI332" s="239"/>
      <c r="AJ332" s="239"/>
      <c r="AK332" s="239"/>
    </row>
    <row r="333" spans="8:37">
      <c r="AF333" s="239"/>
      <c r="AG333" s="239"/>
      <c r="AH333" s="239"/>
      <c r="AI333" s="239"/>
      <c r="AJ333" s="239"/>
      <c r="AK333" s="239"/>
    </row>
    <row r="334" spans="8:37">
      <c r="AF334" s="239"/>
      <c r="AG334" s="239"/>
      <c r="AH334" s="239"/>
      <c r="AI334" s="239"/>
      <c r="AJ334" s="239"/>
      <c r="AK334" s="239"/>
    </row>
    <row r="335" spans="8:37">
      <c r="AF335" s="239"/>
      <c r="AG335" s="239"/>
      <c r="AH335" s="239"/>
      <c r="AI335" s="239"/>
      <c r="AJ335" s="239"/>
      <c r="AK335" s="239"/>
    </row>
    <row r="336" spans="8:37">
      <c r="AF336" s="239"/>
      <c r="AG336" s="239"/>
      <c r="AH336" s="239"/>
      <c r="AI336" s="239"/>
      <c r="AJ336" s="239"/>
      <c r="AK336" s="239"/>
    </row>
    <row r="337" spans="32:37">
      <c r="AF337" s="239"/>
      <c r="AG337" s="239"/>
      <c r="AH337" s="239"/>
      <c r="AI337" s="239"/>
      <c r="AJ337" s="239"/>
      <c r="AK337" s="239"/>
    </row>
    <row r="338" spans="32:37">
      <c r="AF338" s="239"/>
      <c r="AG338" s="239"/>
      <c r="AH338" s="239"/>
      <c r="AI338" s="239"/>
      <c r="AJ338" s="239"/>
      <c r="AK338" s="239"/>
    </row>
    <row r="339" spans="32:37">
      <c r="AF339" s="239"/>
      <c r="AG339" s="239"/>
      <c r="AH339" s="239"/>
      <c r="AI339" s="239"/>
      <c r="AJ339" s="239"/>
      <c r="AK339" s="239"/>
    </row>
    <row r="340" spans="32:37">
      <c r="AF340" s="239"/>
      <c r="AG340" s="239"/>
      <c r="AH340" s="239"/>
      <c r="AI340" s="239"/>
      <c r="AJ340" s="239"/>
      <c r="AK340" s="239"/>
    </row>
    <row r="341" spans="32:37">
      <c r="AF341" s="239"/>
      <c r="AG341" s="239"/>
      <c r="AH341" s="239"/>
      <c r="AI341" s="239"/>
      <c r="AJ341" s="239"/>
      <c r="AK341" s="239"/>
    </row>
    <row r="342" spans="32:37">
      <c r="AF342" s="239"/>
      <c r="AG342" s="239"/>
      <c r="AH342" s="239"/>
      <c r="AI342" s="239"/>
      <c r="AJ342" s="239"/>
      <c r="AK342" s="239"/>
    </row>
    <row r="343" spans="32:37">
      <c r="AF343" s="239"/>
      <c r="AG343" s="239"/>
      <c r="AH343" s="239"/>
      <c r="AI343" s="239"/>
      <c r="AJ343" s="239"/>
      <c r="AK343" s="239"/>
    </row>
    <row r="344" spans="32:37">
      <c r="AF344" s="239"/>
      <c r="AG344" s="239"/>
      <c r="AH344" s="239"/>
      <c r="AI344" s="239"/>
      <c r="AJ344" s="239"/>
      <c r="AK344" s="239"/>
    </row>
    <row r="345" spans="32:37">
      <c r="AF345" s="239"/>
      <c r="AG345" s="239"/>
      <c r="AH345" s="239"/>
      <c r="AI345" s="239"/>
      <c r="AJ345" s="239"/>
      <c r="AK345" s="239"/>
    </row>
    <row r="346" spans="32:37">
      <c r="AF346" s="239"/>
      <c r="AG346" s="239"/>
      <c r="AH346" s="239"/>
      <c r="AI346" s="239"/>
      <c r="AJ346" s="239"/>
      <c r="AK346" s="239"/>
    </row>
    <row r="347" spans="32:37">
      <c r="AF347" s="239"/>
      <c r="AG347" s="239"/>
      <c r="AH347" s="239"/>
      <c r="AI347" s="239"/>
      <c r="AJ347" s="239"/>
      <c r="AK347" s="239"/>
    </row>
    <row r="348" spans="32:37">
      <c r="AF348" s="239"/>
      <c r="AG348" s="239"/>
      <c r="AH348" s="239"/>
      <c r="AI348" s="239"/>
      <c r="AJ348" s="239"/>
      <c r="AK348" s="239"/>
    </row>
    <row r="349" spans="32:37">
      <c r="AF349" s="239"/>
      <c r="AG349" s="239"/>
      <c r="AH349" s="239"/>
      <c r="AI349" s="239"/>
      <c r="AJ349" s="239"/>
      <c r="AK349" s="239"/>
    </row>
    <row r="350" spans="32:37">
      <c r="AF350" s="239"/>
      <c r="AG350" s="239"/>
      <c r="AH350" s="239"/>
      <c r="AI350" s="239"/>
      <c r="AJ350" s="239"/>
      <c r="AK350" s="239"/>
    </row>
    <row r="351" spans="32:37">
      <c r="AF351" s="239"/>
      <c r="AG351" s="239"/>
      <c r="AH351" s="239"/>
      <c r="AI351" s="239"/>
      <c r="AJ351" s="239"/>
      <c r="AK351" s="239"/>
    </row>
    <row r="352" spans="32:37">
      <c r="AF352" s="239"/>
      <c r="AG352" s="239"/>
      <c r="AH352" s="239"/>
      <c r="AI352" s="239"/>
      <c r="AJ352" s="239"/>
      <c r="AK352" s="239"/>
    </row>
    <row r="353" spans="32:37">
      <c r="AF353" s="239"/>
      <c r="AG353" s="239"/>
      <c r="AH353" s="239"/>
      <c r="AI353" s="239"/>
      <c r="AJ353" s="239"/>
      <c r="AK353" s="239"/>
    </row>
    <row r="354" spans="32:37">
      <c r="AF354" s="239"/>
      <c r="AG354" s="239"/>
      <c r="AH354" s="239"/>
      <c r="AI354" s="239"/>
      <c r="AJ354" s="239"/>
      <c r="AK354" s="239"/>
    </row>
    <row r="355" spans="32:37">
      <c r="AF355" s="239"/>
      <c r="AG355" s="239"/>
      <c r="AH355" s="239"/>
      <c r="AI355" s="239"/>
      <c r="AJ355" s="239"/>
      <c r="AK355" s="239"/>
    </row>
    <row r="356" spans="32:37">
      <c r="AF356" s="239"/>
      <c r="AG356" s="239"/>
      <c r="AH356" s="239"/>
      <c r="AI356" s="239"/>
      <c r="AJ356" s="239"/>
      <c r="AK356" s="239"/>
    </row>
    <row r="357" spans="32:37">
      <c r="AF357" s="239"/>
      <c r="AG357" s="239"/>
      <c r="AH357" s="239"/>
      <c r="AI357" s="239"/>
      <c r="AJ357" s="239"/>
      <c r="AK357" s="239"/>
    </row>
    <row r="358" spans="32:37">
      <c r="AF358" s="239"/>
      <c r="AG358" s="239"/>
      <c r="AH358" s="239"/>
      <c r="AI358" s="239"/>
      <c r="AJ358" s="239"/>
      <c r="AK358" s="239"/>
    </row>
    <row r="359" spans="32:37">
      <c r="AF359" s="239"/>
      <c r="AG359" s="239"/>
      <c r="AH359" s="239"/>
      <c r="AI359" s="239"/>
      <c r="AJ359" s="239"/>
      <c r="AK359" s="239"/>
    </row>
    <row r="360" spans="32:37">
      <c r="AF360" s="239"/>
      <c r="AG360" s="239"/>
      <c r="AH360" s="239"/>
      <c r="AI360" s="239"/>
      <c r="AJ360" s="239"/>
      <c r="AK360" s="239"/>
    </row>
    <row r="361" spans="32:37">
      <c r="AF361" s="239"/>
      <c r="AG361" s="239"/>
      <c r="AH361" s="239"/>
      <c r="AI361" s="239"/>
      <c r="AJ361" s="239"/>
      <c r="AK361" s="239"/>
    </row>
    <row r="362" spans="32:37">
      <c r="AF362" s="239"/>
      <c r="AG362" s="239"/>
      <c r="AH362" s="239"/>
      <c r="AI362" s="239"/>
      <c r="AJ362" s="239"/>
      <c r="AK362" s="239"/>
    </row>
    <row r="363" spans="32:37">
      <c r="AF363" s="239"/>
      <c r="AG363" s="239"/>
      <c r="AH363" s="239"/>
      <c r="AI363" s="239"/>
      <c r="AJ363" s="239"/>
      <c r="AK363" s="239"/>
    </row>
    <row r="364" spans="32:37">
      <c r="AF364" s="239"/>
      <c r="AG364" s="239"/>
      <c r="AH364" s="239"/>
      <c r="AI364" s="239"/>
      <c r="AJ364" s="239"/>
      <c r="AK364" s="239"/>
    </row>
    <row r="365" spans="32:37">
      <c r="AF365" s="239"/>
      <c r="AG365" s="239"/>
      <c r="AH365" s="239"/>
      <c r="AI365" s="239"/>
      <c r="AJ365" s="239"/>
      <c r="AK365" s="239"/>
    </row>
    <row r="366" spans="32:37">
      <c r="AF366" s="239"/>
      <c r="AG366" s="239"/>
      <c r="AH366" s="239"/>
      <c r="AI366" s="239"/>
      <c r="AJ366" s="239"/>
      <c r="AK366" s="239"/>
    </row>
    <row r="367" spans="32:37">
      <c r="AF367" s="239"/>
      <c r="AG367" s="239"/>
      <c r="AH367" s="239"/>
      <c r="AI367" s="239"/>
      <c r="AJ367" s="239"/>
      <c r="AK367" s="239"/>
    </row>
    <row r="368" spans="32:37">
      <c r="AF368" s="239"/>
      <c r="AG368" s="239"/>
      <c r="AH368" s="239"/>
      <c r="AI368" s="239"/>
      <c r="AJ368" s="239"/>
      <c r="AK368" s="239"/>
    </row>
    <row r="369" spans="32:37">
      <c r="AF369" s="239"/>
      <c r="AG369" s="239"/>
      <c r="AH369" s="239"/>
      <c r="AI369" s="239"/>
      <c r="AJ369" s="239"/>
      <c r="AK369" s="239"/>
    </row>
    <row r="370" spans="32:37">
      <c r="AF370" s="239"/>
      <c r="AG370" s="239"/>
      <c r="AH370" s="239"/>
      <c r="AI370" s="239"/>
      <c r="AJ370" s="239"/>
      <c r="AK370" s="239"/>
    </row>
    <row r="371" spans="32:37">
      <c r="AF371" s="239"/>
      <c r="AG371" s="239"/>
      <c r="AH371" s="239"/>
      <c r="AI371" s="239"/>
      <c r="AJ371" s="239"/>
      <c r="AK371" s="239"/>
    </row>
    <row r="372" spans="32:37">
      <c r="AF372" s="239"/>
      <c r="AG372" s="239"/>
      <c r="AH372" s="239"/>
      <c r="AI372" s="239"/>
      <c r="AJ372" s="239"/>
      <c r="AK372" s="239"/>
    </row>
    <row r="373" spans="32:37">
      <c r="AF373" s="239"/>
      <c r="AG373" s="239"/>
      <c r="AH373" s="239"/>
      <c r="AI373" s="239"/>
      <c r="AJ373" s="239"/>
      <c r="AK373" s="239"/>
    </row>
    <row r="374" spans="32:37">
      <c r="AF374" s="239"/>
      <c r="AG374" s="239"/>
      <c r="AH374" s="239"/>
      <c r="AI374" s="239"/>
      <c r="AJ374" s="239"/>
      <c r="AK374" s="239"/>
    </row>
    <row r="375" spans="32:37">
      <c r="AF375" s="239"/>
      <c r="AG375" s="239"/>
      <c r="AH375" s="239"/>
      <c r="AI375" s="239"/>
      <c r="AJ375" s="239"/>
      <c r="AK375" s="239"/>
    </row>
    <row r="376" spans="32:37">
      <c r="AF376" s="239"/>
      <c r="AG376" s="239"/>
      <c r="AH376" s="239"/>
      <c r="AI376" s="239"/>
      <c r="AJ376" s="239"/>
      <c r="AK376" s="239"/>
    </row>
    <row r="377" spans="32:37">
      <c r="AF377" s="239"/>
      <c r="AG377" s="239"/>
      <c r="AH377" s="239"/>
      <c r="AI377" s="239"/>
      <c r="AJ377" s="239"/>
      <c r="AK377" s="239"/>
    </row>
    <row r="378" spans="32:37">
      <c r="AF378" s="239"/>
      <c r="AG378" s="239"/>
      <c r="AH378" s="239"/>
      <c r="AI378" s="239"/>
      <c r="AJ378" s="239"/>
      <c r="AK378" s="239"/>
    </row>
    <row r="379" spans="32:37">
      <c r="AF379" s="239"/>
      <c r="AG379" s="239"/>
      <c r="AH379" s="239"/>
      <c r="AI379" s="239"/>
      <c r="AJ379" s="239"/>
      <c r="AK379" s="239"/>
    </row>
    <row r="380" spans="32:37">
      <c r="AF380" s="239"/>
      <c r="AG380" s="239"/>
      <c r="AH380" s="239"/>
      <c r="AI380" s="239"/>
      <c r="AJ380" s="239"/>
      <c r="AK380" s="239"/>
    </row>
    <row r="381" spans="32:37">
      <c r="AF381" s="239"/>
      <c r="AG381" s="239"/>
      <c r="AH381" s="239"/>
      <c r="AI381" s="239"/>
      <c r="AJ381" s="239"/>
      <c r="AK381" s="239"/>
    </row>
    <row r="382" spans="32:37">
      <c r="AF382" s="239"/>
      <c r="AG382" s="239"/>
      <c r="AH382" s="239"/>
      <c r="AI382" s="239"/>
      <c r="AJ382" s="239"/>
      <c r="AK382" s="239"/>
    </row>
    <row r="383" spans="32:37">
      <c r="AF383" s="239"/>
      <c r="AG383" s="239"/>
      <c r="AH383" s="239"/>
      <c r="AI383" s="239"/>
      <c r="AJ383" s="239"/>
      <c r="AK383" s="239"/>
    </row>
    <row r="384" spans="32:37">
      <c r="AF384" s="239"/>
      <c r="AG384" s="239"/>
      <c r="AH384" s="239"/>
      <c r="AI384" s="239"/>
      <c r="AJ384" s="239"/>
      <c r="AK384" s="239"/>
    </row>
    <row r="385" spans="32:37">
      <c r="AF385" s="239"/>
      <c r="AG385" s="239"/>
      <c r="AH385" s="239"/>
      <c r="AI385" s="239"/>
      <c r="AJ385" s="239"/>
      <c r="AK385" s="239"/>
    </row>
    <row r="386" spans="32:37">
      <c r="AF386" s="239"/>
      <c r="AG386" s="239"/>
      <c r="AH386" s="239"/>
      <c r="AI386" s="239"/>
      <c r="AJ386" s="239"/>
      <c r="AK386" s="239"/>
    </row>
    <row r="387" spans="32:37">
      <c r="AF387" s="239"/>
      <c r="AG387" s="239"/>
      <c r="AH387" s="239"/>
      <c r="AI387" s="239"/>
      <c r="AJ387" s="239"/>
      <c r="AK387" s="239"/>
    </row>
    <row r="388" spans="32:37">
      <c r="AF388" s="239"/>
      <c r="AG388" s="239"/>
      <c r="AH388" s="239"/>
      <c r="AI388" s="239"/>
      <c r="AJ388" s="239"/>
      <c r="AK388" s="239"/>
    </row>
    <row r="389" spans="32:37">
      <c r="AF389" s="239"/>
      <c r="AG389" s="239"/>
      <c r="AH389" s="239"/>
      <c r="AI389" s="239"/>
      <c r="AJ389" s="239"/>
      <c r="AK389" s="239"/>
    </row>
    <row r="390" spans="32:37">
      <c r="AF390" s="239"/>
      <c r="AG390" s="239"/>
      <c r="AH390" s="239"/>
      <c r="AI390" s="239"/>
      <c r="AJ390" s="239"/>
      <c r="AK390" s="239"/>
    </row>
    <row r="391" spans="32:37">
      <c r="AF391" s="239"/>
      <c r="AG391" s="239"/>
      <c r="AH391" s="239"/>
      <c r="AI391" s="239"/>
      <c r="AJ391" s="239"/>
      <c r="AK391" s="239"/>
    </row>
    <row r="392" spans="32:37">
      <c r="AF392" s="239"/>
      <c r="AG392" s="239"/>
      <c r="AH392" s="239"/>
      <c r="AI392" s="239"/>
      <c r="AJ392" s="239"/>
      <c r="AK392" s="239"/>
    </row>
    <row r="393" spans="32:37">
      <c r="AF393" s="239"/>
      <c r="AG393" s="239"/>
      <c r="AH393" s="239"/>
      <c r="AI393" s="239"/>
      <c r="AJ393" s="239"/>
      <c r="AK393" s="239"/>
    </row>
    <row r="394" spans="32:37">
      <c r="AF394" s="239"/>
      <c r="AG394" s="239"/>
      <c r="AH394" s="239"/>
      <c r="AI394" s="239"/>
      <c r="AJ394" s="239"/>
      <c r="AK394" s="239"/>
    </row>
    <row r="395" spans="32:37">
      <c r="AF395" s="239"/>
      <c r="AG395" s="239"/>
      <c r="AH395" s="239"/>
      <c r="AI395" s="239"/>
      <c r="AJ395" s="239"/>
      <c r="AK395" s="239"/>
    </row>
    <row r="396" spans="32:37">
      <c r="AF396" s="239"/>
      <c r="AG396" s="239"/>
      <c r="AH396" s="239"/>
      <c r="AI396" s="239"/>
      <c r="AJ396" s="239"/>
      <c r="AK396" s="239"/>
    </row>
    <row r="397" spans="32:37">
      <c r="AF397" s="239"/>
      <c r="AG397" s="239"/>
      <c r="AH397" s="239"/>
      <c r="AI397" s="239"/>
      <c r="AJ397" s="239"/>
      <c r="AK397" s="239"/>
    </row>
    <row r="398" spans="32:37">
      <c r="AF398" s="239"/>
      <c r="AG398" s="239"/>
      <c r="AH398" s="239"/>
      <c r="AI398" s="239"/>
      <c r="AJ398" s="239"/>
      <c r="AK398" s="239"/>
    </row>
    <row r="399" spans="32:37">
      <c r="AF399" s="239"/>
      <c r="AG399" s="239"/>
      <c r="AH399" s="239"/>
      <c r="AI399" s="239"/>
      <c r="AJ399" s="239"/>
      <c r="AK399" s="239"/>
    </row>
    <row r="400" spans="32:37">
      <c r="AF400" s="239"/>
      <c r="AG400" s="239"/>
      <c r="AH400" s="239"/>
      <c r="AI400" s="239"/>
      <c r="AJ400" s="239"/>
      <c r="AK400" s="239"/>
    </row>
    <row r="401" spans="32:37">
      <c r="AF401" s="239"/>
      <c r="AG401" s="239"/>
      <c r="AH401" s="239"/>
      <c r="AI401" s="239"/>
      <c r="AJ401" s="239"/>
      <c r="AK401" s="239"/>
    </row>
    <row r="402" spans="32:37">
      <c r="AF402" s="239"/>
      <c r="AG402" s="239"/>
      <c r="AH402" s="239"/>
      <c r="AI402" s="239"/>
      <c r="AJ402" s="239"/>
      <c r="AK402" s="239"/>
    </row>
    <row r="403" spans="32:37">
      <c r="AF403" s="239"/>
      <c r="AG403" s="239"/>
      <c r="AH403" s="239"/>
      <c r="AI403" s="239"/>
      <c r="AJ403" s="239"/>
      <c r="AK403" s="239"/>
    </row>
    <row r="404" spans="32:37">
      <c r="AF404" s="239"/>
      <c r="AG404" s="239"/>
      <c r="AH404" s="239"/>
      <c r="AI404" s="239"/>
      <c r="AJ404" s="239"/>
      <c r="AK404" s="239"/>
    </row>
    <row r="405" spans="32:37">
      <c r="AF405" s="239"/>
      <c r="AG405" s="239"/>
      <c r="AH405" s="239"/>
      <c r="AI405" s="239"/>
      <c r="AJ405" s="239"/>
      <c r="AK405" s="239"/>
    </row>
    <row r="406" spans="32:37">
      <c r="AF406" s="239"/>
      <c r="AG406" s="239"/>
      <c r="AH406" s="239"/>
      <c r="AI406" s="239"/>
      <c r="AJ406" s="239"/>
      <c r="AK406" s="239"/>
    </row>
    <row r="407" spans="32:37">
      <c r="AF407" s="239"/>
      <c r="AG407" s="239"/>
      <c r="AH407" s="239"/>
      <c r="AI407" s="239"/>
      <c r="AJ407" s="239"/>
      <c r="AK407" s="239"/>
    </row>
    <row r="408" spans="32:37">
      <c r="AF408" s="239"/>
      <c r="AG408" s="239"/>
      <c r="AH408" s="239"/>
      <c r="AI408" s="239"/>
      <c r="AJ408" s="239"/>
      <c r="AK408" s="239"/>
    </row>
    <row r="409" spans="32:37">
      <c r="AF409" s="239"/>
      <c r="AG409" s="239"/>
      <c r="AH409" s="239"/>
      <c r="AI409" s="239"/>
      <c r="AJ409" s="239"/>
      <c r="AK409" s="239"/>
    </row>
    <row r="410" spans="32:37">
      <c r="AF410" s="239"/>
      <c r="AG410" s="239"/>
      <c r="AH410" s="239"/>
      <c r="AI410" s="239"/>
      <c r="AJ410" s="239"/>
      <c r="AK410" s="239"/>
    </row>
    <row r="411" spans="32:37">
      <c r="AF411" s="239"/>
      <c r="AG411" s="239"/>
      <c r="AH411" s="239"/>
      <c r="AI411" s="239"/>
      <c r="AJ411" s="239"/>
      <c r="AK411" s="239"/>
    </row>
    <row r="412" spans="32:37">
      <c r="AF412" s="239"/>
      <c r="AG412" s="239"/>
      <c r="AH412" s="239"/>
      <c r="AI412" s="239"/>
      <c r="AJ412" s="239"/>
      <c r="AK412" s="239"/>
    </row>
    <row r="413" spans="32:37">
      <c r="AF413" s="239"/>
      <c r="AG413" s="239"/>
      <c r="AH413" s="239"/>
      <c r="AI413" s="239"/>
      <c r="AJ413" s="239"/>
      <c r="AK413" s="239"/>
    </row>
    <row r="414" spans="32:37">
      <c r="AF414" s="239"/>
      <c r="AG414" s="239"/>
      <c r="AH414" s="239"/>
      <c r="AI414" s="239"/>
      <c r="AJ414" s="239"/>
      <c r="AK414" s="239"/>
    </row>
    <row r="415" spans="32:37">
      <c r="AF415" s="239"/>
      <c r="AG415" s="239"/>
      <c r="AH415" s="239"/>
      <c r="AI415" s="239"/>
      <c r="AJ415" s="239"/>
      <c r="AK415" s="239"/>
    </row>
    <row r="416" spans="32:37">
      <c r="AF416" s="239"/>
      <c r="AG416" s="239"/>
      <c r="AH416" s="239"/>
      <c r="AI416" s="239"/>
      <c r="AJ416" s="239"/>
      <c r="AK416" s="239"/>
    </row>
    <row r="417" spans="32:37">
      <c r="AF417" s="239"/>
      <c r="AG417" s="239"/>
      <c r="AH417" s="239"/>
      <c r="AI417" s="239"/>
      <c r="AJ417" s="239"/>
      <c r="AK417" s="239"/>
    </row>
    <row r="418" spans="32:37">
      <c r="AF418" s="239"/>
      <c r="AG418" s="239"/>
      <c r="AH418" s="239"/>
      <c r="AI418" s="239"/>
      <c r="AJ418" s="239"/>
      <c r="AK418" s="239"/>
    </row>
    <row r="419" spans="32:37">
      <c r="AF419" s="239"/>
      <c r="AG419" s="239"/>
      <c r="AH419" s="239"/>
      <c r="AI419" s="239"/>
      <c r="AJ419" s="239"/>
      <c r="AK419" s="239"/>
    </row>
    <row r="420" spans="32:37">
      <c r="AF420" s="239"/>
      <c r="AG420" s="239"/>
      <c r="AH420" s="239"/>
      <c r="AI420" s="239"/>
      <c r="AJ420" s="239"/>
      <c r="AK420" s="239"/>
    </row>
    <row r="421" spans="32:37">
      <c r="AF421" s="239"/>
      <c r="AG421" s="239"/>
      <c r="AH421" s="239"/>
      <c r="AI421" s="239"/>
      <c r="AJ421" s="239"/>
      <c r="AK421" s="239"/>
    </row>
    <row r="422" spans="32:37">
      <c r="AF422" s="239"/>
      <c r="AG422" s="239"/>
      <c r="AH422" s="239"/>
      <c r="AI422" s="239"/>
      <c r="AJ422" s="239"/>
      <c r="AK422" s="239"/>
    </row>
    <row r="423" spans="32:37">
      <c r="AF423" s="239"/>
      <c r="AG423" s="239"/>
      <c r="AH423" s="239"/>
      <c r="AI423" s="239"/>
      <c r="AJ423" s="239"/>
      <c r="AK423" s="239"/>
    </row>
    <row r="424" spans="32:37">
      <c r="AF424" s="239"/>
      <c r="AG424" s="239"/>
      <c r="AH424" s="239"/>
      <c r="AI424" s="239"/>
      <c r="AJ424" s="239"/>
      <c r="AK424" s="239"/>
    </row>
    <row r="425" spans="32:37">
      <c r="AF425" s="239"/>
      <c r="AG425" s="239"/>
      <c r="AH425" s="239"/>
      <c r="AI425" s="239"/>
      <c r="AJ425" s="239"/>
      <c r="AK425" s="239"/>
    </row>
    <row r="426" spans="32:37">
      <c r="AF426" s="239"/>
      <c r="AG426" s="239"/>
      <c r="AH426" s="239"/>
      <c r="AI426" s="239"/>
      <c r="AJ426" s="239"/>
      <c r="AK426" s="239"/>
    </row>
    <row r="427" spans="32:37">
      <c r="AF427" s="239"/>
      <c r="AG427" s="239"/>
      <c r="AH427" s="239"/>
      <c r="AI427" s="239"/>
      <c r="AJ427" s="239"/>
      <c r="AK427" s="239"/>
    </row>
    <row r="428" spans="32:37">
      <c r="AF428" s="239"/>
      <c r="AG428" s="239"/>
      <c r="AH428" s="239"/>
      <c r="AI428" s="239"/>
      <c r="AJ428" s="239"/>
      <c r="AK428" s="239"/>
    </row>
    <row r="429" spans="32:37">
      <c r="AF429" s="239"/>
      <c r="AG429" s="239"/>
      <c r="AH429" s="239"/>
      <c r="AI429" s="239"/>
      <c r="AJ429" s="239"/>
      <c r="AK429" s="239"/>
    </row>
    <row r="430" spans="32:37">
      <c r="AF430" s="239"/>
      <c r="AG430" s="239"/>
      <c r="AH430" s="239"/>
      <c r="AI430" s="239"/>
      <c r="AJ430" s="239"/>
      <c r="AK430" s="239"/>
    </row>
    <row r="431" spans="32:37">
      <c r="AF431" s="239"/>
      <c r="AG431" s="239"/>
      <c r="AH431" s="239"/>
      <c r="AI431" s="239"/>
      <c r="AJ431" s="239"/>
      <c r="AK431" s="239"/>
    </row>
    <row r="432" spans="32:37">
      <c r="AF432" s="239"/>
      <c r="AG432" s="239"/>
      <c r="AH432" s="239"/>
      <c r="AI432" s="239"/>
      <c r="AJ432" s="239"/>
      <c r="AK432" s="239"/>
    </row>
    <row r="433" spans="32:37">
      <c r="AF433" s="239"/>
      <c r="AG433" s="239"/>
      <c r="AH433" s="239"/>
      <c r="AI433" s="239"/>
      <c r="AJ433" s="239"/>
      <c r="AK433" s="239"/>
    </row>
    <row r="434" spans="32:37">
      <c r="AF434" s="239"/>
      <c r="AG434" s="239"/>
      <c r="AH434" s="239"/>
      <c r="AI434" s="239"/>
      <c r="AJ434" s="239"/>
      <c r="AK434" s="239"/>
    </row>
    <row r="435" spans="32:37">
      <c r="AF435" s="239"/>
      <c r="AG435" s="239"/>
      <c r="AH435" s="239"/>
      <c r="AI435" s="239"/>
      <c r="AJ435" s="239"/>
      <c r="AK435" s="239"/>
    </row>
    <row r="436" spans="32:37">
      <c r="AF436" s="239"/>
      <c r="AG436" s="239"/>
      <c r="AH436" s="239"/>
      <c r="AI436" s="239"/>
      <c r="AJ436" s="239"/>
      <c r="AK436" s="239"/>
    </row>
    <row r="437" spans="32:37">
      <c r="AF437" s="239"/>
      <c r="AG437" s="239"/>
      <c r="AH437" s="239"/>
      <c r="AI437" s="239"/>
      <c r="AJ437" s="239"/>
      <c r="AK437" s="239"/>
    </row>
    <row r="438" spans="32:37">
      <c r="AF438" s="239"/>
      <c r="AG438" s="239"/>
      <c r="AH438" s="239"/>
      <c r="AI438" s="239"/>
      <c r="AJ438" s="239"/>
      <c r="AK438" s="239"/>
    </row>
    <row r="439" spans="32:37">
      <c r="AF439" s="239"/>
      <c r="AG439" s="239"/>
      <c r="AH439" s="239"/>
      <c r="AI439" s="239"/>
      <c r="AJ439" s="239"/>
      <c r="AK439" s="239"/>
    </row>
    <row r="440" spans="32:37">
      <c r="AF440" s="239"/>
      <c r="AG440" s="239"/>
      <c r="AH440" s="239"/>
      <c r="AI440" s="239"/>
      <c r="AJ440" s="239"/>
      <c r="AK440" s="239"/>
    </row>
    <row r="441" spans="32:37">
      <c r="AF441" s="239"/>
      <c r="AG441" s="239"/>
      <c r="AH441" s="239"/>
      <c r="AI441" s="239"/>
      <c r="AJ441" s="239"/>
      <c r="AK441" s="239"/>
    </row>
    <row r="442" spans="32:37">
      <c r="AF442" s="239"/>
      <c r="AG442" s="239"/>
      <c r="AH442" s="239"/>
      <c r="AI442" s="239"/>
      <c r="AJ442" s="239"/>
      <c r="AK442" s="239"/>
    </row>
    <row r="443" spans="32:37">
      <c r="AF443" s="239"/>
      <c r="AG443" s="239"/>
      <c r="AH443" s="239"/>
      <c r="AI443" s="239"/>
      <c r="AJ443" s="239"/>
      <c r="AK443" s="239"/>
    </row>
    <row r="444" spans="32:37">
      <c r="AF444" s="239"/>
      <c r="AG444" s="239"/>
      <c r="AH444" s="239"/>
      <c r="AI444" s="239"/>
      <c r="AJ444" s="239"/>
      <c r="AK444" s="239"/>
    </row>
    <row r="445" spans="32:37">
      <c r="AF445" s="239"/>
      <c r="AG445" s="239"/>
      <c r="AH445" s="239"/>
      <c r="AI445" s="239"/>
      <c r="AJ445" s="239"/>
      <c r="AK445" s="239"/>
    </row>
    <row r="446" spans="32:37">
      <c r="AF446" s="239"/>
      <c r="AG446" s="239"/>
      <c r="AH446" s="239"/>
      <c r="AI446" s="239"/>
      <c r="AJ446" s="239"/>
      <c r="AK446" s="239"/>
    </row>
    <row r="447" spans="32:37">
      <c r="AF447" s="239"/>
      <c r="AG447" s="239"/>
      <c r="AH447" s="239"/>
      <c r="AI447" s="239"/>
      <c r="AJ447" s="239"/>
      <c r="AK447" s="239"/>
    </row>
    <row r="448" spans="32:37">
      <c r="AF448" s="239"/>
      <c r="AG448" s="239"/>
      <c r="AH448" s="239"/>
      <c r="AI448" s="239"/>
      <c r="AJ448" s="239"/>
      <c r="AK448" s="239"/>
    </row>
    <row r="449" spans="32:37">
      <c r="AF449" s="239"/>
      <c r="AG449" s="239"/>
      <c r="AH449" s="239"/>
      <c r="AI449" s="239"/>
      <c r="AJ449" s="239"/>
      <c r="AK449" s="239"/>
    </row>
    <row r="450" spans="32:37">
      <c r="AF450" s="239"/>
      <c r="AG450" s="239"/>
      <c r="AH450" s="239"/>
      <c r="AI450" s="239"/>
      <c r="AJ450" s="239"/>
      <c r="AK450" s="239"/>
    </row>
    <row r="451" spans="32:37">
      <c r="AF451" s="239"/>
      <c r="AG451" s="239"/>
      <c r="AH451" s="239"/>
      <c r="AI451" s="239"/>
      <c r="AJ451" s="239"/>
      <c r="AK451" s="239"/>
    </row>
    <row r="452" spans="32:37">
      <c r="AF452" s="239"/>
      <c r="AG452" s="239"/>
      <c r="AH452" s="239"/>
      <c r="AI452" s="239"/>
      <c r="AJ452" s="239"/>
      <c r="AK452" s="239"/>
    </row>
    <row r="453" spans="32:37">
      <c r="AF453" s="239"/>
      <c r="AG453" s="239"/>
      <c r="AH453" s="239"/>
      <c r="AI453" s="239"/>
      <c r="AJ453" s="239"/>
      <c r="AK453" s="239"/>
    </row>
    <row r="454" spans="32:37">
      <c r="AF454" s="239"/>
      <c r="AG454" s="239"/>
      <c r="AH454" s="239"/>
      <c r="AI454" s="239"/>
      <c r="AJ454" s="239"/>
      <c r="AK454" s="239"/>
    </row>
    <row r="455" spans="32:37">
      <c r="AF455" s="239"/>
      <c r="AG455" s="239"/>
      <c r="AH455" s="239"/>
      <c r="AI455" s="239"/>
      <c r="AJ455" s="239"/>
      <c r="AK455" s="239"/>
    </row>
    <row r="456" spans="32:37">
      <c r="AF456" s="239"/>
      <c r="AG456" s="239"/>
      <c r="AH456" s="239"/>
      <c r="AI456" s="239"/>
      <c r="AJ456" s="239"/>
      <c r="AK456" s="239"/>
    </row>
    <row r="457" spans="32:37">
      <c r="AF457" s="239"/>
      <c r="AG457" s="239"/>
      <c r="AH457" s="239"/>
      <c r="AI457" s="239"/>
      <c r="AJ457" s="239"/>
      <c r="AK457" s="239"/>
    </row>
    <row r="458" spans="32:37">
      <c r="AF458" s="239"/>
      <c r="AG458" s="239"/>
      <c r="AH458" s="239"/>
      <c r="AI458" s="239"/>
      <c r="AJ458" s="239"/>
      <c r="AK458" s="239"/>
    </row>
    <row r="459" spans="32:37">
      <c r="AF459" s="239"/>
      <c r="AG459" s="239"/>
      <c r="AH459" s="239"/>
      <c r="AI459" s="239"/>
      <c r="AJ459" s="239"/>
      <c r="AK459" s="239"/>
    </row>
    <row r="460" spans="32:37">
      <c r="AF460" s="239"/>
      <c r="AG460" s="239"/>
      <c r="AH460" s="239"/>
      <c r="AI460" s="239"/>
      <c r="AJ460" s="239"/>
      <c r="AK460" s="239"/>
    </row>
    <row r="461" spans="32:37">
      <c r="AF461" s="239"/>
      <c r="AG461" s="239"/>
      <c r="AH461" s="239"/>
      <c r="AI461" s="239"/>
      <c r="AJ461" s="239"/>
      <c r="AK461" s="239"/>
    </row>
    <row r="462" spans="32:37">
      <c r="AF462" s="239"/>
      <c r="AG462" s="239"/>
      <c r="AH462" s="239"/>
      <c r="AI462" s="239"/>
      <c r="AJ462" s="239"/>
      <c r="AK462" s="239"/>
    </row>
    <row r="463" spans="32:37">
      <c r="AF463" s="239"/>
      <c r="AG463" s="239"/>
      <c r="AH463" s="239"/>
      <c r="AI463" s="239"/>
      <c r="AJ463" s="239"/>
      <c r="AK463" s="239"/>
    </row>
    <row r="464" spans="32:37">
      <c r="AF464" s="239"/>
      <c r="AG464" s="239"/>
      <c r="AH464" s="239"/>
      <c r="AI464" s="239"/>
      <c r="AJ464" s="239"/>
      <c r="AK464" s="239"/>
    </row>
    <row r="465" spans="32:37">
      <c r="AF465" s="239"/>
      <c r="AG465" s="239"/>
      <c r="AH465" s="239"/>
      <c r="AI465" s="239"/>
      <c r="AJ465" s="239"/>
      <c r="AK465" s="239"/>
    </row>
    <row r="466" spans="32:37">
      <c r="AF466" s="239"/>
      <c r="AG466" s="239"/>
      <c r="AH466" s="239"/>
      <c r="AI466" s="239"/>
      <c r="AJ466" s="239"/>
      <c r="AK466" s="239"/>
    </row>
    <row r="467" spans="32:37">
      <c r="AF467" s="239"/>
      <c r="AG467" s="239"/>
      <c r="AH467" s="239"/>
      <c r="AI467" s="239"/>
      <c r="AJ467" s="239"/>
      <c r="AK467" s="239"/>
    </row>
    <row r="468" spans="32:37">
      <c r="AF468" s="239"/>
      <c r="AG468" s="239"/>
      <c r="AH468" s="239"/>
      <c r="AI468" s="239"/>
      <c r="AJ468" s="239"/>
      <c r="AK468" s="239"/>
    </row>
    <row r="469" spans="32:37">
      <c r="AF469" s="239"/>
      <c r="AG469" s="239"/>
      <c r="AH469" s="239"/>
      <c r="AI469" s="239"/>
      <c r="AJ469" s="239"/>
      <c r="AK469" s="239"/>
    </row>
    <row r="470" spans="32:37">
      <c r="AF470" s="239"/>
      <c r="AG470" s="239"/>
      <c r="AH470" s="239"/>
      <c r="AI470" s="239"/>
      <c r="AJ470" s="239"/>
      <c r="AK470" s="239"/>
    </row>
    <row r="471" spans="32:37">
      <c r="AF471" s="239"/>
      <c r="AG471" s="239"/>
      <c r="AH471" s="239"/>
      <c r="AI471" s="239"/>
      <c r="AJ471" s="239"/>
      <c r="AK471" s="239"/>
    </row>
    <row r="472" spans="32:37">
      <c r="AF472" s="239"/>
      <c r="AG472" s="239"/>
      <c r="AH472" s="239"/>
      <c r="AI472" s="239"/>
      <c r="AJ472" s="239"/>
      <c r="AK472" s="239"/>
    </row>
    <row r="473" spans="32:37">
      <c r="AF473" s="239"/>
      <c r="AG473" s="239"/>
      <c r="AH473" s="239"/>
      <c r="AI473" s="239"/>
      <c r="AJ473" s="239"/>
      <c r="AK473" s="239"/>
    </row>
    <row r="474" spans="32:37">
      <c r="AF474" s="239"/>
      <c r="AG474" s="239"/>
      <c r="AH474" s="239"/>
      <c r="AI474" s="239"/>
      <c r="AJ474" s="239"/>
      <c r="AK474" s="239"/>
    </row>
    <row r="475" spans="32:37">
      <c r="AF475" s="239"/>
      <c r="AG475" s="239"/>
      <c r="AH475" s="239"/>
      <c r="AI475" s="239"/>
      <c r="AJ475" s="239"/>
      <c r="AK475" s="239"/>
    </row>
    <row r="476" spans="32:37">
      <c r="AF476" s="239"/>
      <c r="AG476" s="239"/>
      <c r="AH476" s="239"/>
      <c r="AI476" s="239"/>
      <c r="AJ476" s="239"/>
      <c r="AK476" s="239"/>
    </row>
    <row r="477" spans="32:37">
      <c r="AF477" s="239"/>
      <c r="AG477" s="239"/>
      <c r="AH477" s="239"/>
      <c r="AI477" s="239"/>
      <c r="AJ477" s="239"/>
      <c r="AK477" s="239"/>
    </row>
    <row r="478" spans="32:37">
      <c r="AF478" s="239"/>
      <c r="AG478" s="239"/>
      <c r="AH478" s="239"/>
      <c r="AI478" s="239"/>
      <c r="AJ478" s="239"/>
      <c r="AK478" s="239"/>
    </row>
    <row r="479" spans="32:37">
      <c r="AF479" s="239"/>
      <c r="AG479" s="239"/>
      <c r="AH479" s="239"/>
      <c r="AI479" s="239"/>
      <c r="AJ479" s="239"/>
      <c r="AK479" s="239"/>
    </row>
    <row r="480" spans="32:37">
      <c r="AF480" s="239"/>
      <c r="AG480" s="239"/>
      <c r="AH480" s="239"/>
      <c r="AI480" s="239"/>
      <c r="AJ480" s="239"/>
      <c r="AK480" s="239"/>
    </row>
    <row r="481" spans="32:37">
      <c r="AF481" s="239"/>
      <c r="AG481" s="239"/>
      <c r="AH481" s="239"/>
      <c r="AI481" s="239"/>
      <c r="AJ481" s="239"/>
      <c r="AK481" s="239"/>
    </row>
    <row r="482" spans="32:37">
      <c r="AF482" s="239"/>
      <c r="AG482" s="239"/>
      <c r="AH482" s="239"/>
      <c r="AI482" s="239"/>
      <c r="AJ482" s="239"/>
      <c r="AK482" s="239"/>
    </row>
    <row r="483" spans="32:37">
      <c r="AF483" s="239"/>
      <c r="AG483" s="239"/>
      <c r="AH483" s="239"/>
      <c r="AI483" s="239"/>
      <c r="AJ483" s="239"/>
      <c r="AK483" s="239"/>
    </row>
    <row r="484" spans="32:37">
      <c r="AF484" s="239"/>
      <c r="AG484" s="239"/>
      <c r="AH484" s="239"/>
      <c r="AI484" s="239"/>
      <c r="AJ484" s="239"/>
      <c r="AK484" s="239"/>
    </row>
    <row r="485" spans="32:37">
      <c r="AF485" s="239"/>
      <c r="AG485" s="239"/>
      <c r="AH485" s="239"/>
      <c r="AI485" s="239"/>
      <c r="AJ485" s="239"/>
      <c r="AK485" s="239"/>
    </row>
    <row r="486" spans="32:37">
      <c r="AF486" s="239"/>
      <c r="AG486" s="239"/>
      <c r="AH486" s="239"/>
      <c r="AI486" s="239"/>
      <c r="AJ486" s="239"/>
      <c r="AK486" s="239"/>
    </row>
    <row r="487" spans="32:37">
      <c r="AF487" s="239"/>
      <c r="AG487" s="239"/>
      <c r="AH487" s="239"/>
      <c r="AI487" s="239"/>
      <c r="AJ487" s="239"/>
      <c r="AK487" s="239"/>
    </row>
    <row r="488" spans="32:37">
      <c r="AF488" s="239"/>
      <c r="AG488" s="239"/>
      <c r="AH488" s="239"/>
      <c r="AI488" s="239"/>
      <c r="AJ488" s="239"/>
      <c r="AK488" s="239"/>
    </row>
  </sheetData>
  <mergeCells count="12">
    <mergeCell ref="AB1:AE1"/>
    <mergeCell ref="A1:A2"/>
    <mergeCell ref="C1:C2"/>
    <mergeCell ref="D1:D2"/>
    <mergeCell ref="E1:E2"/>
    <mergeCell ref="F1:F2"/>
    <mergeCell ref="G1:G2"/>
    <mergeCell ref="H1:K1"/>
    <mergeCell ref="L1:O1"/>
    <mergeCell ref="P1:S1"/>
    <mergeCell ref="T1:W1"/>
    <mergeCell ref="X1:AA1"/>
  </mergeCells>
  <phoneticPr fontId="140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48"/>
  <sheetViews>
    <sheetView showGridLines="0" zoomScaleNormal="100" workbookViewId="0">
      <selection activeCell="C1" sqref="C1"/>
    </sheetView>
  </sheetViews>
  <sheetFormatPr defaultColWidth="9" defaultRowHeight="17.25"/>
  <cols>
    <col min="1" max="1" width="25.75" style="97" customWidth="1"/>
    <col min="2" max="4" width="12" style="96" customWidth="1"/>
    <col min="5" max="6" width="12" style="98" customWidth="1"/>
    <col min="7" max="8" width="12" style="97" customWidth="1"/>
    <col min="9" max="10" width="12" style="96" customWidth="1"/>
    <col min="11" max="11" width="20" style="96" customWidth="1"/>
    <col min="12" max="12" width="21.125" style="96" customWidth="1"/>
    <col min="13" max="13" width="14.125" style="96" customWidth="1"/>
    <col min="14" max="14" width="14.125" style="98" customWidth="1"/>
    <col min="15" max="15" width="14.125" style="97" customWidth="1"/>
    <col min="16" max="18" width="14.125" style="96" customWidth="1"/>
    <col min="19" max="19" width="14.125" style="98" customWidth="1"/>
    <col min="20" max="16384" width="9" style="98"/>
  </cols>
  <sheetData>
    <row r="1" spans="1:21" ht="27.75" customHeight="1">
      <c r="A1" s="99" t="s">
        <v>683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21" s="92" customFormat="1" ht="17.25" customHeight="1">
      <c r="A2" s="101" t="s">
        <v>684</v>
      </c>
      <c r="B2" s="102" t="str">
        <f>利润表!AK4</f>
        <v>2024E</v>
      </c>
      <c r="C2" s="103" t="s">
        <v>685</v>
      </c>
      <c r="D2" s="102">
        <f>利润表!AL4</f>
        <v>2025</v>
      </c>
      <c r="E2" s="103" t="s">
        <v>685</v>
      </c>
      <c r="F2" s="102">
        <f>利润表!AM4</f>
        <v>2026</v>
      </c>
      <c r="G2" s="103" t="s">
        <v>685</v>
      </c>
      <c r="N2" s="150"/>
      <c r="O2" s="150"/>
      <c r="P2" s="30"/>
      <c r="Q2" s="30"/>
    </row>
    <row r="3" spans="1:21" s="93" customFormat="1" ht="15.75" customHeight="1">
      <c r="A3" s="104" t="s">
        <v>539</v>
      </c>
      <c r="B3" s="105" t="str">
        <f>B17</f>
        <v>—</v>
      </c>
      <c r="C3" s="106" t="str">
        <f>B3</f>
        <v>—</v>
      </c>
      <c r="D3" s="105" t="str">
        <f>E17</f>
        <v>—</v>
      </c>
      <c r="E3" s="106" t="str">
        <f>D3</f>
        <v>—</v>
      </c>
      <c r="F3" s="105" t="str">
        <f>H17</f>
        <v>—</v>
      </c>
      <c r="G3" s="106" t="str">
        <f>F3</f>
        <v>—</v>
      </c>
      <c r="H3" s="107"/>
      <c r="N3" s="151"/>
      <c r="P3" s="29"/>
      <c r="Q3" s="29"/>
      <c r="R3" s="165"/>
    </row>
    <row r="4" spans="1:21">
      <c r="A4" s="104" t="s">
        <v>686</v>
      </c>
      <c r="B4" s="105" t="str">
        <f>B21</f>
        <v>—</v>
      </c>
      <c r="C4" s="106" t="str">
        <f t="shared" ref="C4:C10" si="0">B4</f>
        <v>—</v>
      </c>
      <c r="D4" s="105" t="str">
        <f>E21</f>
        <v>—</v>
      </c>
      <c r="E4" s="106" t="str">
        <f t="shared" ref="E4:E10" si="1">D4</f>
        <v>—</v>
      </c>
      <c r="F4" s="105" t="str">
        <f>H21</f>
        <v>—</v>
      </c>
      <c r="G4" s="106" t="str">
        <f t="shared" ref="G4:G10" si="2">F4</f>
        <v>—</v>
      </c>
      <c r="H4" s="98"/>
      <c r="I4" s="98"/>
      <c r="J4" s="98"/>
      <c r="K4" s="98"/>
      <c r="L4" s="98"/>
      <c r="M4" s="98"/>
      <c r="N4" s="152"/>
      <c r="P4" s="152"/>
      <c r="Q4" s="152"/>
      <c r="R4" s="92"/>
    </row>
    <row r="5" spans="1:21">
      <c r="A5" s="104" t="s">
        <v>687</v>
      </c>
      <c r="B5" s="105" t="str">
        <f>B26</f>
        <v>—</v>
      </c>
      <c r="C5" s="106" t="str">
        <f t="shared" si="0"/>
        <v>—</v>
      </c>
      <c r="D5" s="105" t="str">
        <f>E26</f>
        <v>—</v>
      </c>
      <c r="E5" s="106" t="str">
        <f t="shared" si="1"/>
        <v>—</v>
      </c>
      <c r="F5" s="105" t="str">
        <f>H26</f>
        <v>—</v>
      </c>
      <c r="G5" s="106" t="str">
        <f t="shared" si="2"/>
        <v>—</v>
      </c>
      <c r="H5" s="98"/>
      <c r="I5" s="98"/>
      <c r="J5" s="98"/>
      <c r="K5" s="98"/>
      <c r="L5" s="98"/>
      <c r="M5" s="98"/>
      <c r="N5" s="153"/>
      <c r="O5" s="154"/>
      <c r="P5" s="155"/>
      <c r="Q5" s="155"/>
      <c r="R5" s="155"/>
    </row>
    <row r="6" spans="1:21" s="93" customFormat="1">
      <c r="A6" s="104" t="s">
        <v>688</v>
      </c>
      <c r="B6" s="105" t="str">
        <f>B28</f>
        <v>—</v>
      </c>
      <c r="C6" s="106" t="str">
        <f t="shared" si="0"/>
        <v>—</v>
      </c>
      <c r="D6" s="105" t="str">
        <f>E28</f>
        <v>—</v>
      </c>
      <c r="E6" s="106" t="str">
        <f t="shared" si="1"/>
        <v>—</v>
      </c>
      <c r="F6" s="105" t="str">
        <f>H28</f>
        <v>—</v>
      </c>
      <c r="G6" s="106" t="str">
        <f t="shared" si="2"/>
        <v>—</v>
      </c>
      <c r="N6" s="156"/>
      <c r="O6" s="157"/>
      <c r="P6" s="155"/>
      <c r="Q6" s="155"/>
      <c r="R6" s="155"/>
    </row>
    <row r="7" spans="1:21">
      <c r="A7" s="104" t="s">
        <v>689</v>
      </c>
      <c r="B7" s="105" t="str">
        <f>B30</f>
        <v>—</v>
      </c>
      <c r="C7" s="106" t="str">
        <f t="shared" si="0"/>
        <v>—</v>
      </c>
      <c r="D7" s="105" t="str">
        <f>E30</f>
        <v>—</v>
      </c>
      <c r="E7" s="106" t="str">
        <f t="shared" si="1"/>
        <v>—</v>
      </c>
      <c r="F7" s="105" t="str">
        <f>H30</f>
        <v>—</v>
      </c>
      <c r="G7" s="106" t="str">
        <f t="shared" si="2"/>
        <v>—</v>
      </c>
      <c r="H7" s="98"/>
      <c r="I7" s="98"/>
      <c r="J7" s="98"/>
      <c r="K7" s="98"/>
      <c r="L7" s="98"/>
      <c r="M7" s="98"/>
      <c r="N7" s="158"/>
      <c r="O7" s="159"/>
      <c r="P7" s="155"/>
      <c r="Q7" s="155"/>
      <c r="R7" s="155"/>
    </row>
    <row r="8" spans="1:21">
      <c r="A8" s="104" t="s">
        <v>690</v>
      </c>
      <c r="B8" s="105" t="str">
        <f>B32</f>
        <v xml:space="preserve"> —</v>
      </c>
      <c r="C8" s="106" t="str">
        <f t="shared" si="0"/>
        <v xml:space="preserve"> —</v>
      </c>
      <c r="D8" s="105" t="str">
        <f>E32</f>
        <v xml:space="preserve"> —</v>
      </c>
      <c r="E8" s="106" t="str">
        <f t="shared" si="1"/>
        <v xml:space="preserve"> —</v>
      </c>
      <c r="F8" s="105" t="str">
        <f>H32</f>
        <v xml:space="preserve"> —</v>
      </c>
      <c r="G8" s="106" t="str">
        <f t="shared" si="2"/>
        <v xml:space="preserve"> —</v>
      </c>
      <c r="H8" s="98"/>
      <c r="I8" s="98"/>
      <c r="J8" s="98"/>
      <c r="K8" s="98"/>
      <c r="L8" s="98"/>
      <c r="M8" s="98"/>
      <c r="N8" s="158"/>
      <c r="O8" s="159"/>
      <c r="P8" s="160"/>
      <c r="Q8" s="160"/>
      <c r="R8" s="92"/>
    </row>
    <row r="9" spans="1:21">
      <c r="A9" s="104" t="s">
        <v>96</v>
      </c>
      <c r="B9" s="105" t="str">
        <f>B50</f>
        <v>—</v>
      </c>
      <c r="C9" s="106" t="str">
        <f t="shared" si="0"/>
        <v>—</v>
      </c>
      <c r="D9" s="105" t="str">
        <f>E50</f>
        <v>—</v>
      </c>
      <c r="E9" s="106" t="str">
        <f t="shared" si="1"/>
        <v>—</v>
      </c>
      <c r="F9" s="105" t="str">
        <f>H50</f>
        <v>—</v>
      </c>
      <c r="G9" s="106" t="str">
        <f t="shared" si="2"/>
        <v>—</v>
      </c>
      <c r="H9" s="98"/>
      <c r="I9" s="98"/>
      <c r="J9" s="98"/>
      <c r="K9" s="98"/>
      <c r="L9" s="98"/>
      <c r="M9" s="98"/>
      <c r="N9" s="150"/>
    </row>
    <row r="10" spans="1:21" ht="18" customHeight="1">
      <c r="A10" s="108" t="s">
        <v>98</v>
      </c>
      <c r="B10" s="109" t="str">
        <f>B53</f>
        <v>—</v>
      </c>
      <c r="C10" s="110" t="str">
        <f t="shared" si="0"/>
        <v>—</v>
      </c>
      <c r="D10" s="109" t="str">
        <f>E53</f>
        <v>—</v>
      </c>
      <c r="E10" s="110" t="str">
        <f t="shared" si="1"/>
        <v>—</v>
      </c>
      <c r="F10" s="109" t="str">
        <f>H53</f>
        <v>—</v>
      </c>
      <c r="G10" s="110" t="str">
        <f t="shared" si="2"/>
        <v>—</v>
      </c>
      <c r="H10" s="98"/>
      <c r="I10" s="98"/>
      <c r="J10" s="98"/>
      <c r="K10" s="98"/>
      <c r="L10" s="98"/>
      <c r="M10" s="98"/>
      <c r="N10" s="150"/>
    </row>
    <row r="11" spans="1:21" ht="18" customHeight="1">
      <c r="A11" s="104"/>
      <c r="B11" s="111"/>
      <c r="C11" s="111"/>
      <c r="D11" s="111"/>
      <c r="G11" s="98"/>
      <c r="H11" s="98"/>
      <c r="I11" s="98"/>
      <c r="J11" s="98"/>
      <c r="K11" s="98"/>
      <c r="L11" s="98"/>
      <c r="M11" s="98"/>
      <c r="N11" s="150"/>
    </row>
    <row r="12" spans="1:21" s="92" customFormat="1" ht="18" customHeight="1">
      <c r="B12" s="112"/>
      <c r="C12" s="112"/>
      <c r="D12" s="112"/>
      <c r="E12" s="112"/>
      <c r="F12" s="112"/>
      <c r="G12" s="112"/>
      <c r="H12" s="112"/>
      <c r="I12" s="112"/>
      <c r="J12" s="112"/>
      <c r="K12" s="30"/>
      <c r="L12" s="30"/>
      <c r="M12" s="30"/>
      <c r="O12" s="150"/>
      <c r="P12" s="30"/>
      <c r="Q12" s="30"/>
      <c r="R12" s="30"/>
    </row>
    <row r="13" spans="1:21">
      <c r="A13" s="1179" t="s">
        <v>691</v>
      </c>
      <c r="B13" s="1183" t="str">
        <f>利润表!AK4</f>
        <v>2024E</v>
      </c>
      <c r="C13" s="1183"/>
      <c r="D13" s="1183"/>
      <c r="E13" s="1183">
        <f>利润表!AL4</f>
        <v>2025</v>
      </c>
      <c r="F13" s="1183"/>
      <c r="G13" s="1183"/>
      <c r="H13" s="1183">
        <f>利润表!AM4</f>
        <v>2026</v>
      </c>
      <c r="I13" s="1183"/>
      <c r="J13" s="1183"/>
    </row>
    <row r="14" spans="1:21">
      <c r="A14" s="1180"/>
      <c r="B14" s="103" t="s">
        <v>692</v>
      </c>
      <c r="C14" s="113" t="s">
        <v>685</v>
      </c>
      <c r="D14" s="103" t="s">
        <v>693</v>
      </c>
      <c r="E14" s="103" t="s">
        <v>692</v>
      </c>
      <c r="F14" s="113" t="s">
        <v>685</v>
      </c>
      <c r="G14" s="103" t="s">
        <v>693</v>
      </c>
      <c r="H14" s="103" t="s">
        <v>692</v>
      </c>
      <c r="I14" s="113" t="s">
        <v>685</v>
      </c>
      <c r="J14" s="103" t="s">
        <v>693</v>
      </c>
    </row>
    <row r="15" spans="1:21">
      <c r="A15" s="112" t="s">
        <v>71</v>
      </c>
      <c r="B15" s="114">
        <f>利润表!AK6</f>
        <v>0</v>
      </c>
      <c r="C15" s="115" t="e">
        <f>C16+C18</f>
        <v>#VALUE!</v>
      </c>
      <c r="D15" s="116" t="str">
        <f>IF(ISERROR((C15-B15)/ABS(B15)),"—",(C15-B15)/ABS(B15))</f>
        <v>—</v>
      </c>
      <c r="E15" s="114">
        <f>利润表!AL6</f>
        <v>0</v>
      </c>
      <c r="F15" s="115" t="e">
        <f>F16+F18</f>
        <v>#VALUE!</v>
      </c>
      <c r="G15" s="116" t="str">
        <f>IF(ISERROR((F15-E15)/ABS(E15)),"—",(F15-E15)/ABS(E15))</f>
        <v>—</v>
      </c>
      <c r="H15" s="114">
        <f>利润表!AM6</f>
        <v>0</v>
      </c>
      <c r="I15" s="115" t="e">
        <f>I16+I18</f>
        <v>#VALUE!</v>
      </c>
      <c r="J15" s="120" t="str">
        <f>IF(ISERROR((I15-H15)/ABS(H15)),"—",(I15-H15)/ABS(H15))</f>
        <v>—</v>
      </c>
      <c r="L15" s="96" t="s">
        <v>694</v>
      </c>
    </row>
    <row r="16" spans="1:21">
      <c r="A16" s="117" t="s">
        <v>62</v>
      </c>
      <c r="B16" s="118">
        <f>利润表!AK8</f>
        <v>0</v>
      </c>
      <c r="C16" s="119" t="e">
        <f>利润表!AG8*(1+C17)</f>
        <v>#VALUE!</v>
      </c>
      <c r="D16" s="120" t="str">
        <f t="shared" ref="D16:D57" si="3">IF(ISERROR((C16-B16)/ABS(B16)),"—",(C16-B16)/ABS(B16))</f>
        <v>—</v>
      </c>
      <c r="E16" s="118">
        <f>利润表!AL8</f>
        <v>0</v>
      </c>
      <c r="F16" s="119" t="e">
        <f>C16*(1+F17)</f>
        <v>#VALUE!</v>
      </c>
      <c r="G16" s="120" t="str">
        <f t="shared" ref="G16:G57" si="4">IF(ISERROR((F16-E16)/ABS(E16)),"—",(F16-E16)/ABS(E16))</f>
        <v>—</v>
      </c>
      <c r="H16" s="118">
        <f>利润表!AM8</f>
        <v>0</v>
      </c>
      <c r="I16" s="119" t="e">
        <f>F16*(1+I17)</f>
        <v>#VALUE!</v>
      </c>
      <c r="J16" s="120" t="str">
        <f t="shared" ref="J16:J57" si="5">IF(ISERROR((I16-H16)/ABS(H16)),"—",(I16-H16)/ABS(H16))</f>
        <v>—</v>
      </c>
      <c r="U16" s="166"/>
    </row>
    <row r="17" spans="1:18">
      <c r="A17" s="121" t="s">
        <v>539</v>
      </c>
      <c r="B17" s="122" t="str">
        <f>利润表!AK9</f>
        <v>—</v>
      </c>
      <c r="C17" s="123" t="str">
        <f>C3</f>
        <v>—</v>
      </c>
      <c r="D17" s="124" t="str">
        <f>IF(ISERROR(C17-B17),0,ROUND(C17-B17,4))*100&amp;"ppt"</f>
        <v>0ppt</v>
      </c>
      <c r="E17" s="122" t="str">
        <f>利润表!AL9</f>
        <v>—</v>
      </c>
      <c r="F17" s="123" t="str">
        <f>E3</f>
        <v>—</v>
      </c>
      <c r="G17" s="124" t="str">
        <f>IF(ISERROR(F17-E17),0,ROUND(F17-E17,4))*100&amp;"ppt"</f>
        <v>0ppt</v>
      </c>
      <c r="H17" s="122" t="str">
        <f>利润表!AM9</f>
        <v>—</v>
      </c>
      <c r="I17" s="123" t="str">
        <f>G3</f>
        <v>—</v>
      </c>
      <c r="J17" s="124" t="str">
        <f>IF(ISERROR(I17-H17),0,ROUND(I17-H17,4))*100&amp;"ppt"</f>
        <v>0ppt</v>
      </c>
    </row>
    <row r="18" spans="1:18">
      <c r="A18" s="125" t="s">
        <v>73</v>
      </c>
      <c r="B18" s="118">
        <f>利润表!AK10</f>
        <v>0</v>
      </c>
      <c r="C18" s="119">
        <f>利润表!AK10</f>
        <v>0</v>
      </c>
      <c r="D18" s="120"/>
      <c r="E18" s="118">
        <f>利润表!AL10</f>
        <v>0</v>
      </c>
      <c r="F18" s="119">
        <f>利润表!AL10</f>
        <v>0</v>
      </c>
      <c r="G18" s="120"/>
      <c r="H18" s="118">
        <f>利润表!AM10</f>
        <v>0</v>
      </c>
      <c r="I18" s="119">
        <f>利润表!AM10</f>
        <v>0</v>
      </c>
      <c r="J18" s="120"/>
    </row>
    <row r="19" spans="1:18" s="93" customFormat="1" ht="15.75">
      <c r="A19" s="112" t="s">
        <v>445</v>
      </c>
      <c r="B19" s="114">
        <f>利润表!AK13</f>
        <v>0</v>
      </c>
      <c r="C19" s="115">
        <f>IF(ISERROR(C20+C22+C25+C27+C29+C31+C33),0,C20+C22+C25+C27+C29+C31+C33)</f>
        <v>0</v>
      </c>
      <c r="D19" s="116" t="str">
        <f t="shared" si="3"/>
        <v>—</v>
      </c>
      <c r="E19" s="114">
        <f>利润表!AL13</f>
        <v>0</v>
      </c>
      <c r="F19" s="115">
        <f>IF(ISERROR(F20+F22+F25+F27+F29+F31+F33),0,F20+F22+F25+F27+F29+F31+F33)</f>
        <v>0</v>
      </c>
      <c r="G19" s="116" t="str">
        <f t="shared" si="4"/>
        <v>—</v>
      </c>
      <c r="H19" s="114">
        <f>利润表!AM13</f>
        <v>0</v>
      </c>
      <c r="I19" s="115">
        <f>IF(ISERROR(I20+I22+I25+I27+I29+I31+I33),0,I20+I22+I25+I27+I29+I31+I33)</f>
        <v>0</v>
      </c>
      <c r="J19" s="116" t="str">
        <f t="shared" si="5"/>
        <v>—</v>
      </c>
      <c r="K19" s="161"/>
      <c r="L19" s="161"/>
      <c r="M19" s="161"/>
      <c r="O19" s="162"/>
      <c r="P19" s="161"/>
      <c r="Q19" s="161"/>
      <c r="R19" s="161"/>
    </row>
    <row r="20" spans="1:18">
      <c r="A20" s="126" t="s">
        <v>64</v>
      </c>
      <c r="B20" s="118">
        <f>利润表!AK15</f>
        <v>0</v>
      </c>
      <c r="C20" s="119" t="e">
        <f>利润表!AG15*(1+C4)</f>
        <v>#VALUE!</v>
      </c>
      <c r="D20" s="120" t="str">
        <f t="shared" si="3"/>
        <v>—</v>
      </c>
      <c r="E20" s="118">
        <f>利润表!AL15</f>
        <v>0</v>
      </c>
      <c r="F20" s="119" t="e">
        <f>C20*(1+F21)</f>
        <v>#VALUE!</v>
      </c>
      <c r="G20" s="120" t="str">
        <f t="shared" si="4"/>
        <v>—</v>
      </c>
      <c r="H20" s="118">
        <f>利润表!AM15</f>
        <v>0</v>
      </c>
      <c r="I20" s="119" t="e">
        <f>F20*(1+I21)</f>
        <v>#VALUE!</v>
      </c>
      <c r="J20" s="120" t="str">
        <f t="shared" si="5"/>
        <v>—</v>
      </c>
    </row>
    <row r="21" spans="1:18">
      <c r="A21" s="121" t="s">
        <v>686</v>
      </c>
      <c r="B21" s="127" t="str">
        <f>利润表!AK18</f>
        <v>—</v>
      </c>
      <c r="C21" s="128" t="str">
        <f>C4</f>
        <v>—</v>
      </c>
      <c r="D21" s="124" t="str">
        <f>IF(ISERROR(C21-B21),0,ROUND(C21-B21,4))*100&amp;"ppt"</f>
        <v>0ppt</v>
      </c>
      <c r="E21" s="127" t="str">
        <f>利润表!AL18</f>
        <v>—</v>
      </c>
      <c r="F21" s="128" t="str">
        <f>E4</f>
        <v>—</v>
      </c>
      <c r="G21" s="124" t="str">
        <f>IF(ISERROR(F21-E21),0,ROUND(F21-E21,4))*100&amp;"ppt"</f>
        <v>0ppt</v>
      </c>
      <c r="H21" s="127" t="str">
        <f>利润表!AM18</f>
        <v>—</v>
      </c>
      <c r="I21" s="128" t="str">
        <f>G4</f>
        <v>—</v>
      </c>
      <c r="J21" s="124" t="str">
        <f>IF(ISERROR(I21-H21),0,ROUND(I21-H21,4))*100&amp;"ppt"</f>
        <v>0ppt</v>
      </c>
    </row>
    <row r="22" spans="1:18">
      <c r="A22" s="125" t="s">
        <v>74</v>
      </c>
      <c r="B22" s="118">
        <f>利润表!AK19</f>
        <v>0</v>
      </c>
      <c r="C22" s="119">
        <f>利润表!AK19</f>
        <v>0</v>
      </c>
      <c r="D22" s="120"/>
      <c r="E22" s="118">
        <f>利润表!AL19</f>
        <v>0</v>
      </c>
      <c r="F22" s="119">
        <f>利润表!AL19</f>
        <v>0</v>
      </c>
      <c r="G22" s="120"/>
      <c r="H22" s="118">
        <f>利润表!AM19</f>
        <v>0</v>
      </c>
      <c r="I22" s="119">
        <f>利润表!AM19</f>
        <v>0</v>
      </c>
      <c r="J22" s="120"/>
    </row>
    <row r="23" spans="1:18" s="93" customFormat="1" ht="15.75">
      <c r="A23" s="129" t="s">
        <v>65</v>
      </c>
      <c r="B23" s="114">
        <f>利润表!AK22</f>
        <v>0</v>
      </c>
      <c r="C23" s="115" t="e">
        <f>C16-C20</f>
        <v>#VALUE!</v>
      </c>
      <c r="D23" s="116" t="str">
        <f t="shared" si="3"/>
        <v>—</v>
      </c>
      <c r="E23" s="114">
        <f>利润表!AL22</f>
        <v>0</v>
      </c>
      <c r="F23" s="115" t="e">
        <f>F16-F20</f>
        <v>#VALUE!</v>
      </c>
      <c r="G23" s="116" t="str">
        <f t="shared" si="4"/>
        <v>—</v>
      </c>
      <c r="H23" s="114">
        <f>利润表!AM22</f>
        <v>0</v>
      </c>
      <c r="I23" s="115" t="e">
        <f>I16-I20</f>
        <v>#VALUE!</v>
      </c>
      <c r="J23" s="116" t="str">
        <f t="shared" si="5"/>
        <v>—</v>
      </c>
      <c r="K23" s="161"/>
      <c r="L23" s="161"/>
      <c r="M23" s="161"/>
      <c r="O23" s="162"/>
      <c r="P23" s="161"/>
      <c r="Q23" s="161"/>
      <c r="R23" s="161"/>
    </row>
    <row r="24" spans="1:18">
      <c r="A24" s="121" t="s">
        <v>66</v>
      </c>
      <c r="B24" s="122">
        <f>IF(ISERROR(B23/B16),0,B23/B16)</f>
        <v>0</v>
      </c>
      <c r="C24" s="123">
        <f>IF(ISERROR(C23/C16),0,C23/C16)</f>
        <v>0</v>
      </c>
      <c r="D24" s="124" t="str">
        <f>IF(ISERROR(C24-B24),0,ROUND(C24-B24,4))*100&amp;"ppt"</f>
        <v>0ppt</v>
      </c>
      <c r="E24" s="122">
        <f>IF(ISERROR(E23/E16),0,E23/E16)</f>
        <v>0</v>
      </c>
      <c r="F24" s="123">
        <f>IF(ISERROR(F23/F16),0,F23/F16)</f>
        <v>0</v>
      </c>
      <c r="G24" s="124" t="str">
        <f>IF(ISERROR(F24-E24),0,ROUND(F24-E24,4))*100&amp;"ppt"</f>
        <v>0ppt</v>
      </c>
      <c r="H24" s="122">
        <f>IF(ISERROR(H23/H16),0,H23/H16)</f>
        <v>0</v>
      </c>
      <c r="I24" s="123">
        <f>IF(ISERROR(I23/I16),0,I23/I16)</f>
        <v>0</v>
      </c>
      <c r="J24" s="124" t="str">
        <f>IF(ISERROR(I24-H24),0,ROUND(I24-H24,4))*100&amp;"ppt"</f>
        <v>0ppt</v>
      </c>
    </row>
    <row r="25" spans="1:18">
      <c r="A25" s="130" t="s">
        <v>77</v>
      </c>
      <c r="B25" s="118">
        <f>利润表!AK27</f>
        <v>0</v>
      </c>
      <c r="C25" s="119" t="e">
        <f>C26*C16</f>
        <v>#VALUE!</v>
      </c>
      <c r="D25" s="120" t="str">
        <f t="shared" si="3"/>
        <v>—</v>
      </c>
      <c r="E25" s="118">
        <f>利润表!AL27</f>
        <v>0</v>
      </c>
      <c r="F25" s="119" t="e">
        <f>F26*F16</f>
        <v>#VALUE!</v>
      </c>
      <c r="G25" s="120" t="str">
        <f t="shared" si="4"/>
        <v>—</v>
      </c>
      <c r="H25" s="118">
        <f>利润表!AM27</f>
        <v>0</v>
      </c>
      <c r="I25" s="119" t="e">
        <f>I26*I16</f>
        <v>#VALUE!</v>
      </c>
      <c r="J25" s="120" t="str">
        <f t="shared" si="5"/>
        <v>—</v>
      </c>
    </row>
    <row r="26" spans="1:18">
      <c r="A26" s="121" t="s">
        <v>78</v>
      </c>
      <c r="B26" s="122" t="str">
        <f>利润表!AK28</f>
        <v>—</v>
      </c>
      <c r="C26" s="123" t="str">
        <f>C5</f>
        <v>—</v>
      </c>
      <c r="D26" s="124" t="str">
        <f>IF(ISERROR(C26-B26),0,ROUND(C26-B26,4))*100&amp;"ppt"</f>
        <v>0ppt</v>
      </c>
      <c r="E26" s="122" t="str">
        <f>利润表!AL28</f>
        <v>—</v>
      </c>
      <c r="F26" s="123" t="str">
        <f>E5</f>
        <v>—</v>
      </c>
      <c r="G26" s="124" t="str">
        <f>IF(ISERROR(F26-E26),0,ROUND(F26-E26,4))*100&amp;"ppt"</f>
        <v>0ppt</v>
      </c>
      <c r="H26" s="122" t="str">
        <f>利润表!AM28</f>
        <v>—</v>
      </c>
      <c r="I26" s="123" t="str">
        <f>G5</f>
        <v>—</v>
      </c>
      <c r="J26" s="124" t="str">
        <f>IF(ISERROR(I26-H26),0,ROUND(I26-H26,4))*100&amp;"ppt"</f>
        <v>0ppt</v>
      </c>
    </row>
    <row r="27" spans="1:18">
      <c r="A27" s="130" t="s">
        <v>79</v>
      </c>
      <c r="B27" s="118">
        <f>利润表!AK29</f>
        <v>0</v>
      </c>
      <c r="C27" s="119" t="e">
        <f>C28*C16</f>
        <v>#VALUE!</v>
      </c>
      <c r="D27" s="120" t="str">
        <f t="shared" si="3"/>
        <v>—</v>
      </c>
      <c r="E27" s="118">
        <f>利润表!AL29</f>
        <v>0</v>
      </c>
      <c r="F27" s="119" t="e">
        <f>F28*F16</f>
        <v>#VALUE!</v>
      </c>
      <c r="G27" s="120" t="str">
        <f t="shared" si="4"/>
        <v>—</v>
      </c>
      <c r="H27" s="118">
        <f>利润表!AM29</f>
        <v>0</v>
      </c>
      <c r="I27" s="119" t="e">
        <f>I28*I16</f>
        <v>#VALUE!</v>
      </c>
      <c r="J27" s="120" t="str">
        <f t="shared" si="5"/>
        <v>—</v>
      </c>
    </row>
    <row r="28" spans="1:18" s="93" customFormat="1">
      <c r="A28" s="121" t="s">
        <v>688</v>
      </c>
      <c r="B28" s="122" t="str">
        <f>利润表!AK30</f>
        <v>—</v>
      </c>
      <c r="C28" s="123" t="str">
        <f>C6</f>
        <v>—</v>
      </c>
      <c r="D28" s="124" t="str">
        <f>IF(ISERROR(C28-B28),0,ROUND(C28-B28,4))*100&amp;"ppt"</f>
        <v>0ppt</v>
      </c>
      <c r="E28" s="122" t="str">
        <f>利润表!AL30</f>
        <v>—</v>
      </c>
      <c r="F28" s="123" t="str">
        <f>E6</f>
        <v>—</v>
      </c>
      <c r="G28" s="124" t="str">
        <f>IF(ISERROR(F28-E28),0,ROUND(F28-E28,4))*100&amp;"ppt"</f>
        <v>0ppt</v>
      </c>
      <c r="H28" s="122" t="str">
        <f>利润表!AM30</f>
        <v>—</v>
      </c>
      <c r="I28" s="123" t="str">
        <f>G6</f>
        <v>—</v>
      </c>
      <c r="J28" s="124" t="str">
        <f>IF(ISERROR(I28-H28),0,ROUND(I28-H28,4))*100&amp;"ppt"</f>
        <v>0ppt</v>
      </c>
    </row>
    <row r="29" spans="1:18">
      <c r="A29" s="125" t="s">
        <v>81</v>
      </c>
      <c r="B29" s="118">
        <f>利润表!AK31</f>
        <v>0</v>
      </c>
      <c r="C29" s="119" t="e">
        <f>C30*C16</f>
        <v>#VALUE!</v>
      </c>
      <c r="D29" s="120" t="str">
        <f t="shared" si="3"/>
        <v>—</v>
      </c>
      <c r="E29" s="118">
        <f>利润表!AL31</f>
        <v>0</v>
      </c>
      <c r="F29" s="119" t="e">
        <f>F30*F16</f>
        <v>#VALUE!</v>
      </c>
      <c r="G29" s="120" t="str">
        <f t="shared" si="4"/>
        <v>—</v>
      </c>
      <c r="H29" s="118">
        <f>利润表!AM31</f>
        <v>0</v>
      </c>
      <c r="I29" s="119" t="e">
        <f>I30*I16</f>
        <v>#VALUE!</v>
      </c>
      <c r="J29" s="120" t="str">
        <f t="shared" si="5"/>
        <v>—</v>
      </c>
    </row>
    <row r="30" spans="1:18">
      <c r="A30" s="121" t="s">
        <v>689</v>
      </c>
      <c r="B30" s="122" t="str">
        <f>利润表!AK32</f>
        <v>—</v>
      </c>
      <c r="C30" s="123" t="str">
        <f>C7</f>
        <v>—</v>
      </c>
      <c r="D30" s="124" t="str">
        <f>IF(ISERROR(C30-B30),0,ROUND(C30-B30,4))*100&amp;"ppt"</f>
        <v>0ppt</v>
      </c>
      <c r="E30" s="122" t="str">
        <f>利润表!AL32</f>
        <v>—</v>
      </c>
      <c r="F30" s="123" t="str">
        <f>E7</f>
        <v>—</v>
      </c>
      <c r="G30" s="124" t="str">
        <f>IF(ISERROR(F30-E30),0,ROUND(F30-E30,4))*100&amp;"ppt"</f>
        <v>0ppt</v>
      </c>
      <c r="H30" s="122" t="str">
        <f>利润表!AM32</f>
        <v>—</v>
      </c>
      <c r="I30" s="123" t="str">
        <f>G7</f>
        <v>—</v>
      </c>
      <c r="J30" s="124" t="str">
        <f>IF(ISERROR(I30-H30),0,ROUND(I30-H30,4))*100&amp;"ppt"</f>
        <v>0ppt</v>
      </c>
    </row>
    <row r="31" spans="1:18">
      <c r="A31" s="125" t="s">
        <v>83</v>
      </c>
      <c r="B31" s="118">
        <f>利润表!AK33</f>
        <v>0</v>
      </c>
      <c r="C31" s="119" t="e">
        <f>C32*C16</f>
        <v>#VALUE!</v>
      </c>
      <c r="D31" s="120" t="str">
        <f t="shared" si="3"/>
        <v>—</v>
      </c>
      <c r="E31" s="118">
        <f>利润表!AL33</f>
        <v>0</v>
      </c>
      <c r="F31" s="119" t="e">
        <f>F32*F16</f>
        <v>#VALUE!</v>
      </c>
      <c r="G31" s="120" t="str">
        <f t="shared" si="4"/>
        <v>—</v>
      </c>
      <c r="H31" s="118">
        <f>利润表!AM33</f>
        <v>0</v>
      </c>
      <c r="I31" s="119" t="e">
        <f>I32*I16</f>
        <v>#VALUE!</v>
      </c>
      <c r="J31" s="120" t="str">
        <f t="shared" si="5"/>
        <v>—</v>
      </c>
    </row>
    <row r="32" spans="1:18" s="93" customFormat="1">
      <c r="A32" s="121" t="s">
        <v>690</v>
      </c>
      <c r="B32" s="122" t="str">
        <f>利润表!AK34</f>
        <v xml:space="preserve"> —</v>
      </c>
      <c r="C32" s="123" t="str">
        <f>C8</f>
        <v xml:space="preserve"> —</v>
      </c>
      <c r="D32" s="124" t="str">
        <f>IF(ISERROR(C32-B32),0,ROUND(C32-B32,4))*100&amp;"ppt"</f>
        <v>0ppt</v>
      </c>
      <c r="E32" s="122" t="str">
        <f>利润表!AL34</f>
        <v xml:space="preserve"> —</v>
      </c>
      <c r="F32" s="123" t="str">
        <f>E8</f>
        <v xml:space="preserve"> —</v>
      </c>
      <c r="G32" s="124" t="str">
        <f>IF(ISERROR(F32-E32),0,ROUND(F32-E32,4))*100&amp;"ppt"</f>
        <v>0ppt</v>
      </c>
      <c r="H32" s="122" t="str">
        <f>利润表!AM34</f>
        <v xml:space="preserve"> —</v>
      </c>
      <c r="I32" s="123" t="str">
        <f>G8</f>
        <v xml:space="preserve"> —</v>
      </c>
      <c r="J32" s="124" t="str">
        <f>IF(ISERROR(I32-H32),0,ROUND(I32-H32,4))*100&amp;"ppt"</f>
        <v>0ppt</v>
      </c>
    </row>
    <row r="33" spans="1:19">
      <c r="A33" s="125" t="s">
        <v>330</v>
      </c>
      <c r="B33" s="118">
        <f>利润表!AK36</f>
        <v>0</v>
      </c>
      <c r="C33" s="119">
        <f>利润表!AK36</f>
        <v>0</v>
      </c>
      <c r="D33" s="120"/>
      <c r="E33" s="118">
        <f>利润表!AL36</f>
        <v>0</v>
      </c>
      <c r="F33" s="119">
        <f>利润表!AL36</f>
        <v>0</v>
      </c>
      <c r="G33" s="120"/>
      <c r="H33" s="118">
        <f>利润表!AM36</f>
        <v>0</v>
      </c>
      <c r="I33" s="119">
        <f>利润表!AM36</f>
        <v>0</v>
      </c>
      <c r="J33" s="120"/>
    </row>
    <row r="34" spans="1:19" s="93" customFormat="1" hidden="1">
      <c r="A34" s="125" t="s">
        <v>85</v>
      </c>
      <c r="B34" s="118">
        <f>利润表!AK49</f>
        <v>0</v>
      </c>
      <c r="C34" s="119">
        <f>利润表!AK49</f>
        <v>0</v>
      </c>
      <c r="D34" s="120"/>
      <c r="E34" s="118">
        <f>利润表!AL49</f>
        <v>0</v>
      </c>
      <c r="F34" s="119">
        <f>利润表!AL49</f>
        <v>0</v>
      </c>
      <c r="G34" s="120"/>
      <c r="H34" s="118">
        <f>利润表!AM49</f>
        <v>0</v>
      </c>
      <c r="I34" s="119">
        <f>利润表!AM49</f>
        <v>0</v>
      </c>
      <c r="J34" s="120"/>
    </row>
    <row r="35" spans="1:19" hidden="1">
      <c r="A35" s="130" t="s">
        <v>87</v>
      </c>
      <c r="B35" s="118">
        <f>利润表!AK51</f>
        <v>0</v>
      </c>
      <c r="C35" s="119">
        <f>利润表!AK51</f>
        <v>0</v>
      </c>
      <c r="D35" s="120"/>
      <c r="E35" s="118">
        <f>利润表!AL51</f>
        <v>0</v>
      </c>
      <c r="F35" s="119">
        <f>利润表!AL51</f>
        <v>0</v>
      </c>
      <c r="G35" s="120"/>
      <c r="H35" s="118">
        <f>利润表!AM51</f>
        <v>0</v>
      </c>
      <c r="I35" s="119">
        <f>利润表!AM51</f>
        <v>0</v>
      </c>
      <c r="J35" s="120"/>
      <c r="K35" s="98"/>
    </row>
    <row r="36" spans="1:19" hidden="1">
      <c r="A36" s="126" t="s">
        <v>334</v>
      </c>
      <c r="B36" s="118">
        <f>利润表!AK54</f>
        <v>0</v>
      </c>
      <c r="C36" s="119">
        <f>利润表!AK54</f>
        <v>0</v>
      </c>
      <c r="D36" s="120"/>
      <c r="E36" s="118">
        <f>利润表!AL54</f>
        <v>0</v>
      </c>
      <c r="F36" s="119">
        <f>利润表!AL54</f>
        <v>0</v>
      </c>
      <c r="G36" s="120"/>
      <c r="H36" s="118">
        <f>利润表!AM54</f>
        <v>0</v>
      </c>
      <c r="I36" s="119">
        <f>利润表!AM54</f>
        <v>0</v>
      </c>
      <c r="J36" s="120"/>
      <c r="K36" s="98"/>
      <c r="L36" s="143"/>
      <c r="M36" s="163"/>
      <c r="N36" s="160"/>
      <c r="O36" s="160"/>
      <c r="P36" s="160"/>
      <c r="R36" s="98"/>
    </row>
    <row r="37" spans="1:19" hidden="1">
      <c r="A37" s="126" t="s">
        <v>335</v>
      </c>
      <c r="B37" s="118">
        <f>利润表!AK57</f>
        <v>0</v>
      </c>
      <c r="C37" s="119">
        <f>利润表!AK57</f>
        <v>0</v>
      </c>
      <c r="D37" s="120"/>
      <c r="E37" s="118">
        <f>利润表!AL57</f>
        <v>0</v>
      </c>
      <c r="F37" s="119">
        <f>利润表!AL57</f>
        <v>0</v>
      </c>
      <c r="G37" s="120"/>
      <c r="H37" s="118">
        <f>利润表!AM57</f>
        <v>0</v>
      </c>
      <c r="I37" s="119">
        <f>利润表!AM57</f>
        <v>0</v>
      </c>
      <c r="J37" s="120"/>
      <c r="K37" s="98"/>
      <c r="R37" s="98"/>
    </row>
    <row r="38" spans="1:19" hidden="1">
      <c r="A38" s="125" t="s">
        <v>459</v>
      </c>
      <c r="B38" s="118">
        <f>利润表!AK60</f>
        <v>0</v>
      </c>
      <c r="C38" s="119">
        <f>利润表!AK60</f>
        <v>0</v>
      </c>
      <c r="D38" s="120"/>
      <c r="E38" s="118">
        <f>利润表!AL60</f>
        <v>0</v>
      </c>
      <c r="F38" s="119">
        <f>利润表!AL60</f>
        <v>0</v>
      </c>
      <c r="G38" s="120"/>
      <c r="H38" s="118">
        <f>利润表!AM60</f>
        <v>0</v>
      </c>
      <c r="I38" s="119">
        <f>利润表!AM60</f>
        <v>0</v>
      </c>
      <c r="J38" s="120"/>
      <c r="K38" s="98"/>
      <c r="R38" s="98"/>
    </row>
    <row r="39" spans="1:19" hidden="1">
      <c r="A39" s="125" t="s">
        <v>460</v>
      </c>
      <c r="B39" s="118">
        <f>利润表!AK63</f>
        <v>0</v>
      </c>
      <c r="C39" s="119">
        <f>利润表!AK63</f>
        <v>0</v>
      </c>
      <c r="D39" s="120"/>
      <c r="E39" s="118">
        <f>利润表!AL63</f>
        <v>0</v>
      </c>
      <c r="F39" s="119">
        <f>利润表!AL63</f>
        <v>0</v>
      </c>
      <c r="G39" s="120"/>
      <c r="H39" s="118">
        <f>利润表!AM63</f>
        <v>0</v>
      </c>
      <c r="I39" s="119">
        <f>利润表!AM63</f>
        <v>0</v>
      </c>
      <c r="J39" s="120"/>
      <c r="K39" s="98"/>
      <c r="R39" s="98"/>
    </row>
    <row r="40" spans="1:19" hidden="1">
      <c r="A40" s="125" t="s">
        <v>89</v>
      </c>
      <c r="B40" s="118">
        <f>利润表!AK66</f>
        <v>0</v>
      </c>
      <c r="C40" s="119">
        <f>利润表!AK66</f>
        <v>0</v>
      </c>
      <c r="D40" s="120"/>
      <c r="E40" s="118">
        <f>利润表!AL66</f>
        <v>0</v>
      </c>
      <c r="F40" s="119">
        <f>利润表!AL66</f>
        <v>0</v>
      </c>
      <c r="G40" s="120"/>
      <c r="H40" s="118">
        <f>利润表!AM66</f>
        <v>0</v>
      </c>
      <c r="I40" s="119">
        <f>利润表!AM66</f>
        <v>0</v>
      </c>
      <c r="J40" s="120"/>
      <c r="K40" s="98"/>
      <c r="R40" s="98"/>
    </row>
    <row r="41" spans="1:19" hidden="1">
      <c r="A41" s="126" t="s">
        <v>342</v>
      </c>
      <c r="B41" s="118">
        <f>利润表!AK69</f>
        <v>0</v>
      </c>
      <c r="C41" s="119">
        <f>利润表!AK69</f>
        <v>0</v>
      </c>
      <c r="D41" s="120"/>
      <c r="E41" s="118">
        <f>利润表!AL69</f>
        <v>0</v>
      </c>
      <c r="F41" s="119">
        <f>利润表!AL69</f>
        <v>0</v>
      </c>
      <c r="G41" s="120"/>
      <c r="H41" s="118">
        <f>利润表!AM69</f>
        <v>0</v>
      </c>
      <c r="I41" s="119">
        <f>利润表!AM69</f>
        <v>0</v>
      </c>
      <c r="J41" s="120"/>
      <c r="K41" s="98"/>
    </row>
    <row r="42" spans="1:19" hidden="1">
      <c r="A42" s="126" t="s">
        <v>461</v>
      </c>
      <c r="B42" s="118">
        <f>利润表!AK72</f>
        <v>0</v>
      </c>
      <c r="C42" s="119">
        <f>利润表!AK72</f>
        <v>0</v>
      </c>
      <c r="D42" s="120"/>
      <c r="E42" s="118">
        <f>利润表!AL72</f>
        <v>0</v>
      </c>
      <c r="F42" s="119">
        <f>利润表!AL72</f>
        <v>0</v>
      </c>
      <c r="G42" s="120"/>
      <c r="H42" s="118">
        <f>利润表!AM72</f>
        <v>0</v>
      </c>
      <c r="I42" s="119">
        <f>利润表!AM72</f>
        <v>0</v>
      </c>
      <c r="J42" s="120"/>
      <c r="K42" s="98"/>
      <c r="Q42" s="98"/>
      <c r="R42" s="98"/>
      <c r="S42" s="92"/>
    </row>
    <row r="43" spans="1:19">
      <c r="A43" s="131" t="s">
        <v>344</v>
      </c>
      <c r="B43" s="114">
        <f>利润表!AK73</f>
        <v>0</v>
      </c>
      <c r="C43" s="115" t="e">
        <f>C15-C19+C34+C35+C36+C37+C38+C39+C40+C41+C42</f>
        <v>#VALUE!</v>
      </c>
      <c r="D43" s="120" t="str">
        <f>IF(ISERROR((C43-B43)/ABS(B43)),"—",(C43-B43)/ABS(B43))</f>
        <v>—</v>
      </c>
      <c r="E43" s="114">
        <f>利润表!AL73</f>
        <v>0</v>
      </c>
      <c r="F43" s="115" t="e">
        <f>F15-F19+F34+F35+F36+F37+F38+F39+F40+F41+F42</f>
        <v>#VALUE!</v>
      </c>
      <c r="G43" s="120" t="str">
        <f t="shared" si="4"/>
        <v>—</v>
      </c>
      <c r="H43" s="114">
        <f>利润表!AM73</f>
        <v>0</v>
      </c>
      <c r="I43" s="115" t="e">
        <f>I15-I19+I34+I35+I36+I37+I38+I39+I40+I41+I42</f>
        <v>#VALUE!</v>
      </c>
      <c r="J43" s="120" t="str">
        <f t="shared" si="5"/>
        <v>—</v>
      </c>
      <c r="K43" s="98"/>
      <c r="Q43" s="98"/>
      <c r="R43" s="98"/>
      <c r="S43" s="92"/>
    </row>
    <row r="44" spans="1:19">
      <c r="A44" s="132" t="s">
        <v>695</v>
      </c>
      <c r="B44" s="127" t="str">
        <f>IF(ISERROR(B43/B16),"—",B43/B16)</f>
        <v>—</v>
      </c>
      <c r="C44" s="128" t="str">
        <f>IF(ISERROR(C43/C16),"—",C43/C16)</f>
        <v>—</v>
      </c>
      <c r="D44" s="124" t="str">
        <f>IF(ISERROR(C44-B44),0,ROUND(C44-B44,4))*100&amp;"ppt"</f>
        <v>0ppt</v>
      </c>
      <c r="E44" s="127" t="str">
        <f>IF(ISERROR(E43/E16),"—",E43/E16)</f>
        <v>—</v>
      </c>
      <c r="F44" s="128" t="str">
        <f>IF(ISERROR(F43/F16),"—",F43/F16)</f>
        <v>—</v>
      </c>
      <c r="G44" s="124" t="str">
        <f>IF(ISERROR(F44-E44),0,ROUND(F44-E44,4))*100&amp;"ppt"</f>
        <v>0ppt</v>
      </c>
      <c r="H44" s="127" t="str">
        <f>IF(ISERROR(H43/H16),"—",H43/H16)</f>
        <v>—</v>
      </c>
      <c r="I44" s="128" t="str">
        <f>IF(ISERROR(I43/I16),"—",I43/I16)</f>
        <v>—</v>
      </c>
      <c r="J44" s="124" t="str">
        <f>IF(ISERROR(I44-H44),0,ROUND(I44-H44,4))*100&amp;"ppt"</f>
        <v>0ppt</v>
      </c>
      <c r="K44" s="98"/>
      <c r="Q44" s="98"/>
      <c r="R44" s="98"/>
      <c r="S44" s="92"/>
    </row>
    <row r="45" spans="1:19" hidden="1">
      <c r="A45" s="125" t="s">
        <v>91</v>
      </c>
      <c r="B45" s="118">
        <f>利润表!AK77</f>
        <v>0</v>
      </c>
      <c r="C45" s="119">
        <f>利润表!AK77</f>
        <v>0</v>
      </c>
      <c r="D45" s="120"/>
      <c r="E45" s="118">
        <f>利润表!AL77</f>
        <v>0</v>
      </c>
      <c r="F45" s="119">
        <f>利润表!AL77</f>
        <v>0</v>
      </c>
      <c r="G45" s="120"/>
      <c r="H45" s="118">
        <f>利润表!AM77</f>
        <v>0</v>
      </c>
      <c r="I45" s="119">
        <f>利润表!AM77</f>
        <v>0</v>
      </c>
      <c r="J45" s="120"/>
      <c r="K45" s="98"/>
      <c r="Q45" s="98"/>
      <c r="R45" s="98"/>
      <c r="S45" s="92"/>
    </row>
    <row r="46" spans="1:19" hidden="1">
      <c r="A46" s="125" t="s">
        <v>92</v>
      </c>
      <c r="B46" s="118">
        <f>利润表!AK79</f>
        <v>0</v>
      </c>
      <c r="C46" s="119">
        <f>利润表!AK79</f>
        <v>0</v>
      </c>
      <c r="D46" s="120"/>
      <c r="E46" s="118">
        <f>利润表!AL79</f>
        <v>0</v>
      </c>
      <c r="F46" s="119">
        <f>利润表!AL79</f>
        <v>0</v>
      </c>
      <c r="G46" s="120"/>
      <c r="H46" s="118">
        <f>利润表!AM79</f>
        <v>0</v>
      </c>
      <c r="I46" s="119">
        <f>利润表!AM79</f>
        <v>0</v>
      </c>
      <c r="J46" s="120"/>
      <c r="K46" s="98"/>
      <c r="Q46" s="98"/>
      <c r="R46" s="98"/>
      <c r="S46" s="92"/>
    </row>
    <row r="47" spans="1:19">
      <c r="A47" s="125" t="s">
        <v>93</v>
      </c>
      <c r="B47" s="118">
        <f>利润表!AK81</f>
        <v>0</v>
      </c>
      <c r="C47" s="119">
        <f>利润表!AK81</f>
        <v>0</v>
      </c>
      <c r="D47" s="120"/>
      <c r="E47" s="118">
        <f>利润表!AL81</f>
        <v>0</v>
      </c>
      <c r="F47" s="119">
        <f>利润表!AL81</f>
        <v>0</v>
      </c>
      <c r="G47" s="120"/>
      <c r="H47" s="118">
        <f>利润表!AM81</f>
        <v>0</v>
      </c>
      <c r="I47" s="119">
        <f>利润表!AM81</f>
        <v>0</v>
      </c>
      <c r="J47" s="120"/>
      <c r="K47" s="98"/>
      <c r="Q47" s="98"/>
      <c r="R47" s="98"/>
      <c r="S47" s="92"/>
    </row>
    <row r="48" spans="1:19" s="93" customFormat="1" ht="15.75">
      <c r="A48" s="131" t="s">
        <v>348</v>
      </c>
      <c r="B48" s="114">
        <f>利润表!AK84</f>
        <v>0</v>
      </c>
      <c r="C48" s="115" t="e">
        <f>C43+C47</f>
        <v>#VALUE!</v>
      </c>
      <c r="D48" s="116" t="str">
        <f t="shared" si="3"/>
        <v>—</v>
      </c>
      <c r="E48" s="114">
        <f>利润表!AL84</f>
        <v>0</v>
      </c>
      <c r="F48" s="115" t="e">
        <f>F43+F47</f>
        <v>#VALUE!</v>
      </c>
      <c r="G48" s="116" t="str">
        <f t="shared" si="4"/>
        <v>—</v>
      </c>
      <c r="H48" s="114">
        <f>利润表!AM84</f>
        <v>0</v>
      </c>
      <c r="I48" s="115" t="e">
        <f>I43+I47</f>
        <v>#VALUE!</v>
      </c>
      <c r="J48" s="116" t="str">
        <f t="shared" si="5"/>
        <v>—</v>
      </c>
      <c r="L48" s="161"/>
      <c r="M48" s="161"/>
      <c r="O48" s="162"/>
      <c r="P48" s="161"/>
      <c r="S48" s="165"/>
    </row>
    <row r="49" spans="1:19">
      <c r="A49" s="117" t="s">
        <v>462</v>
      </c>
      <c r="B49" s="118">
        <f>利润表!AK86</f>
        <v>0</v>
      </c>
      <c r="C49" s="119" t="e">
        <f>C50*C48</f>
        <v>#VALUE!</v>
      </c>
      <c r="D49" s="120" t="str">
        <f t="shared" si="3"/>
        <v>—</v>
      </c>
      <c r="E49" s="118">
        <f>利润表!AL86</f>
        <v>0</v>
      </c>
      <c r="F49" s="119" t="e">
        <f>F50*F48</f>
        <v>#VALUE!</v>
      </c>
      <c r="G49" s="120" t="str">
        <f t="shared" si="4"/>
        <v>—</v>
      </c>
      <c r="H49" s="118">
        <f>利润表!AM86</f>
        <v>0</v>
      </c>
      <c r="I49" s="119" t="e">
        <f>I50*I48</f>
        <v>#VALUE!</v>
      </c>
      <c r="J49" s="120" t="str">
        <f t="shared" si="5"/>
        <v>—</v>
      </c>
      <c r="K49" s="98"/>
      <c r="Q49" s="98"/>
      <c r="R49" s="98"/>
      <c r="S49" s="92"/>
    </row>
    <row r="50" spans="1:19">
      <c r="A50" s="121" t="s">
        <v>96</v>
      </c>
      <c r="B50" s="122" t="str">
        <f>利润表!AK87</f>
        <v>—</v>
      </c>
      <c r="C50" s="123" t="str">
        <f>C9</f>
        <v>—</v>
      </c>
      <c r="D50" s="124" t="str">
        <f>IF(ISERROR(C50-B50),0,ROUND(C50-B50,4))*100&amp;"ppt"</f>
        <v>0ppt</v>
      </c>
      <c r="E50" s="122" t="str">
        <f>利润表!AL87</f>
        <v>—</v>
      </c>
      <c r="F50" s="123" t="str">
        <f>E9</f>
        <v>—</v>
      </c>
      <c r="G50" s="124" t="str">
        <f>IF(ISERROR(F50-E50),0,ROUND(F50-E50,4))*100&amp;"ppt"</f>
        <v>0ppt</v>
      </c>
      <c r="H50" s="122" t="str">
        <f>利润表!AM87</f>
        <v>—</v>
      </c>
      <c r="I50" s="123" t="str">
        <f>G9</f>
        <v>—</v>
      </c>
      <c r="J50" s="124" t="str">
        <f>IF(ISERROR(I50-H50),0,ROUND(I50-H50,4))*100&amp;"ppt"</f>
        <v>0ppt</v>
      </c>
      <c r="K50" s="98"/>
      <c r="Q50" s="98"/>
      <c r="R50" s="98"/>
      <c r="S50" s="92"/>
    </row>
    <row r="51" spans="1:19" s="93" customFormat="1" ht="15.75">
      <c r="A51" s="133" t="s">
        <v>355</v>
      </c>
      <c r="B51" s="114">
        <f>利润表!AK88</f>
        <v>0</v>
      </c>
      <c r="C51" s="115" t="e">
        <f>C48-C49</f>
        <v>#VALUE!</v>
      </c>
      <c r="D51" s="116" t="str">
        <f t="shared" si="3"/>
        <v>—</v>
      </c>
      <c r="E51" s="114">
        <f>利润表!AL88</f>
        <v>0</v>
      </c>
      <c r="F51" s="115" t="e">
        <f>F48-F49</f>
        <v>#VALUE!</v>
      </c>
      <c r="G51" s="116" t="str">
        <f t="shared" si="4"/>
        <v>—</v>
      </c>
      <c r="H51" s="114">
        <f>利润表!AM88</f>
        <v>0</v>
      </c>
      <c r="I51" s="115" t="e">
        <f>I48-I49</f>
        <v>#VALUE!</v>
      </c>
      <c r="J51" s="116" t="str">
        <f t="shared" si="5"/>
        <v>—</v>
      </c>
      <c r="L51" s="161"/>
      <c r="M51" s="161"/>
      <c r="O51" s="162"/>
      <c r="P51" s="161"/>
      <c r="S51" s="165"/>
    </row>
    <row r="52" spans="1:19">
      <c r="A52" s="117" t="s">
        <v>463</v>
      </c>
      <c r="B52" s="118">
        <f>利润表!AK91</f>
        <v>0</v>
      </c>
      <c r="C52" s="119" t="e">
        <f>C53*C51</f>
        <v>#VALUE!</v>
      </c>
      <c r="D52" s="120" t="str">
        <f t="shared" si="3"/>
        <v>—</v>
      </c>
      <c r="E52" s="118">
        <f>利润表!AL91</f>
        <v>0</v>
      </c>
      <c r="F52" s="119" t="e">
        <f>F53*F51</f>
        <v>#VALUE!</v>
      </c>
      <c r="G52" s="120" t="str">
        <f t="shared" si="4"/>
        <v>—</v>
      </c>
      <c r="H52" s="118">
        <f>利润表!AM91</f>
        <v>0</v>
      </c>
      <c r="I52" s="119" t="e">
        <f>I53*I51</f>
        <v>#VALUE!</v>
      </c>
      <c r="J52" s="120" t="str">
        <f t="shared" si="5"/>
        <v>—</v>
      </c>
      <c r="K52" s="98"/>
      <c r="Q52" s="98"/>
      <c r="R52" s="98"/>
      <c r="S52" s="92"/>
    </row>
    <row r="53" spans="1:19">
      <c r="A53" s="121" t="s">
        <v>98</v>
      </c>
      <c r="B53" s="122" t="str">
        <f>利润表!AK92</f>
        <v>—</v>
      </c>
      <c r="C53" s="123" t="str">
        <f>C10</f>
        <v>—</v>
      </c>
      <c r="D53" s="124" t="str">
        <f>IF(ISERROR(C53-B53),0,ROUND(C53-B53,4))*100&amp;"ppt"</f>
        <v>0ppt</v>
      </c>
      <c r="E53" s="122" t="str">
        <f>利润表!AL92</f>
        <v>—</v>
      </c>
      <c r="F53" s="123" t="str">
        <f>E10</f>
        <v>—</v>
      </c>
      <c r="G53" s="124" t="str">
        <f>IF(ISERROR(F53-E53),0,ROUND(F53-E53,4))*100&amp;"ppt"</f>
        <v>0ppt</v>
      </c>
      <c r="H53" s="122" t="str">
        <f>利润表!AM92</f>
        <v>—</v>
      </c>
      <c r="I53" s="123" t="str">
        <f>G10</f>
        <v>—</v>
      </c>
      <c r="J53" s="124" t="str">
        <f>IF(ISERROR(I53-H53),0,ROUND(I53-H53,4))*100&amp;"ppt"</f>
        <v>0ppt</v>
      </c>
      <c r="K53" s="98"/>
      <c r="Q53" s="98"/>
      <c r="R53" s="98"/>
      <c r="S53" s="92"/>
    </row>
    <row r="54" spans="1:19">
      <c r="A54" s="134" t="s">
        <v>213</v>
      </c>
      <c r="B54" s="135">
        <f>利润表!AK93</f>
        <v>0</v>
      </c>
      <c r="C54" s="136">
        <f>利润表!AK93</f>
        <v>0</v>
      </c>
      <c r="D54" s="137"/>
      <c r="E54" s="135">
        <f>利润表!AL93</f>
        <v>0</v>
      </c>
      <c r="F54" s="136">
        <f>利润表!AL93</f>
        <v>0</v>
      </c>
      <c r="G54" s="137"/>
      <c r="H54" s="135">
        <f>利润表!AM93</f>
        <v>0</v>
      </c>
      <c r="I54" s="136">
        <f>利润表!AM93</f>
        <v>0</v>
      </c>
      <c r="J54" s="137"/>
      <c r="K54" s="98"/>
      <c r="Q54" s="98"/>
      <c r="R54" s="98"/>
      <c r="S54" s="92"/>
    </row>
    <row r="55" spans="1:19" s="93" customFormat="1" ht="15.75">
      <c r="A55" s="112" t="s">
        <v>356</v>
      </c>
      <c r="B55" s="114">
        <f>利润表!AK94</f>
        <v>0</v>
      </c>
      <c r="C55" s="115" t="e">
        <f>C51-C52-C54</f>
        <v>#VALUE!</v>
      </c>
      <c r="D55" s="116" t="str">
        <f t="shared" si="3"/>
        <v>—</v>
      </c>
      <c r="E55" s="114">
        <f>利润表!AL94</f>
        <v>0</v>
      </c>
      <c r="F55" s="115" t="e">
        <f>F51-F52-F54</f>
        <v>#VALUE!</v>
      </c>
      <c r="G55" s="116" t="str">
        <f t="shared" si="4"/>
        <v>—</v>
      </c>
      <c r="H55" s="114">
        <f>利润表!AM94</f>
        <v>0</v>
      </c>
      <c r="I55" s="115" t="e">
        <f>I51-I52-I54</f>
        <v>#VALUE!</v>
      </c>
      <c r="J55" s="116" t="str">
        <f t="shared" si="5"/>
        <v>—</v>
      </c>
      <c r="L55" s="161"/>
      <c r="M55" s="161"/>
      <c r="O55" s="162"/>
      <c r="P55" s="161"/>
      <c r="S55" s="165"/>
    </row>
    <row r="56" spans="1:19">
      <c r="A56" s="138" t="s">
        <v>696</v>
      </c>
      <c r="B56" s="139" t="str">
        <f>IF(ISERROR(B55/B16),"—",B55/B16)</f>
        <v>—</v>
      </c>
      <c r="C56" s="140" t="str">
        <f>IF(ISERROR(C55/C16),"—",C55/C16)</f>
        <v>—</v>
      </c>
      <c r="D56" s="124" t="str">
        <f>IF(ISERROR(C56-B56),0,ROUND(C56-B56,4))*100&amp;"ppt"</f>
        <v>0ppt</v>
      </c>
      <c r="E56" s="139" t="str">
        <f>IF(ISERROR(E55/E16),"—",E55/E16)</f>
        <v>—</v>
      </c>
      <c r="F56" s="140" t="str">
        <f>IF(ISERROR(F55/F16),"—",F55/F16)</f>
        <v>—</v>
      </c>
      <c r="G56" s="124" t="str">
        <f>IF(ISERROR(F56-E56),0,ROUND(F56-E56,4))*100&amp;"ppt"</f>
        <v>0ppt</v>
      </c>
      <c r="H56" s="139" t="str">
        <f>IF(ISERROR(H55/H16),"—",H55/H16)</f>
        <v>—</v>
      </c>
      <c r="I56" s="140" t="str">
        <f>IF(ISERROR(I55/I16),"—",I55/I16)</f>
        <v>—</v>
      </c>
      <c r="J56" s="124" t="str">
        <f>IF(ISERROR(I56-H56),0,ROUND(I56-H56,4))*100&amp;"ppt"</f>
        <v>0ppt</v>
      </c>
      <c r="K56" s="98"/>
      <c r="Q56" s="98"/>
      <c r="R56" s="98"/>
      <c r="S56" s="92"/>
    </row>
    <row r="57" spans="1:19">
      <c r="A57" s="130" t="s">
        <v>697</v>
      </c>
      <c r="B57" s="118" t="str">
        <f>IF(ISERROR(B55/主要财务摘要!$F$4),"—",B55/主要财务摘要!$F$4)</f>
        <v>—</v>
      </c>
      <c r="C57" s="119" t="str">
        <f>IF(ISERROR(C55/主要财务摘要!$F$4),"—",C55/主要财务摘要!$F$4)</f>
        <v>—</v>
      </c>
      <c r="D57" s="120" t="str">
        <f t="shared" si="3"/>
        <v>—</v>
      </c>
      <c r="E57" s="118" t="str">
        <f>IF(ISERROR(E55/主要财务摘要!$F$4),"—",E55/主要财务摘要!$F$4)</f>
        <v>—</v>
      </c>
      <c r="F57" s="119" t="str">
        <f>IF(ISERROR(F55/主要财务摘要!$F$4),"—",F55/主要财务摘要!$F$4)</f>
        <v>—</v>
      </c>
      <c r="G57" s="120" t="str">
        <f t="shared" si="4"/>
        <v>—</v>
      </c>
      <c r="H57" s="118" t="str">
        <f>IF(ISERROR(H55/主要财务摘要!$F$4),"—",H55/主要财务摘要!$F$4)</f>
        <v>—</v>
      </c>
      <c r="I57" s="119" t="str">
        <f>IF(ISERROR(I55/主要财务摘要!$F$4),"—",I55/主要财务摘要!$F$4)</f>
        <v>—</v>
      </c>
      <c r="J57" s="120" t="str">
        <f t="shared" si="5"/>
        <v>—</v>
      </c>
      <c r="K57" s="98"/>
      <c r="Q57" s="98"/>
      <c r="R57" s="98"/>
      <c r="S57" s="92"/>
    </row>
    <row r="58" spans="1:19" s="92" customFormat="1">
      <c r="A58" s="130"/>
      <c r="B58" s="118"/>
      <c r="C58" s="118"/>
      <c r="D58" s="120"/>
      <c r="E58" s="118"/>
      <c r="F58" s="118"/>
      <c r="G58" s="120"/>
      <c r="H58" s="118"/>
      <c r="I58" s="118"/>
      <c r="J58" s="120"/>
      <c r="L58" s="30"/>
      <c r="M58" s="30"/>
      <c r="O58" s="150"/>
      <c r="P58" s="30"/>
    </row>
    <row r="59" spans="1:19" s="92" customFormat="1">
      <c r="A59" s="130"/>
      <c r="B59" s="118"/>
      <c r="C59" s="118"/>
      <c r="D59" s="120"/>
      <c r="E59" s="118"/>
      <c r="F59" s="118"/>
      <c r="G59" s="120"/>
      <c r="H59" s="118"/>
      <c r="I59" s="118"/>
      <c r="J59" s="120"/>
      <c r="L59" s="30"/>
      <c r="M59" s="30"/>
      <c r="O59" s="150"/>
      <c r="P59" s="30"/>
    </row>
    <row r="60" spans="1:19" s="92" customFormat="1" ht="18">
      <c r="A60" s="141" t="str">
        <f>B2&amp;"敏感性分析"</f>
        <v>2024E敏感性分析</v>
      </c>
      <c r="B60" s="30"/>
      <c r="C60" s="142"/>
      <c r="D60" s="142"/>
      <c r="E60" s="142"/>
      <c r="F60" s="142"/>
      <c r="G60" s="142"/>
      <c r="H60" s="142"/>
      <c r="I60" s="142"/>
      <c r="K60" s="141" t="str">
        <f>D2&amp;"敏感性分析"</f>
        <v>2025敏感性分析</v>
      </c>
      <c r="L60" s="30"/>
      <c r="M60" s="142"/>
      <c r="N60" s="142"/>
      <c r="O60" s="142"/>
      <c r="P60" s="142"/>
      <c r="Q60" s="142"/>
      <c r="R60" s="142"/>
      <c r="S60" s="142"/>
    </row>
    <row r="61" spans="1:19" s="92" customFormat="1" ht="22.5" customHeight="1">
      <c r="A61" s="143" t="s">
        <v>698</v>
      </c>
      <c r="B61" s="30"/>
      <c r="C61" s="30"/>
      <c r="D61" s="30"/>
      <c r="F61" s="30"/>
      <c r="G61" s="30"/>
      <c r="K61" s="143" t="s">
        <v>698</v>
      </c>
      <c r="L61" s="30"/>
      <c r="M61" s="30"/>
      <c r="N61" s="30"/>
      <c r="P61" s="30"/>
      <c r="Q61" s="30"/>
    </row>
    <row r="62" spans="1:19" s="92" customFormat="1" ht="15.75">
      <c r="A62" s="131" t="s">
        <v>699</v>
      </c>
      <c r="B62" s="106">
        <v>5.0000000000000001E-3</v>
      </c>
      <c r="C62" s="96"/>
      <c r="D62" s="96"/>
      <c r="E62" s="98"/>
      <c r="F62" s="96"/>
      <c r="G62" s="96"/>
      <c r="H62" s="98"/>
      <c r="I62" s="98"/>
      <c r="K62" s="131" t="s">
        <v>699</v>
      </c>
      <c r="L62" s="106">
        <v>5.0000000000000001E-3</v>
      </c>
      <c r="M62" s="96"/>
      <c r="N62" s="96"/>
      <c r="O62" s="98"/>
      <c r="P62" s="96"/>
      <c r="Q62" s="96"/>
      <c r="R62" s="98"/>
      <c r="S62" s="98"/>
    </row>
    <row r="63" spans="1:19" s="92" customFormat="1" ht="15.75">
      <c r="A63" s="144" t="s">
        <v>700</v>
      </c>
      <c r="B63" s="145"/>
      <c r="C63" s="1175" t="s">
        <v>539</v>
      </c>
      <c r="D63" s="1175"/>
      <c r="E63" s="1175"/>
      <c r="F63" s="1175"/>
      <c r="G63" s="1175"/>
      <c r="H63" s="1175"/>
      <c r="I63" s="1176"/>
      <c r="K63" s="144" t="s">
        <v>700</v>
      </c>
      <c r="L63" s="145"/>
      <c r="M63" s="1175" t="s">
        <v>539</v>
      </c>
      <c r="N63" s="1175"/>
      <c r="O63" s="1175"/>
      <c r="P63" s="1175"/>
      <c r="Q63" s="1175"/>
      <c r="R63" s="1175"/>
      <c r="S63" s="1176"/>
    </row>
    <row r="64" spans="1:19" s="92" customFormat="1" ht="15.75">
      <c r="A64" s="146"/>
      <c r="B64" s="147"/>
      <c r="C64" s="148" t="e">
        <f>D64-$B$62</f>
        <v>#VALUE!</v>
      </c>
      <c r="D64" s="148" t="e">
        <f>E64-$B$62</f>
        <v>#VALUE!</v>
      </c>
      <c r="E64" s="148" t="e">
        <f>F64-$B$62</f>
        <v>#VALUE!</v>
      </c>
      <c r="F64" s="149" t="str">
        <f>C3</f>
        <v>—</v>
      </c>
      <c r="G64" s="148" t="e">
        <f>F64+$B$62</f>
        <v>#VALUE!</v>
      </c>
      <c r="H64" s="148" t="e">
        <f>G64+$B$62</f>
        <v>#VALUE!</v>
      </c>
      <c r="I64" s="164" t="e">
        <f>H64+$B$62</f>
        <v>#VALUE!</v>
      </c>
      <c r="K64" s="146"/>
      <c r="L64" s="147"/>
      <c r="M64" s="148" t="e">
        <f t="shared" ref="M64:O64" si="6">N64-$L$62</f>
        <v>#VALUE!</v>
      </c>
      <c r="N64" s="148" t="e">
        <f t="shared" si="6"/>
        <v>#VALUE!</v>
      </c>
      <c r="O64" s="148" t="e">
        <f t="shared" si="6"/>
        <v>#VALUE!</v>
      </c>
      <c r="P64" s="149" t="str">
        <f>E3</f>
        <v>—</v>
      </c>
      <c r="Q64" s="148" t="e">
        <f>P64+$L$62</f>
        <v>#VALUE!</v>
      </c>
      <c r="R64" s="148" t="e">
        <f t="shared" ref="R64:S64" si="7">Q64+$L$62</f>
        <v>#VALUE!</v>
      </c>
      <c r="S64" s="164" t="e">
        <f t="shared" si="7"/>
        <v>#VALUE!</v>
      </c>
    </row>
    <row r="65" spans="1:19" s="92" customFormat="1" ht="13.5">
      <c r="A65" s="1181" t="s">
        <v>686</v>
      </c>
      <c r="B65" s="167" t="e">
        <f>B66-$B$62</f>
        <v>#VALUE!</v>
      </c>
      <c r="C65" s="160" t="e">
        <f>(利润表!$AG$8*(1+C$64)-利润表!$AG$15*(1+$B65)-利润表!$AG$22)/ABS(利润表!$AG$22)</f>
        <v>#VALUE!</v>
      </c>
      <c r="D65" s="160" t="e">
        <f>(利润表!$AG$8*(1+D$64)-利润表!$AG$15*(1+$B65)-利润表!$AG$22)/ABS(利润表!$AG$22)</f>
        <v>#VALUE!</v>
      </c>
      <c r="E65" s="160" t="e">
        <f>(利润表!$AG$8*(1+E$64)-利润表!$AG$15*(1+$B65)-利润表!$AG$22)/ABS(利润表!$AG$22)</f>
        <v>#VALUE!</v>
      </c>
      <c r="F65" s="160" t="e">
        <f>(利润表!$AG$8*(1+F$64)-利润表!$AG$15*(1+$B65)-利润表!$AG$22)/ABS(利润表!$AG$22)</f>
        <v>#VALUE!</v>
      </c>
      <c r="G65" s="160" t="e">
        <f>(利润表!$AG$8*(1+G$64)-利润表!$AG$15*(1+$B65)-利润表!$AG$22)/ABS(利润表!$AG$22)</f>
        <v>#VALUE!</v>
      </c>
      <c r="H65" s="160" t="e">
        <f>(利润表!$AG$8*(1+H$64)-利润表!$AG$15*(1+$B65)-利润表!$AG$22)/ABS(利润表!$AG$22)</f>
        <v>#VALUE!</v>
      </c>
      <c r="I65" s="190" t="e">
        <f>(利润表!$AG$8*(1+I$64)-利润表!$AG$15*(1+$B65)-利润表!$AG$22)/ABS(利润表!$AG$22)</f>
        <v>#VALUE!</v>
      </c>
      <c r="K65" s="1181" t="s">
        <v>686</v>
      </c>
      <c r="L65" s="167" t="e">
        <f t="shared" ref="L65:L67" si="8">L66-$L$62</f>
        <v>#VALUE!</v>
      </c>
      <c r="M65" s="160" t="e">
        <f>($C$16*(1+M$64)-$C$20*(1+$L65)-$C$23)/ABS($C$23)</f>
        <v>#VALUE!</v>
      </c>
      <c r="N65" s="160" t="e">
        <f t="shared" ref="N65:N71" si="9">($C$16*(1+N$64)-$C$20*(1+$L65)-$C$23)/ABS($C$23)</f>
        <v>#VALUE!</v>
      </c>
      <c r="O65" s="160" t="e">
        <f t="shared" ref="O65:O71" si="10">($C$16*(1+O$64)-$C$20*(1+$L65)-$C$23)/ABS($C$23)</f>
        <v>#VALUE!</v>
      </c>
      <c r="P65" s="160" t="e">
        <f t="shared" ref="P65:P71" si="11">($C$16*(1+P$64)-$C$20*(1+$L65)-$C$23)/ABS($C$23)</f>
        <v>#VALUE!</v>
      </c>
      <c r="Q65" s="160" t="e">
        <f t="shared" ref="Q65:Q71" si="12">($C$16*(1+Q$64)-$C$20*(1+$L65)-$C$23)/ABS($C$23)</f>
        <v>#VALUE!</v>
      </c>
      <c r="R65" s="160" t="e">
        <f t="shared" ref="R65:R71" si="13">($C$16*(1+R$64)-$C$20*(1+$L65)-$C$23)/ABS($C$23)</f>
        <v>#VALUE!</v>
      </c>
      <c r="S65" s="190" t="e">
        <f t="shared" ref="S65:S71" si="14">($C$16*(1+S$64)-$C$20*(1+$L65)-$C$23)/ABS($C$23)</f>
        <v>#VALUE!</v>
      </c>
    </row>
    <row r="66" spans="1:19" s="92" customFormat="1" ht="13.5">
      <c r="A66" s="1181"/>
      <c r="B66" s="167" t="e">
        <f>B67-$B$62</f>
        <v>#VALUE!</v>
      </c>
      <c r="C66" s="160" t="e">
        <f>(利润表!$AG$8*(1+C$64)-利润表!$AG$15*(1+$B66)-利润表!$AG$22)/ABS(利润表!$AG$22)</f>
        <v>#VALUE!</v>
      </c>
      <c r="D66" s="160" t="e">
        <f>(利润表!$AG$8*(1+D$64)-利润表!$AG$15*(1+$B66)-利润表!$AG$22)/ABS(利润表!$AG$22)</f>
        <v>#VALUE!</v>
      </c>
      <c r="E66" s="160" t="e">
        <f>(利润表!$AG$8*(1+E$64)-利润表!$AG$15*(1+$B66)-利润表!$AG$22)/ABS(利润表!$AG$22)</f>
        <v>#VALUE!</v>
      </c>
      <c r="F66" s="160" t="e">
        <f>(利润表!$AG$8*(1+F$64)-利润表!$AG$15*(1+$B66)-利润表!$AG$22)/ABS(利润表!$AG$22)</f>
        <v>#VALUE!</v>
      </c>
      <c r="G66" s="160" t="e">
        <f>(利润表!$AG$8*(1+G$64)-利润表!$AG$15*(1+$B66)-利润表!$AG$22)/ABS(利润表!$AG$22)</f>
        <v>#VALUE!</v>
      </c>
      <c r="H66" s="160" t="e">
        <f>(利润表!$AG$8*(1+H$64)-利润表!$AG$15*(1+$B66)-利润表!$AG$22)/ABS(利润表!$AG$22)</f>
        <v>#VALUE!</v>
      </c>
      <c r="I66" s="190" t="e">
        <f>(利润表!$AG$8*(1+I$64)-利润表!$AG$15*(1+$B66)-利润表!$AG$22)/ABS(利润表!$AG$22)</f>
        <v>#VALUE!</v>
      </c>
      <c r="K66" s="1181"/>
      <c r="L66" s="167" t="e">
        <f t="shared" si="8"/>
        <v>#VALUE!</v>
      </c>
      <c r="M66" s="160" t="e">
        <f t="shared" ref="M66:M71" si="15">($C$16*(1+M$64)-$C$20*(1+$L66)-$C$23)/ABS($C$23)</f>
        <v>#VALUE!</v>
      </c>
      <c r="N66" s="160" t="e">
        <f t="shared" si="9"/>
        <v>#VALUE!</v>
      </c>
      <c r="O66" s="160" t="e">
        <f t="shared" si="10"/>
        <v>#VALUE!</v>
      </c>
      <c r="P66" s="160" t="e">
        <f t="shared" si="11"/>
        <v>#VALUE!</v>
      </c>
      <c r="Q66" s="160" t="e">
        <f t="shared" si="12"/>
        <v>#VALUE!</v>
      </c>
      <c r="R66" s="160" t="e">
        <f t="shared" si="13"/>
        <v>#VALUE!</v>
      </c>
      <c r="S66" s="190" t="e">
        <f t="shared" si="14"/>
        <v>#VALUE!</v>
      </c>
    </row>
    <row r="67" spans="1:19" s="92" customFormat="1" ht="13.5">
      <c r="A67" s="1181"/>
      <c r="B67" s="167" t="e">
        <f>B68-$B$62</f>
        <v>#VALUE!</v>
      </c>
      <c r="C67" s="160" t="e">
        <f>(利润表!$AG$8*(1+C$64)-利润表!$AG$15*(1+$B67)-利润表!$AG$22)/ABS(利润表!$AG$22)</f>
        <v>#VALUE!</v>
      </c>
      <c r="D67" s="160" t="e">
        <f>(利润表!$AG$8*(1+D$64)-利润表!$AG$15*(1+$B67)-利润表!$AG$22)/ABS(利润表!$AG$22)</f>
        <v>#VALUE!</v>
      </c>
      <c r="E67" s="160" t="e">
        <f>(利润表!$AG$8*(1+E$64)-利润表!$AG$15*(1+$B67)-利润表!$AG$22)/ABS(利润表!$AG$22)</f>
        <v>#VALUE!</v>
      </c>
      <c r="F67" s="160" t="e">
        <f>(利润表!$AG$8*(1+F$64)-利润表!$AG$15*(1+$B67)-利润表!$AG$22)/ABS(利润表!$AG$22)</f>
        <v>#VALUE!</v>
      </c>
      <c r="G67" s="160" t="e">
        <f>(利润表!$AG$8*(1+G$64)-利润表!$AG$15*(1+$B67)-利润表!$AG$22)/ABS(利润表!$AG$22)</f>
        <v>#VALUE!</v>
      </c>
      <c r="H67" s="160" t="e">
        <f>(利润表!$AG$8*(1+H$64)-利润表!$AG$15*(1+$B67)-利润表!$AG$22)/ABS(利润表!$AG$22)</f>
        <v>#VALUE!</v>
      </c>
      <c r="I67" s="190" t="e">
        <f>(利润表!$AG$8*(1+I$64)-利润表!$AG$15*(1+$B67)-利润表!$AG$22)/ABS(利润表!$AG$22)</f>
        <v>#VALUE!</v>
      </c>
      <c r="K67" s="1181"/>
      <c r="L67" s="167" t="e">
        <f t="shared" si="8"/>
        <v>#VALUE!</v>
      </c>
      <c r="M67" s="160" t="e">
        <f t="shared" si="15"/>
        <v>#VALUE!</v>
      </c>
      <c r="N67" s="160" t="e">
        <f t="shared" si="9"/>
        <v>#VALUE!</v>
      </c>
      <c r="O67" s="160" t="e">
        <f t="shared" si="10"/>
        <v>#VALUE!</v>
      </c>
      <c r="P67" s="160" t="e">
        <f t="shared" si="11"/>
        <v>#VALUE!</v>
      </c>
      <c r="Q67" s="160" t="e">
        <f t="shared" si="12"/>
        <v>#VALUE!</v>
      </c>
      <c r="R67" s="160" t="e">
        <f t="shared" si="13"/>
        <v>#VALUE!</v>
      </c>
      <c r="S67" s="190" t="e">
        <f t="shared" si="14"/>
        <v>#VALUE!</v>
      </c>
    </row>
    <row r="68" spans="1:19" s="92" customFormat="1" ht="13.5">
      <c r="A68" s="1181"/>
      <c r="B68" s="168" t="str">
        <f>C4</f>
        <v>—</v>
      </c>
      <c r="C68" s="160" t="e">
        <f>(利润表!$AG$8*(1+C$64)-利润表!$AG$15*(1+$B68)-利润表!$AG$22)/ABS(利润表!$AG$22)</f>
        <v>#VALUE!</v>
      </c>
      <c r="D68" s="160" t="e">
        <f>(利润表!$AG$8*(1+D$64)-利润表!$AG$15*(1+$B68)-利润表!$AG$22)/ABS(利润表!$AG$22)</f>
        <v>#VALUE!</v>
      </c>
      <c r="E68" s="160" t="e">
        <f>(利润表!$AG$8*(1+E$64)-利润表!$AG$15*(1+$B68)-利润表!$AG$22)/ABS(利润表!$AG$22)</f>
        <v>#VALUE!</v>
      </c>
      <c r="F68" s="160" t="e">
        <f>(利润表!$AG$8*(1+F$64)-利润表!$AG$15*(1+$B68)-利润表!$AG$22)/ABS(利润表!$AG$22)</f>
        <v>#VALUE!</v>
      </c>
      <c r="G68" s="160" t="e">
        <f>(利润表!$AG$8*(1+G$64)-利润表!$AG$15*(1+$B68)-利润表!$AG$22)/ABS(利润表!$AG$22)</f>
        <v>#VALUE!</v>
      </c>
      <c r="H68" s="160" t="e">
        <f>(利润表!$AG$8*(1+H$64)-利润表!$AG$15*(1+$B68)-利润表!$AG$22)/ABS(利润表!$AG$22)</f>
        <v>#VALUE!</v>
      </c>
      <c r="I68" s="190" t="e">
        <f>(利润表!$AG$8*(1+I$64)-利润表!$AG$15*(1+$B68)-利润表!$AG$22)/ABS(利润表!$AG$22)</f>
        <v>#VALUE!</v>
      </c>
      <c r="K68" s="1181"/>
      <c r="L68" s="168" t="str">
        <f>E4</f>
        <v>—</v>
      </c>
      <c r="M68" s="160" t="e">
        <f t="shared" si="15"/>
        <v>#VALUE!</v>
      </c>
      <c r="N68" s="160" t="e">
        <f t="shared" si="9"/>
        <v>#VALUE!</v>
      </c>
      <c r="O68" s="160" t="e">
        <f t="shared" si="10"/>
        <v>#VALUE!</v>
      </c>
      <c r="P68" s="160" t="e">
        <f t="shared" si="11"/>
        <v>#VALUE!</v>
      </c>
      <c r="Q68" s="160" t="e">
        <f t="shared" si="12"/>
        <v>#VALUE!</v>
      </c>
      <c r="R68" s="160" t="e">
        <f t="shared" si="13"/>
        <v>#VALUE!</v>
      </c>
      <c r="S68" s="190" t="e">
        <f t="shared" si="14"/>
        <v>#VALUE!</v>
      </c>
    </row>
    <row r="69" spans="1:19" s="92" customFormat="1" ht="13.5">
      <c r="A69" s="1181"/>
      <c r="B69" s="167" t="e">
        <f>B68+$B$62</f>
        <v>#VALUE!</v>
      </c>
      <c r="C69" s="160" t="e">
        <f>(利润表!$AG$8*(1+C$64)-利润表!$AG$15*(1+$B69)-利润表!$AG$22)/ABS(利润表!$AG$22)</f>
        <v>#VALUE!</v>
      </c>
      <c r="D69" s="160" t="e">
        <f>(利润表!$AG$8*(1+D$64)-利润表!$AG$15*(1+$B69)-利润表!$AG$22)/ABS(利润表!$AG$22)</f>
        <v>#VALUE!</v>
      </c>
      <c r="E69" s="160" t="e">
        <f>(利润表!$AG$8*(1+E$64)-利润表!$AG$15*(1+$B69)-利润表!$AG$22)/ABS(利润表!$AG$22)</f>
        <v>#VALUE!</v>
      </c>
      <c r="F69" s="160" t="e">
        <f>(利润表!$AG$8*(1+F$64)-利润表!$AG$15*(1+$B69)-利润表!$AG$22)/ABS(利润表!$AG$22)</f>
        <v>#VALUE!</v>
      </c>
      <c r="G69" s="160" t="e">
        <f>(利润表!$AG$8*(1+G$64)-利润表!$AG$15*(1+$B69)-利润表!$AG$22)/ABS(利润表!$AG$22)</f>
        <v>#VALUE!</v>
      </c>
      <c r="H69" s="160" t="e">
        <f>(利润表!$AG$8*(1+H$64)-利润表!$AG$15*(1+$B69)-利润表!$AG$22)/ABS(利润表!$AG$22)</f>
        <v>#VALUE!</v>
      </c>
      <c r="I69" s="190" t="e">
        <f>(利润表!$AG$8*(1+I$64)-利润表!$AG$15*(1+$B69)-利润表!$AG$22)/ABS(利润表!$AG$22)</f>
        <v>#VALUE!</v>
      </c>
      <c r="K69" s="1181"/>
      <c r="L69" s="167" t="e">
        <f>L68+$L$62</f>
        <v>#VALUE!</v>
      </c>
      <c r="M69" s="160" t="e">
        <f t="shared" si="15"/>
        <v>#VALUE!</v>
      </c>
      <c r="N69" s="160" t="e">
        <f t="shared" si="9"/>
        <v>#VALUE!</v>
      </c>
      <c r="O69" s="160" t="e">
        <f t="shared" si="10"/>
        <v>#VALUE!</v>
      </c>
      <c r="P69" s="160" t="e">
        <f t="shared" si="11"/>
        <v>#VALUE!</v>
      </c>
      <c r="Q69" s="160" t="e">
        <f t="shared" si="12"/>
        <v>#VALUE!</v>
      </c>
      <c r="R69" s="160" t="e">
        <f t="shared" si="13"/>
        <v>#VALUE!</v>
      </c>
      <c r="S69" s="190" t="e">
        <f t="shared" si="14"/>
        <v>#VALUE!</v>
      </c>
    </row>
    <row r="70" spans="1:19" s="92" customFormat="1" ht="13.5">
      <c r="A70" s="1181"/>
      <c r="B70" s="167" t="e">
        <f>B69+$B$62</f>
        <v>#VALUE!</v>
      </c>
      <c r="C70" s="160" t="e">
        <f>(利润表!$AG$8*(1+C$64)-利润表!$AG$15*(1+$B70)-利润表!$AG$22)/ABS(利润表!$AG$22)</f>
        <v>#VALUE!</v>
      </c>
      <c r="D70" s="160" t="e">
        <f>(利润表!$AG$8*(1+D$64)-利润表!$AG$15*(1+$B70)-利润表!$AG$22)/ABS(利润表!$AG$22)</f>
        <v>#VALUE!</v>
      </c>
      <c r="E70" s="160" t="e">
        <f>(利润表!$AG$8*(1+E$64)-利润表!$AG$15*(1+$B70)-利润表!$AG$22)/ABS(利润表!$AG$22)</f>
        <v>#VALUE!</v>
      </c>
      <c r="F70" s="160" t="e">
        <f>(利润表!$AG$8*(1+F$64)-利润表!$AG$15*(1+$B70)-利润表!$AG$22)/ABS(利润表!$AG$22)</f>
        <v>#VALUE!</v>
      </c>
      <c r="G70" s="160" t="e">
        <f>(利润表!$AG$8*(1+G$64)-利润表!$AG$15*(1+$B70)-利润表!$AG$22)/ABS(利润表!$AG$22)</f>
        <v>#VALUE!</v>
      </c>
      <c r="H70" s="160" t="e">
        <f>(利润表!$AG$8*(1+H$64)-利润表!$AG$15*(1+$B70)-利润表!$AG$22)/ABS(利润表!$AG$22)</f>
        <v>#VALUE!</v>
      </c>
      <c r="I70" s="190" t="e">
        <f>(利润表!$AG$8*(1+I$64)-利润表!$AG$15*(1+$B70)-利润表!$AG$22)/ABS(利润表!$AG$22)</f>
        <v>#VALUE!</v>
      </c>
      <c r="K70" s="1181"/>
      <c r="L70" s="167" t="e">
        <f t="shared" ref="L70:L71" si="16">L69+$L$62</f>
        <v>#VALUE!</v>
      </c>
      <c r="M70" s="160" t="e">
        <f t="shared" si="15"/>
        <v>#VALUE!</v>
      </c>
      <c r="N70" s="160" t="e">
        <f t="shared" si="9"/>
        <v>#VALUE!</v>
      </c>
      <c r="O70" s="160" t="e">
        <f t="shared" si="10"/>
        <v>#VALUE!</v>
      </c>
      <c r="P70" s="160" t="e">
        <f t="shared" si="11"/>
        <v>#VALUE!</v>
      </c>
      <c r="Q70" s="160" t="e">
        <f t="shared" si="12"/>
        <v>#VALUE!</v>
      </c>
      <c r="R70" s="160" t="e">
        <f t="shared" si="13"/>
        <v>#VALUE!</v>
      </c>
      <c r="S70" s="190" t="e">
        <f t="shared" si="14"/>
        <v>#VALUE!</v>
      </c>
    </row>
    <row r="71" spans="1:19" s="92" customFormat="1" ht="13.5">
      <c r="A71" s="1182"/>
      <c r="B71" s="169" t="e">
        <f>B70+$B$62</f>
        <v>#VALUE!</v>
      </c>
      <c r="C71" s="170" t="e">
        <f>(利润表!$AG$8*(1+C$64)-利润表!$AG$15*(1+$B71)-利润表!$AG$22)/ABS(利润表!$AG$22)</f>
        <v>#VALUE!</v>
      </c>
      <c r="D71" s="171" t="e">
        <f>(利润表!$AG$8*(1+D$64)-利润表!$AG$15*(1+$B71)-利润表!$AG$22)/ABS(利润表!$AG$22)</f>
        <v>#VALUE!</v>
      </c>
      <c r="E71" s="171" t="e">
        <f>(利润表!$AG$8*(1+E$64)-利润表!$AG$15*(1+$B71)-利润表!$AG$22)/ABS(利润表!$AG$22)</f>
        <v>#VALUE!</v>
      </c>
      <c r="F71" s="171" t="e">
        <f>(利润表!$AG$8*(1+F$64)-利润表!$AG$15*(1+$B71)-利润表!$AG$22)/ABS(利润表!$AG$22)</f>
        <v>#VALUE!</v>
      </c>
      <c r="G71" s="171" t="e">
        <f>(利润表!$AG$8*(1+G$64)-利润表!$AG$15*(1+$B71)-利润表!$AG$22)/ABS(利润表!$AG$22)</f>
        <v>#VALUE!</v>
      </c>
      <c r="H71" s="171" t="e">
        <f>(利润表!$AG$8*(1+H$64)-利润表!$AG$15*(1+$B71)-利润表!$AG$22)/ABS(利润表!$AG$22)</f>
        <v>#VALUE!</v>
      </c>
      <c r="I71" s="191" t="e">
        <f>(利润表!$AG$8*(1+I$64)-利润表!$AG$15*(1+$B71)-利润表!$AG$22)/ABS(利润表!$AG$22)</f>
        <v>#VALUE!</v>
      </c>
      <c r="K71" s="1182"/>
      <c r="L71" s="169" t="e">
        <f t="shared" si="16"/>
        <v>#VALUE!</v>
      </c>
      <c r="M71" s="170" t="e">
        <f t="shared" si="15"/>
        <v>#VALUE!</v>
      </c>
      <c r="N71" s="171" t="e">
        <f t="shared" si="9"/>
        <v>#VALUE!</v>
      </c>
      <c r="O71" s="171" t="e">
        <f t="shared" si="10"/>
        <v>#VALUE!</v>
      </c>
      <c r="P71" s="171" t="e">
        <f t="shared" si="11"/>
        <v>#VALUE!</v>
      </c>
      <c r="Q71" s="171" t="e">
        <f t="shared" si="12"/>
        <v>#VALUE!</v>
      </c>
      <c r="R71" s="171" t="e">
        <f t="shared" si="13"/>
        <v>#VALUE!</v>
      </c>
      <c r="S71" s="191" t="e">
        <f t="shared" si="14"/>
        <v>#VALUE!</v>
      </c>
    </row>
    <row r="72" spans="1:19" s="92" customFormat="1">
      <c r="A72" s="96"/>
      <c r="B72" s="96"/>
      <c r="C72" s="98"/>
      <c r="D72" s="97"/>
      <c r="E72" s="96"/>
      <c r="F72" s="96"/>
      <c r="G72" s="96"/>
      <c r="H72" s="98"/>
      <c r="I72" s="98"/>
      <c r="K72" s="96"/>
      <c r="L72" s="96"/>
      <c r="M72" s="98"/>
      <c r="N72" s="97"/>
      <c r="O72" s="96"/>
      <c r="P72" s="96"/>
      <c r="Q72" s="96"/>
      <c r="R72" s="98"/>
      <c r="S72" s="98"/>
    </row>
    <row r="73" spans="1:19" s="92" customFormat="1" ht="18">
      <c r="B73" s="172"/>
      <c r="C73" s="173"/>
      <c r="D73" s="173"/>
      <c r="E73" s="173"/>
      <c r="F73" s="96"/>
      <c r="G73" s="96"/>
      <c r="H73" s="98"/>
      <c r="I73" s="98"/>
      <c r="K73" s="192"/>
      <c r="L73" s="172"/>
      <c r="M73" s="173"/>
      <c r="N73" s="173"/>
      <c r="O73" s="173"/>
      <c r="P73" s="96"/>
      <c r="Q73" s="96"/>
      <c r="R73" s="98"/>
      <c r="S73" s="98"/>
    </row>
    <row r="74" spans="1:19" s="92" customFormat="1" ht="27" customHeight="1">
      <c r="A74" s="143" t="s">
        <v>701</v>
      </c>
      <c r="B74" s="172"/>
      <c r="C74" s="173"/>
      <c r="D74" s="173"/>
      <c r="E74" s="173"/>
      <c r="F74" s="30"/>
      <c r="G74" s="30"/>
      <c r="K74" s="143" t="s">
        <v>701</v>
      </c>
      <c r="L74" s="172"/>
      <c r="M74" s="173"/>
      <c r="N74" s="173"/>
      <c r="O74" s="173"/>
      <c r="P74" s="30"/>
      <c r="Q74" s="30"/>
    </row>
    <row r="75" spans="1:19" s="92" customFormat="1" ht="15.75">
      <c r="A75" s="112" t="s">
        <v>702</v>
      </c>
      <c r="B75" s="106">
        <v>0.05</v>
      </c>
      <c r="C75" s="30"/>
      <c r="D75" s="30"/>
      <c r="F75" s="30"/>
      <c r="G75" s="30"/>
      <c r="K75" s="112" t="s">
        <v>702</v>
      </c>
      <c r="L75" s="106">
        <v>0.05</v>
      </c>
      <c r="M75" s="30"/>
      <c r="N75" s="30"/>
      <c r="P75" s="30"/>
      <c r="Q75" s="30"/>
    </row>
    <row r="76" spans="1:19" s="92" customFormat="1">
      <c r="A76" s="131" t="s">
        <v>703</v>
      </c>
      <c r="B76" s="106">
        <v>0.01</v>
      </c>
      <c r="C76" s="98"/>
      <c r="D76" s="97"/>
      <c r="E76" s="96"/>
      <c r="F76" s="96"/>
      <c r="G76" s="96"/>
      <c r="H76" s="98"/>
      <c r="I76" s="98"/>
      <c r="K76" s="131" t="s">
        <v>703</v>
      </c>
      <c r="L76" s="106">
        <v>0.01</v>
      </c>
      <c r="N76" s="150"/>
      <c r="O76" s="30"/>
      <c r="P76" s="30"/>
      <c r="Q76" s="30"/>
    </row>
    <row r="77" spans="1:19" s="92" customFormat="1" ht="15.75">
      <c r="A77" s="144" t="s">
        <v>704</v>
      </c>
      <c r="B77" s="145"/>
      <c r="C77" s="1175" t="s">
        <v>705</v>
      </c>
      <c r="D77" s="1175"/>
      <c r="E77" s="1175"/>
      <c r="F77" s="1175"/>
      <c r="G77" s="1175"/>
      <c r="H77" s="1175"/>
      <c r="I77" s="1176"/>
      <c r="K77" s="144" t="s">
        <v>704</v>
      </c>
      <c r="L77" s="145"/>
      <c r="M77" s="1175" t="s">
        <v>705</v>
      </c>
      <c r="N77" s="1175"/>
      <c r="O77" s="1175"/>
      <c r="P77" s="1175"/>
      <c r="Q77" s="1175"/>
      <c r="R77" s="1175"/>
      <c r="S77" s="1176"/>
    </row>
    <row r="78" spans="1:19" s="92" customFormat="1" ht="15.75">
      <c r="A78" s="146"/>
      <c r="B78" s="147"/>
      <c r="C78" s="148">
        <f>D78-$B$75</f>
        <v>0.84999999999999987</v>
      </c>
      <c r="D78" s="148">
        <f>E78-$B$75</f>
        <v>0.89999999999999991</v>
      </c>
      <c r="E78" s="148">
        <f>F78-$B$75</f>
        <v>0.95</v>
      </c>
      <c r="F78" s="149">
        <v>1</v>
      </c>
      <c r="G78" s="148">
        <f>F78+$B$75</f>
        <v>1.05</v>
      </c>
      <c r="H78" s="148">
        <f>G78+$B$75</f>
        <v>1.1000000000000001</v>
      </c>
      <c r="I78" s="164">
        <f>H78+$B$75</f>
        <v>1.1500000000000001</v>
      </c>
      <c r="K78" s="146"/>
      <c r="L78" s="147"/>
      <c r="M78" s="148">
        <f t="shared" ref="M78:O78" si="17">N78-$L$75</f>
        <v>0.84999999999999987</v>
      </c>
      <c r="N78" s="148">
        <f t="shared" si="17"/>
        <v>0.89999999999999991</v>
      </c>
      <c r="O78" s="148">
        <f t="shared" si="17"/>
        <v>0.95</v>
      </c>
      <c r="P78" s="149">
        <v>1</v>
      </c>
      <c r="Q78" s="148">
        <f>P78+$L$75</f>
        <v>1.05</v>
      </c>
      <c r="R78" s="148">
        <f t="shared" ref="R78:S78" si="18">Q78+$L$75</f>
        <v>1.1000000000000001</v>
      </c>
      <c r="S78" s="164">
        <f t="shared" si="18"/>
        <v>1.1500000000000001</v>
      </c>
    </row>
    <row r="79" spans="1:19" s="92" customFormat="1" ht="13.5" customHeight="1">
      <c r="A79" s="1181" t="s">
        <v>66</v>
      </c>
      <c r="B79" s="167">
        <f>B80-$B$76</f>
        <v>-0.03</v>
      </c>
      <c r="C79" s="174" t="e">
        <f>C$78*$B$16*$B79+$B$18-$B$22-($B$26+$B$28+$B$30+$B$32)*C$78*$B$16-$B$33+SUM($B$34:$B$42)+$B$47-$B$49-$B$52-$B$54</f>
        <v>#VALUE!</v>
      </c>
      <c r="D79" s="174" t="e">
        <f t="shared" ref="D79:D85" si="19">D$78*$B$16*$B79+$B$18-$B$22-($B$26+$B$28+$B$30+$B$32)*D$78*$B$16-$B$33+SUM($B$34:$B$42)+$B$47-$B$49-$B$52-$B$54</f>
        <v>#VALUE!</v>
      </c>
      <c r="E79" s="174" t="e">
        <f t="shared" ref="E79:E85" si="20">E$78*$B$16*$B79+$B$18-$B$22-($B$26+$B$28+$B$30+$B$32)*E$78*$B$16-$B$33+SUM($B$34:$B$42)+$B$47-$B$49-$B$52-$B$54</f>
        <v>#VALUE!</v>
      </c>
      <c r="F79" s="174" t="e">
        <f t="shared" ref="F79:F85" si="21">F$78*$B$16*$B79+$B$18-$B$22-($B$26+$B$28+$B$30+$B$32)*F$78*$B$16-$B$33+SUM($B$34:$B$42)+$B$47-$B$49-$B$52-$B$54</f>
        <v>#VALUE!</v>
      </c>
      <c r="G79" s="174" t="e">
        <f t="shared" ref="G79:G85" si="22">G$78*$B$16*$B79+$B$18-$B$22-($B$26+$B$28+$B$30+$B$32)*G$78*$B$16-$B$33+SUM($B$34:$B$42)+$B$47-$B$49-$B$52-$B$54</f>
        <v>#VALUE!</v>
      </c>
      <c r="H79" s="174" t="e">
        <f t="shared" ref="H79:H85" si="23">H$78*$B$16*$B79+$B$18-$B$22-($B$26+$B$28+$B$30+$B$32)*H$78*$B$16-$B$33+SUM($B$34:$B$42)+$B$47-$B$49-$B$52-$B$54</f>
        <v>#VALUE!</v>
      </c>
      <c r="I79" s="193" t="e">
        <f t="shared" ref="I79:I85" si="24">I$78*$B$16*$B79+$B$18-$B$22-($B$26+$B$28+$B$30+$B$32)*I$78*$B$16-$B$33+SUM($B$34:$B$42)+$B$47-$B$49-$B$52-$B$54</f>
        <v>#VALUE!</v>
      </c>
      <c r="K79" s="1181" t="s">
        <v>66</v>
      </c>
      <c r="L79" s="167">
        <f t="shared" ref="L79:L81" si="25">L80-$L$76</f>
        <v>-0.03</v>
      </c>
      <c r="M79" s="174" t="e">
        <f t="shared" ref="M79:M85" si="26">M$78*$E$16*$L79+$E$18-$E$22-($E$26+$E$28+$E$30+$E$32)*M$78*$E$16-$E$33+SUM($E$34:$E$42)+$E$47-$E$49-$E$52-$E$54</f>
        <v>#VALUE!</v>
      </c>
      <c r="N79" s="174" t="e">
        <f t="shared" ref="N79:N85" si="27">N$78*$E$16*$L79+$E$18-$E$22-($E$26+$E$28+$E$30+$E$32)*N$78*$E$16-$E$33+SUM($E$34:$E$42)+$E$47-$E$49-$E$52-$E$54</f>
        <v>#VALUE!</v>
      </c>
      <c r="O79" s="174" t="e">
        <f t="shared" ref="O79:O85" si="28">O$78*$E$16*$L79+$E$18-$E$22-($E$26+$E$28+$E$30+$E$32)*O$78*$E$16-$E$33+SUM($E$34:$E$42)+$E$47-$E$49-$E$52-$E$54</f>
        <v>#VALUE!</v>
      </c>
      <c r="P79" s="174" t="e">
        <f t="shared" ref="P79:P85" si="29">P$78*$E$16*$L79+$E$18-$E$22-($E$26+$E$28+$E$30+$E$32)*P$78*$E$16-$E$33+SUM($E$34:$E$42)+$E$47-$E$49-$E$52-$E$54</f>
        <v>#VALUE!</v>
      </c>
      <c r="Q79" s="174" t="e">
        <f t="shared" ref="Q79:Q85" si="30">Q$78*$E$16*$L79+$E$18-$E$22-($E$26+$E$28+$E$30+$E$32)*Q$78*$E$16-$E$33+SUM($E$34:$E$42)+$E$47-$E$49-$E$52-$E$54</f>
        <v>#VALUE!</v>
      </c>
      <c r="R79" s="174" t="e">
        <f t="shared" ref="R79:R85" si="31">R$78*$E$16*$L79+$E$18-$E$22-($E$26+$E$28+$E$30+$E$32)*R$78*$E$16-$E$33+SUM($E$34:$E$42)+$E$47-$E$49-$E$52-$E$54</f>
        <v>#VALUE!</v>
      </c>
      <c r="S79" s="193" t="e">
        <f t="shared" ref="S79:S85" si="32">S$78*$E$16*$L79+$E$18-$E$22-($E$26+$E$28+$E$30+$E$32)*S$78*$E$16-$E$33+SUM($E$34:$E$42)+$E$47-$E$49-$E$52-$E$54</f>
        <v>#VALUE!</v>
      </c>
    </row>
    <row r="80" spans="1:19" s="92" customFormat="1" ht="13.5" customHeight="1">
      <c r="A80" s="1181"/>
      <c r="B80" s="167">
        <f>B81-$B$76</f>
        <v>-0.02</v>
      </c>
      <c r="C80" s="174" t="e">
        <f t="shared" ref="C80:C85" si="33">C$78*$B$16*$B80+$B$18-$B$22-($B$26+$B$28+$B$30+$B$32)*C$78*$B$16-$B$33+SUM($B$34:$B$42)+$B$47-$B$49-$B$52-$B$54</f>
        <v>#VALUE!</v>
      </c>
      <c r="D80" s="174" t="e">
        <f t="shared" si="19"/>
        <v>#VALUE!</v>
      </c>
      <c r="E80" s="174" t="e">
        <f t="shared" si="20"/>
        <v>#VALUE!</v>
      </c>
      <c r="F80" s="174" t="e">
        <f t="shared" si="21"/>
        <v>#VALUE!</v>
      </c>
      <c r="G80" s="174" t="e">
        <f t="shared" si="22"/>
        <v>#VALUE!</v>
      </c>
      <c r="H80" s="174" t="e">
        <f t="shared" si="23"/>
        <v>#VALUE!</v>
      </c>
      <c r="I80" s="193" t="e">
        <f t="shared" si="24"/>
        <v>#VALUE!</v>
      </c>
      <c r="K80" s="1181"/>
      <c r="L80" s="167">
        <f t="shared" si="25"/>
        <v>-0.02</v>
      </c>
      <c r="M80" s="174" t="e">
        <f t="shared" si="26"/>
        <v>#VALUE!</v>
      </c>
      <c r="N80" s="174" t="e">
        <f t="shared" si="27"/>
        <v>#VALUE!</v>
      </c>
      <c r="O80" s="174" t="e">
        <f t="shared" si="28"/>
        <v>#VALUE!</v>
      </c>
      <c r="P80" s="174" t="e">
        <f t="shared" si="29"/>
        <v>#VALUE!</v>
      </c>
      <c r="Q80" s="174" t="e">
        <f t="shared" si="30"/>
        <v>#VALUE!</v>
      </c>
      <c r="R80" s="174" t="e">
        <f t="shared" si="31"/>
        <v>#VALUE!</v>
      </c>
      <c r="S80" s="193" t="e">
        <f t="shared" si="32"/>
        <v>#VALUE!</v>
      </c>
    </row>
    <row r="81" spans="1:19" s="92" customFormat="1" ht="13.5" customHeight="1">
      <c r="A81" s="1181"/>
      <c r="B81" s="167">
        <f>B82-$B$76</f>
        <v>-0.01</v>
      </c>
      <c r="C81" s="174" t="e">
        <f t="shared" si="33"/>
        <v>#VALUE!</v>
      </c>
      <c r="D81" s="174" t="e">
        <f t="shared" si="19"/>
        <v>#VALUE!</v>
      </c>
      <c r="E81" s="174" t="e">
        <f t="shared" si="20"/>
        <v>#VALUE!</v>
      </c>
      <c r="F81" s="174" t="e">
        <f t="shared" si="21"/>
        <v>#VALUE!</v>
      </c>
      <c r="G81" s="174" t="e">
        <f t="shared" si="22"/>
        <v>#VALUE!</v>
      </c>
      <c r="H81" s="174" t="e">
        <f t="shared" si="23"/>
        <v>#VALUE!</v>
      </c>
      <c r="I81" s="193" t="e">
        <f t="shared" si="24"/>
        <v>#VALUE!</v>
      </c>
      <c r="K81" s="1181"/>
      <c r="L81" s="167">
        <f t="shared" si="25"/>
        <v>-0.01</v>
      </c>
      <c r="M81" s="174" t="e">
        <f t="shared" si="26"/>
        <v>#VALUE!</v>
      </c>
      <c r="N81" s="174" t="e">
        <f t="shared" si="27"/>
        <v>#VALUE!</v>
      </c>
      <c r="O81" s="174" t="e">
        <f t="shared" si="28"/>
        <v>#VALUE!</v>
      </c>
      <c r="P81" s="174" t="e">
        <f t="shared" si="29"/>
        <v>#VALUE!</v>
      </c>
      <c r="Q81" s="174" t="e">
        <f t="shared" si="30"/>
        <v>#VALUE!</v>
      </c>
      <c r="R81" s="174" t="e">
        <f t="shared" si="31"/>
        <v>#VALUE!</v>
      </c>
      <c r="S81" s="193" t="e">
        <f t="shared" si="32"/>
        <v>#VALUE!</v>
      </c>
    </row>
    <row r="82" spans="1:19" s="92" customFormat="1" ht="13.5" customHeight="1">
      <c r="A82" s="1181"/>
      <c r="B82" s="168">
        <f>B24</f>
        <v>0</v>
      </c>
      <c r="C82" s="174" t="e">
        <f t="shared" si="33"/>
        <v>#VALUE!</v>
      </c>
      <c r="D82" s="174" t="e">
        <f t="shared" si="19"/>
        <v>#VALUE!</v>
      </c>
      <c r="E82" s="174" t="e">
        <f t="shared" si="20"/>
        <v>#VALUE!</v>
      </c>
      <c r="F82" s="174" t="e">
        <f t="shared" si="21"/>
        <v>#VALUE!</v>
      </c>
      <c r="G82" s="174" t="e">
        <f t="shared" si="22"/>
        <v>#VALUE!</v>
      </c>
      <c r="H82" s="174" t="e">
        <f t="shared" si="23"/>
        <v>#VALUE!</v>
      </c>
      <c r="I82" s="193" t="e">
        <f t="shared" si="24"/>
        <v>#VALUE!</v>
      </c>
      <c r="K82" s="1181"/>
      <c r="L82" s="168">
        <f>E24</f>
        <v>0</v>
      </c>
      <c r="M82" s="174" t="e">
        <f t="shared" si="26"/>
        <v>#VALUE!</v>
      </c>
      <c r="N82" s="174" t="e">
        <f t="shared" si="27"/>
        <v>#VALUE!</v>
      </c>
      <c r="O82" s="174" t="e">
        <f t="shared" si="28"/>
        <v>#VALUE!</v>
      </c>
      <c r="P82" s="174" t="e">
        <f t="shared" si="29"/>
        <v>#VALUE!</v>
      </c>
      <c r="Q82" s="174" t="e">
        <f t="shared" si="30"/>
        <v>#VALUE!</v>
      </c>
      <c r="R82" s="174" t="e">
        <f t="shared" si="31"/>
        <v>#VALUE!</v>
      </c>
      <c r="S82" s="193" t="e">
        <f t="shared" si="32"/>
        <v>#VALUE!</v>
      </c>
    </row>
    <row r="83" spans="1:19" s="92" customFormat="1" ht="13.5" customHeight="1">
      <c r="A83" s="1181"/>
      <c r="B83" s="167">
        <f>B82+$B$76</f>
        <v>0.01</v>
      </c>
      <c r="C83" s="174" t="e">
        <f t="shared" si="33"/>
        <v>#VALUE!</v>
      </c>
      <c r="D83" s="174" t="e">
        <f t="shared" si="19"/>
        <v>#VALUE!</v>
      </c>
      <c r="E83" s="174" t="e">
        <f t="shared" si="20"/>
        <v>#VALUE!</v>
      </c>
      <c r="F83" s="174" t="e">
        <f t="shared" si="21"/>
        <v>#VALUE!</v>
      </c>
      <c r="G83" s="174" t="e">
        <f t="shared" si="22"/>
        <v>#VALUE!</v>
      </c>
      <c r="H83" s="174" t="e">
        <f t="shared" si="23"/>
        <v>#VALUE!</v>
      </c>
      <c r="I83" s="193" t="e">
        <f t="shared" si="24"/>
        <v>#VALUE!</v>
      </c>
      <c r="K83" s="1181"/>
      <c r="L83" s="167">
        <f>L82+$L$76</f>
        <v>0.01</v>
      </c>
      <c r="M83" s="174" t="e">
        <f t="shared" si="26"/>
        <v>#VALUE!</v>
      </c>
      <c r="N83" s="174" t="e">
        <f t="shared" si="27"/>
        <v>#VALUE!</v>
      </c>
      <c r="O83" s="174" t="e">
        <f t="shared" si="28"/>
        <v>#VALUE!</v>
      </c>
      <c r="P83" s="174" t="e">
        <f t="shared" si="29"/>
        <v>#VALUE!</v>
      </c>
      <c r="Q83" s="174" t="e">
        <f t="shared" si="30"/>
        <v>#VALUE!</v>
      </c>
      <c r="R83" s="174" t="e">
        <f t="shared" si="31"/>
        <v>#VALUE!</v>
      </c>
      <c r="S83" s="193" t="e">
        <f t="shared" si="32"/>
        <v>#VALUE!</v>
      </c>
    </row>
    <row r="84" spans="1:19" s="92" customFormat="1" ht="13.5" customHeight="1">
      <c r="A84" s="1181"/>
      <c r="B84" s="167">
        <f>B83+$B$76</f>
        <v>0.02</v>
      </c>
      <c r="C84" s="174" t="e">
        <f t="shared" si="33"/>
        <v>#VALUE!</v>
      </c>
      <c r="D84" s="174" t="e">
        <f t="shared" si="19"/>
        <v>#VALUE!</v>
      </c>
      <c r="E84" s="174" t="e">
        <f t="shared" si="20"/>
        <v>#VALUE!</v>
      </c>
      <c r="F84" s="174" t="e">
        <f t="shared" si="21"/>
        <v>#VALUE!</v>
      </c>
      <c r="G84" s="174" t="e">
        <f t="shared" si="22"/>
        <v>#VALUE!</v>
      </c>
      <c r="H84" s="174" t="e">
        <f t="shared" si="23"/>
        <v>#VALUE!</v>
      </c>
      <c r="I84" s="193" t="e">
        <f t="shared" si="24"/>
        <v>#VALUE!</v>
      </c>
      <c r="K84" s="1181"/>
      <c r="L84" s="167">
        <f>L83+$L$76</f>
        <v>0.02</v>
      </c>
      <c r="M84" s="174" t="e">
        <f t="shared" si="26"/>
        <v>#VALUE!</v>
      </c>
      <c r="N84" s="174" t="e">
        <f t="shared" si="27"/>
        <v>#VALUE!</v>
      </c>
      <c r="O84" s="174" t="e">
        <f t="shared" si="28"/>
        <v>#VALUE!</v>
      </c>
      <c r="P84" s="174" t="e">
        <f t="shared" si="29"/>
        <v>#VALUE!</v>
      </c>
      <c r="Q84" s="174" t="e">
        <f t="shared" si="30"/>
        <v>#VALUE!</v>
      </c>
      <c r="R84" s="174" t="e">
        <f t="shared" si="31"/>
        <v>#VALUE!</v>
      </c>
      <c r="S84" s="193" t="e">
        <f t="shared" si="32"/>
        <v>#VALUE!</v>
      </c>
    </row>
    <row r="85" spans="1:19" s="92" customFormat="1" ht="14.25" customHeight="1">
      <c r="A85" s="1182"/>
      <c r="B85" s="169">
        <f>B84+$B$76</f>
        <v>0.03</v>
      </c>
      <c r="C85" s="175" t="e">
        <f t="shared" si="33"/>
        <v>#VALUE!</v>
      </c>
      <c r="D85" s="176" t="e">
        <f t="shared" si="19"/>
        <v>#VALUE!</v>
      </c>
      <c r="E85" s="176" t="e">
        <f t="shared" si="20"/>
        <v>#VALUE!</v>
      </c>
      <c r="F85" s="176" t="e">
        <f t="shared" si="21"/>
        <v>#VALUE!</v>
      </c>
      <c r="G85" s="176" t="e">
        <f t="shared" si="22"/>
        <v>#VALUE!</v>
      </c>
      <c r="H85" s="176" t="e">
        <f t="shared" si="23"/>
        <v>#VALUE!</v>
      </c>
      <c r="I85" s="194" t="e">
        <f t="shared" si="24"/>
        <v>#VALUE!</v>
      </c>
      <c r="K85" s="1182"/>
      <c r="L85" s="169">
        <f>L84+$L$76</f>
        <v>0.03</v>
      </c>
      <c r="M85" s="175" t="e">
        <f t="shared" si="26"/>
        <v>#VALUE!</v>
      </c>
      <c r="N85" s="176" t="e">
        <f t="shared" si="27"/>
        <v>#VALUE!</v>
      </c>
      <c r="O85" s="176" t="e">
        <f t="shared" si="28"/>
        <v>#VALUE!</v>
      </c>
      <c r="P85" s="176" t="e">
        <f t="shared" si="29"/>
        <v>#VALUE!</v>
      </c>
      <c r="Q85" s="176" t="e">
        <f t="shared" si="30"/>
        <v>#VALUE!</v>
      </c>
      <c r="R85" s="176" t="e">
        <f t="shared" si="31"/>
        <v>#VALUE!</v>
      </c>
      <c r="S85" s="194" t="e">
        <f t="shared" si="32"/>
        <v>#VALUE!</v>
      </c>
    </row>
    <row r="86" spans="1:19" s="92" customFormat="1">
      <c r="A86" s="130"/>
      <c r="B86" s="118"/>
      <c r="C86" s="118"/>
      <c r="D86" s="120"/>
      <c r="E86" s="118"/>
      <c r="F86" s="118"/>
      <c r="G86" s="120"/>
      <c r="H86" s="118"/>
      <c r="I86" s="118"/>
      <c r="J86" s="120"/>
      <c r="L86" s="30"/>
      <c r="M86" s="30"/>
      <c r="O86" s="150"/>
      <c r="P86" s="30"/>
    </row>
    <row r="87" spans="1:19" s="92" customFormat="1" ht="24.75" customHeight="1">
      <c r="A87" s="143" t="s">
        <v>706</v>
      </c>
      <c r="B87" s="172" t="s">
        <v>1265</v>
      </c>
      <c r="C87" s="173"/>
      <c r="D87" s="173"/>
      <c r="E87" s="173"/>
      <c r="F87" s="30"/>
      <c r="G87" s="30"/>
      <c r="K87" s="143" t="s">
        <v>706</v>
      </c>
      <c r="L87" s="172"/>
      <c r="M87" s="173"/>
      <c r="N87" s="173"/>
      <c r="O87" s="173"/>
      <c r="P87" s="30"/>
      <c r="Q87" s="30"/>
    </row>
    <row r="88" spans="1:19" s="92" customFormat="1">
      <c r="A88" s="112" t="s">
        <v>699</v>
      </c>
      <c r="B88" s="106">
        <v>0.01</v>
      </c>
      <c r="D88" s="150"/>
      <c r="E88" s="30"/>
      <c r="F88" s="30"/>
      <c r="G88" s="30"/>
      <c r="K88" s="112" t="s">
        <v>699</v>
      </c>
      <c r="L88" s="106">
        <v>0.01</v>
      </c>
      <c r="N88" s="150"/>
      <c r="O88" s="30"/>
      <c r="P88" s="30"/>
      <c r="Q88" s="30"/>
    </row>
    <row r="89" spans="1:19" s="92" customFormat="1" ht="15.75">
      <c r="A89" s="144" t="s">
        <v>704</v>
      </c>
      <c r="B89" s="145"/>
      <c r="C89" s="1177" t="s">
        <v>539</v>
      </c>
      <c r="D89" s="1177"/>
      <c r="E89" s="1177"/>
      <c r="F89" s="1177"/>
      <c r="G89" s="1177"/>
      <c r="H89" s="1177"/>
      <c r="I89" s="1178"/>
      <c r="K89" s="144" t="s">
        <v>704</v>
      </c>
      <c r="L89" s="145"/>
      <c r="M89" s="1177" t="s">
        <v>539</v>
      </c>
      <c r="N89" s="1177"/>
      <c r="O89" s="1177"/>
      <c r="P89" s="1177"/>
      <c r="Q89" s="1177"/>
      <c r="R89" s="1177"/>
      <c r="S89" s="1178"/>
    </row>
    <row r="90" spans="1:19" s="92" customFormat="1" ht="15.75">
      <c r="A90" s="146"/>
      <c r="B90" s="147"/>
      <c r="C90" s="148" t="e">
        <f>D90-$B$88</f>
        <v>#VALUE!</v>
      </c>
      <c r="D90" s="148" t="e">
        <f>E90-$B$88</f>
        <v>#VALUE!</v>
      </c>
      <c r="E90" s="148" t="e">
        <f>F90-$B$88</f>
        <v>#VALUE!</v>
      </c>
      <c r="F90" s="149" t="str">
        <f>C3</f>
        <v>—</v>
      </c>
      <c r="G90" s="148" t="e">
        <f>F90+$B$88</f>
        <v>#VALUE!</v>
      </c>
      <c r="H90" s="148" t="e">
        <f>G90+$B$88</f>
        <v>#VALUE!</v>
      </c>
      <c r="I90" s="164" t="e">
        <f>H90+$B$88</f>
        <v>#VALUE!</v>
      </c>
      <c r="K90" s="146"/>
      <c r="L90" s="147"/>
      <c r="M90" s="195" t="e">
        <f>N90-$L$88</f>
        <v>#VALUE!</v>
      </c>
      <c r="N90" s="195" t="e">
        <f>O90-$L$88</f>
        <v>#VALUE!</v>
      </c>
      <c r="O90" s="195" t="e">
        <f>P90-$L$88</f>
        <v>#VALUE!</v>
      </c>
      <c r="P90" s="149" t="str">
        <f>E3</f>
        <v>—</v>
      </c>
      <c r="Q90" s="195" t="e">
        <f>P90+$L$88</f>
        <v>#VALUE!</v>
      </c>
      <c r="R90" s="195" t="e">
        <f>Q90+$L$88</f>
        <v>#VALUE!</v>
      </c>
      <c r="S90" s="204" t="e">
        <f>R90+$L$88</f>
        <v>#VALUE!</v>
      </c>
    </row>
    <row r="91" spans="1:19" s="92" customFormat="1" ht="13.5" customHeight="1">
      <c r="A91" s="1184" t="s">
        <v>686</v>
      </c>
      <c r="B91" s="167" t="e">
        <f>B92-$B$88</f>
        <v>#VALUE!</v>
      </c>
      <c r="C91" s="174" t="e">
        <f>利润表!AG8*(1+C90)+C18-利润表!AG15*(1+B91)-利润表!AG8*(1+C90)*(B26+B28+B30+B32)-C22-C33+SUM(C34:C42)+C47-B50*(利润表!AG8*(1+C90)+C18-利润表!AG15*(1+B91)-利润表!AG8*(1+C90)*(B26+B28+B30+B32)-C22-C33+SUM(C34:C42)+C47)-B53*(利润表!AG8*(1+C90)+C18-利润表!AG15*(1+B91)-利润表!AG8*(1+C90)*(B26+B28+B30+B32)-C22-C33+SUM(C34:C42)+C47-B50*(利润表!AG8*(1+C90)+C18-利润表!AG15*(1+B91)-利润表!AG8*(1+C90)*(B26+B28+B30+B32)-C22-C33+SUM(C34:C42)+C47))</f>
        <v>#VALUE!</v>
      </c>
      <c r="D91" s="174" t="e">
        <f>利润表!AG8*(1+D90)+C18-利润表!AG15*(1+B91)-利润表!AG8*(1+D90)*(B26+B28+B30+B32)-C22-C33+SUM(C34:C42)+C47-B50*(利润表!AG8*(1+D90)+C18-利润表!AG15*(1+B91)-利润表!AG8*(1+D90)*(B26+B28+B30+B32)-C22-C33+SUM(C34:C42)+C47)-B53*(利润表!AG8*(1+D90)+C18-利润表!AG15*(1+B91)-利润表!AG8*(1+D90)*(B26+B28+B30+B32)-C22-C33+SUM(C34:C42)+C47-B50*(利润表!AG8*(1+D90)+C18-利润表!AG15*(1+B91)-利润表!AG8*(1+D90)*(B26+B28+B30+B32)-C22-C33+SUM(C34:C42)+C47))</f>
        <v>#VALUE!</v>
      </c>
      <c r="E91" s="174" t="e">
        <f>利润表!AG8*(1+E90)+C18-利润表!AG15*(1+B91)-利润表!AG8*(1+E90)*(B26+B28+B30+B32)-C22-C33+SUM(C34:C42)+C47-B50*(利润表!AG8*(1+E90)+C18-利润表!AG15*(1+B91)-利润表!AG8*(1+E90)*(B26+B28+B30+B32)-C22-C33+SUM(C34:C42)+C47)-B53*(利润表!AG8*(1+E90)+C18-利润表!AG15*(1+B91)-利润表!AG8*(1+E90)*(B26+B28+B30+B32)-C22-C33+SUM(C34:C42)+C47-B50*(利润表!AG8*(1+E90)+C18-利润表!AG15*(1+B91)-利润表!AG8*(1+E90)*(B26+B28+B30+B32)-C22-C33+SUM(C34:C42)+C47))</f>
        <v>#VALUE!</v>
      </c>
      <c r="F91" s="174" t="e">
        <f>利润表!AG8*(1+F90)+C18-利润表!AG15*(1+B91)-利润表!AG8*(1+F90)*(B26+B28+B30+B32)-C22-C33+SUM(C34:C42)+C47-B50*(利润表!AG8*(1+F90)+C18-利润表!AG15*(1+B91)-利润表!AG8*(1+F90)*(B26+B28+B30+B32)-C22-C33+SUM(C34:C42)+C47)-B53*(利润表!AG8*(1+F90)+C18-利润表!AG15*(1+B91)-利润表!AG8*(1+F90)*(B26+B28+B30+B32)-C22-C33+SUM(C34:C42)+C47-B50*(利润表!AG8*(1+F90)+C18-利润表!AG15*(1+B91)-利润表!AG8*(1+F90)*(B26+B28+B30+B32)-C22-C33+SUM(C34:C42)+C47))</f>
        <v>#VALUE!</v>
      </c>
      <c r="G91" s="174" t="e">
        <f>利润表!AG8*(1+G90)+C18-利润表!AG15*(1+B91)-利润表!AG8*(1+G90)*(B26+B28+B30+B32)-C22-C33+SUM(C34:C42)+C47-B50*(利润表!AG8*(1+G90)+C18-利润表!AG15*(1+B91)-利润表!AG8*(1+G90)*(B26+B28+B30+B32)-C22-C33+SUM(C34:C42)+C47)-B53*(利润表!AG8*(1+G90)+C18-利润表!AG15*(1+B91)-利润表!AG8*(1+G90)*(B26+B28+B30+B32)-C22-C33+SUM(C34:C42)+C47-B50*(利润表!AG8*(1+G90)+C18-利润表!AG15*(1+B91)-利润表!AG8*(1+G90)*(B26+B28+B30+B32)-C22-C33+SUM(C34:C42)+C47))</f>
        <v>#VALUE!</v>
      </c>
      <c r="H91" s="174" t="e">
        <f>利润表!AG8*(1+H90)+C18-利润表!AG15*(1+B91)-利润表!AG8*(1+H90)*(B26+B28+B30+B32)-C22-C33+SUM(C34:C42)+C47-B50*(利润表!AG8*(1+H90)+C18-利润表!AG15*(1+B91)-利润表!AG8*(1+H90)*(B26+B28+B30+B32)-C22-C33+SUM(C34:C42)+C47)-B53*(利润表!AG8*(1+H90)+C18-利润表!AG15*(1+B91)-利润表!AG8*(1+H90)*(B26+B28+B30+B32)-C22-C33+SUM(C34:C42)+C47-B50*(利润表!AG8*(1+H90)+C18-利润表!AG15*(1+B91)-利润表!AG8*(1+H90)*(B26+B28+B30+B32)-C22-C33+SUM(C34:C42)+C47))</f>
        <v>#VALUE!</v>
      </c>
      <c r="I91" s="193" t="e">
        <f>利润表!AG8*(1+I90)+C18-利润表!AG15*(1+B91)-利润表!AG8*(1+I90)*(B26+B28+B30+B32)-C22-C33+SUM(C34:C42)+C47-B50*(利润表!AG8*(1+I90)+C18-利润表!AG15*(1+B91)-利润表!AG8*(1+I90)*(B26+B28+B30+B32)-C22-C33+SUM(C34:C42)+C47)-B53*(利润表!AG8*(1+I90)+C18-利润表!AG15*(1+B91)-利润表!AG8*(1+I90)*(B26+B28+B30+B32)-C22-C33+SUM(C34:C42)+C47-B50*(利润表!AG8*(1+I90)+C18-利润表!AG15*(1+B91)-利润表!AG8*(1+I90)*(B26+B28+B30+B32)-C22-C33+SUM(C34:C42)+C47))</f>
        <v>#VALUE!</v>
      </c>
      <c r="K91" s="1184" t="s">
        <v>686</v>
      </c>
      <c r="L91" s="196" t="e">
        <f>L92-$L$88</f>
        <v>#VALUE!</v>
      </c>
      <c r="M91" s="174" t="e">
        <f>C16*(1+M90)+F18-C20*(1+L91)-C16*(1+M90)*(E26+E28+E30+E32)-F22-F33+SUM(F34:F42)+F47-E50*(C16*(1+M90)+F18-C20*(1+L91)-C16*(1+M90)*(E26+E28+E30+E32)-F22-F33+SUM(F34:F42)+F47)-E53*(C16*(1+M90)+F18-C20*(1+L91)-C16*(1+M90)*(E26+E28+E30+E32)-F22-F33+SUM(F34:F42)+F47-E50*(C16*(1+M90)+F18-C20*(1+L91)-C16*(1+M90)*(E26+E28+E30+E32)-F22-F33+SUM(F34:F42)+F47))</f>
        <v>#VALUE!</v>
      </c>
      <c r="N91" s="174" t="e">
        <f>C16*(1+N90)+F18-C20*(1+L91)-C16*(1+N90)*(E26+E28+E30+E32)-F22-F33+SUM(F34:F42)+F47-E50*(C16*(1+N90)+F18-C20*(1+L91)-C16*(1+N90)*(E26+E28+E30+E32)-F22-F33+SUM(F34:F42)+F47)-E53*(C16*(1+N90)+F18-C20*(1+L91)-C16*(1+N90)*(E26+E28+E30+E32)-F22-F33+SUM(F34:F42)+F47-E50*(C16*(1+N90)+F18-C20*(1+L91)-C16*(1+N90)*(E26+E28+E30+E32)-F22-F33+SUM(F34:F42)+F47))</f>
        <v>#VALUE!</v>
      </c>
      <c r="O91" s="174" t="e">
        <f>C16*(1+O90)+F18-C20*(1+L91)-C16*(1+O90)*(E26+E28+E30+E32)-F22-F33+SUM(F34:F42)+F47-E50*(C16*(1+O90)+F18-C20*(1+L91)-C16*(1+O90)*(E26+E28+E30+E32)-F22-F33+SUM(F34:F42)+F47)-E53*(C16*(1+O90)+F18-C20*(1+L91)-C16*(1+O90)*(E26+E28+E30+E32)-F22-F33+SUM(F34:F42)+F47-E50*(C16*(1+O90)+F18-C20*(1+L91)-C16*(1+O90)*(E26+E28+E30+E32)-F22-F33+SUM(F34:F42)+F47))</f>
        <v>#VALUE!</v>
      </c>
      <c r="P91" s="174" t="e">
        <f>C16*(1+P90)+F18-C20*(1+L91)-C16*(1+P90)*(E26+E28+E30+E32)-F22-F33+SUM(F34:F42)+F47-E50*(C16*(1+P90)+F18-C20*(1+L91)-C16*(1+P90)*(E26+E28+E30+E32)-F22-F33+SUM(F34:F42)+F47)-E53*(C16*(1+P90)+F18-C20*(1+L91)-C16*(1+P90)*(E26+E28+E30+E32)-F22-F33+SUM(F34:F42)+F47-E50*(C16*(1+P90)+F18-C20*(1+L91)-C16*(1+P90)*(E26+E28+E30+E32)-F22-F33+SUM(F34:F42)+F47))</f>
        <v>#VALUE!</v>
      </c>
      <c r="Q91" s="174" t="e">
        <f>C16*(1+Q90)+F18-C20*(1+L91)-C16*(1+Q90)*(E26+E28+E30+E32)-F22-F33+SUM(F34:F42)+F47-E50*(C16*(1+Q90)+F18-C20*(1+L91)-C16*(1+Q90)*(E26+E28+E30+E32)-F22-F33+SUM(F34:F42)+F47)-E53*(C16*(1+Q90)+F18-C20*(1+L91)-C16*(1+Q90)*(E26+E28+E30+E32)-F22-F33+SUM(F34:F42)+F47-E50*(C16*(1+Q90)+F18-C20*(1+L91)-C16*(1+Q90)*(E26+E28+E30+E32)-F22-F33+SUM(F34:F42)+F47))</f>
        <v>#VALUE!</v>
      </c>
      <c r="R91" s="174" t="e">
        <f>C16*(1+R90)+F18-C20*(1+L91)-C16*(1+R90)*(E26+E28+E30+E32)-F22-F33+SUM(F34:F42)+F47-E50*(C16*(1+R90)+F18-C20*(1+L91)-C16*(1+R90)*(E26+E28+E30+E32)-F22-F33+SUM(F34:F42)+F47)-E53*(C16*(1+R90)+F18-C20*(1+L91)-C16*(1+R90)*(E26+E28+E30+E32)-F22-F33+SUM(F34:F42)+F47-E50*(C16*(1+R90)+F18-C20*(1+L91)-C16*(1+R90)*(E26+E28+E30+E32)-F22-F33+SUM(F34:F42)+F47))</f>
        <v>#VALUE!</v>
      </c>
      <c r="S91" s="193" t="e">
        <f>C16*(1+S90)+F18-C20*(1+L91)-C16*(1+S90)*(E26+E28+E30+E32)-F22-F33+SUM(F34:F42)+F47-E50*(C16*(1+S90)+F18-C20*(1+L91)-C16*(1+S90)*(E26+E28+E30+E32)-F22-F33+SUM(F34:F42)+F47)-E53*(C16*(1+S90)+F18-C20*(1+L91)-C16*(1+S90)*(E26+E28+E30+E32)-F22-F33+SUM(F34:F42)+F47-E50*(C16*(1+S90)+F18-C20*(1+L91)-C16*(1+S90)*(E26+E28+E30+E32)-F22-F33+SUM(F34:F42)+F47))</f>
        <v>#VALUE!</v>
      </c>
    </row>
    <row r="92" spans="1:19" s="92" customFormat="1" ht="13.5" customHeight="1">
      <c r="A92" s="1184"/>
      <c r="B92" s="167" t="e">
        <f>B93-$B$88</f>
        <v>#VALUE!</v>
      </c>
      <c r="C92" s="174" t="e">
        <f>利润表!AG8*(1+C90)+C18-利润表!AG15*(1+B92)-利润表!AG8*(1+C90)*(B26+B28+B30+B32)-C22-C33+SUM(C34:C42)+C47-B50*(利润表!AG8*(1+C90)+C18-利润表!AG15*(1+B92)-利润表!AG8*(1+C90)*(B26+B28+B30+B32)-C22-C33+SUM(C34:C42)+C47)-B53*(利润表!AG8*(1+C90)+C18-利润表!AG15*(1+B92)-利润表!AG8*(1+C90)*(B26+B28+B30+B32)-C22-C33+SUM(C34:C42)+C47-B50*(利润表!AG8*(1+C90)+C18-利润表!AG15*(1+B92)-利润表!AG8*(1+C90)*(B26+B28+B30+B32)-C22-C33+SUM(C34:C42)+C47))</f>
        <v>#VALUE!</v>
      </c>
      <c r="D92" s="174" t="e">
        <f>利润表!AG8*(1+D90)+C18-利润表!AG15*(1+B92)-利润表!AG8*(1+D90)*(B26+B28+B30+B32)-C22-C33+SUM(C34:C42)+C47-B50*(利润表!AG8*(1+D90)+C18-利润表!AG15*(1+B92)-利润表!AG8*(1+D90)*(B26+B28+B30+B32)-C22-C33+SUM(C34:C42)+C47)-B53*(利润表!AG8*(1+D90)+C18-利润表!AG15*(1+B92)-利润表!AG8*(1+D90)*(B26+B28+B30+B32)-C22-C33+SUM(C34:C42)+C47-B50*(利润表!AG8*(1+D90)+C18-利润表!AG15*(1+B92)-利润表!AG8*(1+D90)*(B26+B28+B30+B32)-C22-C33+SUM(C34:C42)+C47))</f>
        <v>#VALUE!</v>
      </c>
      <c r="E92" s="174" t="e">
        <f>利润表!AG8*(1+E90)+C18-利润表!AG15*(1+B92)-利润表!AG8*(1+E90)*(B26+B28+B30+B32)-C22-C33+SUM(C34:C42)+C47-B50*(利润表!AG8*(1+E90)+C18-利润表!AG15*(1+B92)-利润表!AG8*(1+E90)*(B26+B28+B30+B32)-C22-C33+SUM(C34:C42)+C47)-B53*(利润表!AG8*(1+E90)+C18-利润表!AG15*(1+B92)-利润表!AG8*(1+E90)*(B26+B28+B30+B32)-C22-C33+SUM(C34:C42)+C47-B50*(利润表!AG8*(1+E90)+C18-利润表!AG15*(1+B92)-利润表!AG8*(1+E90)*(B26+B28+B30+B32)-C22-C33+SUM(C34:C42)+C47))</f>
        <v>#VALUE!</v>
      </c>
      <c r="F92" s="174" t="e">
        <f>利润表!AG8*(1+F90)+C18-利润表!AG15*(1+B92)-利润表!AG8*(1+F90)*(B26+B28+B30+B32)-C22-C33+SUM(C34:C42)+C47-B50*(利润表!AG8*(1+F90)+C18-利润表!AG15*(1+B92)-利润表!AG8*(1+F90)*(B26+B28+B30+B32)-C22-C33+SUM(C34:C42)+C47)-B53*(利润表!AG8*(1+F90)+C18-利润表!AG15*(1+B92)-利润表!AG8*(1+F90)*(B26+B28+B30+B32)-C22-C33+SUM(C34:C42)+C47-B50*(利润表!AG8*(1+F90)+C18-利润表!AG15*(1+B92)-利润表!AG8*(1+F90)*(B26+B28+B30+B32)-C22-C33+SUM(C34:C42)+C47))</f>
        <v>#VALUE!</v>
      </c>
      <c r="G92" s="174" t="e">
        <f>利润表!AG8*(1+G90)+C18-利润表!AG15*(1+B92)-利润表!AG8*(1+G90)*(B26+B28+B30+B32)-C22-C33+SUM(C34:C42)+C47-B50*(利润表!AG8*(1+G90)+C18-利润表!AG15*(1+B92)-利润表!AG8*(1+G90)*(B26+B28+B30+B32)-C22-C33+SUM(C34:C42)+C47)-B53*(利润表!AG8*(1+G90)+C18-利润表!AG15*(1+B92)-利润表!AG8*(1+G90)*(B26+B28+B30+B32)-C22-C33+SUM(C34:C42)+C47-B50*(利润表!AG8*(1+G90)+C18-利润表!AG15*(1+B92)-利润表!AG8*(1+G90)*(B26+B28+B30+B32)-C22-C33+SUM(C34:C42)+C47))</f>
        <v>#VALUE!</v>
      </c>
      <c r="H92" s="174" t="e">
        <f>利润表!AG8*(1+H90)+C18-利润表!AG15*(1+B92)-利润表!AG8*(1+H90)*(B26+B28+B30+B32)-C22-C33+SUM(C34:C42)+C47-B50*(利润表!AG8*(1+H90)+C18-利润表!AG15*(1+B92)-利润表!AG8*(1+H90)*(B26+B28+B30+B32)-C22-C33+SUM(C34:C42)+C47)-B53*(利润表!AG8*(1+H90)+C18-利润表!AG15*(1+B92)-利润表!AG8*(1+H90)*(B26+B28+B30+B32)-C22-C33+SUM(C34:C42)+C47-B50*(利润表!AG8*(1+H90)+C18-利润表!AG15*(1+B92)-利润表!AG8*(1+H90)*(B26+B28+B30+B32)-C22-C33+SUM(C34:C42)+C47))</f>
        <v>#VALUE!</v>
      </c>
      <c r="I92" s="193" t="e">
        <f>利润表!AG8*(1+I90)+C18-利润表!AG15*(1+B92)-利润表!AG8*(1+I90)*(B26+B28+B30+B32)-C22-C33+SUM(C34:C42)+C47-B50*(利润表!AG8*(1+I90)+C18-利润表!AG15*(1+B92)-利润表!AG8*(1+I90)*(B26+B28+B30+B32)-C22-C33+SUM(C34:C42)+C47)-B53*(利润表!AG8*(1+I90)+C18-利润表!AG15*(1+B92)-利润表!AG8*(1+I90)*(B26+B28+B30+B32)-C22-C33+SUM(C34:C42)+C47-B50*(利润表!AG8*(1+I90)+C18-利润表!AG15*(1+B92)-利润表!AG8*(1+I90)*(B26+B28+B30+B32)-C22-C33+SUM(C34:C42)+C47))</f>
        <v>#VALUE!</v>
      </c>
      <c r="K92" s="1184"/>
      <c r="L92" s="196" t="e">
        <f>L93-$L$88</f>
        <v>#VALUE!</v>
      </c>
      <c r="M92" s="174" t="e">
        <f>C16*(1+M90)+F18-C20*(1+L92)-C16*(1+M90)*(E26+E28+E30+E32)-F22-F33+SUM(F34:F42)+F47-E50*(C16*(1+M90)+F18-C20*(1+L92)-C16*(1+M90)*(E26+E28+E30+E32)-F22-F33+SUM(F34:F42)+F47)-E53*(C16*(1+M90)+F18-C20*(1+L92)-C16*(1+M90)*(E26+E28+E30+E32)-F22-F33+SUM(F34:F42)+F47-E50*(C16*(1+M90)+F18-C20*(1+L92)-C16*(1+M90)*(E26+E28+E30+E32)-F22-F33+SUM(F34:F42)+F47))</f>
        <v>#VALUE!</v>
      </c>
      <c r="N92" s="174" t="e">
        <f>C16*(1+N90)+F18-C20*(1+L92)-C16*(1+N90)*(E26+E28+E30+E32)-F22-F33+SUM(F34:F42)+F47-E50*(C16*(1+N90)+F18-C20*(1+L92)-C16*(1+N90)*(E26+E28+E30+E32)-F22-F33+SUM(F34:F42)+F47)-E53*(C16*(1+N90)+F18-C20*(1+L92)-C16*(1+N90)*(E26+E28+E30+E32)-F22-F33+SUM(F34:F42)+F47-E50*(C16*(1+N90)+F18-C20*(1+L92)-C16*(1+N90)*(E26+E28+E30+E32)-F22-F33+SUM(F34:F42)+F47))</f>
        <v>#VALUE!</v>
      </c>
      <c r="O92" s="174" t="e">
        <f>C16*(1+O90)+F18-C20*(1+L92)-C16*(1+O90)*(E26+E28+E30+E32)-F22-F33+SUM(F34:F42)+F47-E50*(C16*(1+O90)+F18-C20*(1+L92)-C16*(1+O90)*(E26+E28+E30+E32)-F22-F33+SUM(F34:F42)+F47)-E53*(C16*(1+O90)+F18-C20*(1+L92)-C16*(1+O90)*(E26+E28+E30+E32)-F22-F33+SUM(F34:F42)+F47-E50*(C16*(1+O90)+F18-C20*(1+L92)-C16*(1+O90)*(E26+E28+E30+E32)-F22-F33+SUM(F34:F42)+F47))</f>
        <v>#VALUE!</v>
      </c>
      <c r="P92" s="174" t="e">
        <f>C16*(1+P90)+F18-C20*(1+L92)-C16*(1+P90)*(E26+E28+E30+E32)-F22-F33+SUM(F34:F42)+F47-E50*(C16*(1+P90)+F18-C20*(1+L92)-C16*(1+P90)*(E26+E28+E30+E32)-F22-F33+SUM(F34:F42)+F47)-E53*(C16*(1+P90)+F18-C20*(1+L92)-C16*(1+P90)*(E26+E28+E30+E32)-F22-F33+SUM(F34:F42)+F47-E50*(C16*(1+P90)+F18-C20*(1+L92)-C16*(1+P90)*(E26+E28+E30+E32)-F22-F33+SUM(F34:F42)+F47))</f>
        <v>#VALUE!</v>
      </c>
      <c r="Q92" s="174" t="e">
        <f>C16*(1+Q90)+F18-C20*(1+L92)-C16*(1+Q90)*(E26+E28+E30+E32)-F22-F33+SUM(F34:F42)+F47-E50*(C16*(1+Q90)+F18-C20*(1+L92)-C16*(1+Q90)*(E26+E28+E30+E32)-F22-F33+SUM(F34:F42)+F47)-E53*(C16*(1+Q90)+F18-C20*(1+L92)-C16*(1+Q90)*(E26+E28+E30+E32)-F22-F33+SUM(F34:F42)+F47-E50*(C16*(1+Q90)+F18-C20*(1+L92)-C16*(1+Q90)*(E26+E28+E30+E32)-F22-F33+SUM(F34:F42)+F47))</f>
        <v>#VALUE!</v>
      </c>
      <c r="R92" s="174" t="e">
        <f>C16*(1+R90)+F18-C20*(1+L92)-C16*(1+R90)*(E26+E28+E30+E32)-F22-F33+SUM(F34:F42)+F47-E50*(C16*(1+R90)+F18-C20*(1+L92)-C16*(1+R90)*(E26+E28+E30+E32)-F22-F33+SUM(F34:F42)+F47)-E53*(C16*(1+R90)+F18-C20*(1+L92)-C16*(1+R90)*(E26+E28+E30+E32)-F22-F33+SUM(F34:F42)+F47-E50*(C16*(1+R90)+F18-C20*(1+L92)-C16*(1+R90)*(E26+E28+E30+E32)-F22-F33+SUM(F34:F42)+F47))</f>
        <v>#VALUE!</v>
      </c>
      <c r="S92" s="193" t="e">
        <f>C16*(1+S90)+F18-C20*(1+L92)-C16*(1+S90)*(E26+E28+E30+E32)-F22-F33+SUM(F34:F42)+F47-E50*(C16*(1+S90)+F18-C20*(1+L92)-C16*(1+S90)*(E26+E28+E30+E32)-F22-F33+SUM(F34:F42)+F47)-E53*(C16*(1+S90)+F18-C20*(1+L92)-C16*(1+S90)*(E26+E28+E30+E32)-F22-F33+SUM(F34:F42)+F47-E50*(C16*(1+S90)+F18-C20*(1+L92)-C16*(1+S90)*(E26+E28+E30+E32)-F22-F33+SUM(F34:F42)+F47))</f>
        <v>#VALUE!</v>
      </c>
    </row>
    <row r="93" spans="1:19" s="92" customFormat="1" ht="13.5" customHeight="1">
      <c r="A93" s="1184"/>
      <c r="B93" s="167" t="e">
        <f>B94-$B$88</f>
        <v>#VALUE!</v>
      </c>
      <c r="C93" s="174" t="e">
        <f>利润表!AG8*(1+C90)+C18-利润表!AG15*(1+B93)-利润表!AG8*(1+C90)*(B26+B28+B30+B32)-C22-C33+SUM(C34:C42)+C47-B50*(利润表!AG8*(1+C90)+C18-利润表!AG15*(1+B93)-利润表!AG8*(1+C90)*(B26+B28+B30+B32)-C22-C33+SUM(C34:C42)+C47)-B53*(利润表!AG8*(1+C90)+C18-利润表!AG15*(1+B93)-利润表!AG8*(1+C90)*(B26+B28+B30+B32)-C22-C33+SUM(C34:C42)+C47-B50*(利润表!AG8*(1+C90)+C18-利润表!AG15*(1+B93)-利润表!AG8*(1+C90)*(B26+B28+B30+B32)-C22-C33+SUM(C34:C42)+C47))</f>
        <v>#VALUE!</v>
      </c>
      <c r="D93" s="174" t="e">
        <f>利润表!AG8*(1+D90)+C18-利润表!AG15*(1+B93)-利润表!AG8*(1+D90)*(B26+B28+B30+B32)-C22-C33+SUM(C34:C42)+C47-B50*(利润表!AG8*(1+D90)+C18-利润表!AG15*(1+B93)-利润表!AG8*(1+D90)*(B26+B28+B30+B32)-C22-C33+SUM(C34:C42)+C47)-B53*(利润表!AG8*(1+D90)+C18-利润表!AG15*(1+B93)-利润表!AG8*(1+D90)*(B26+B28+B30+B32)-C22-C33+SUM(C34:C42)+C47-B50*(利润表!AG8*(1+D90)+C18-利润表!AG15*(1+B93)-利润表!AG8*(1+D90)*(B26+B28+B30+B32)-C22-C33+SUM(C34:C42)+C47))</f>
        <v>#VALUE!</v>
      </c>
      <c r="E93" s="174" t="e">
        <f>利润表!AG8*(1+E90)+C18-利润表!AG15*(1+B93)-利润表!AG8*(1+E90)*(B26+B28+B30+B32)-C22-C33+SUM(C34:C42)+C47-B50*(利润表!AG8*(1+E90)+C18-利润表!AG15*(1+B93)-利润表!AG8*(1+E90)*(B26+B28+B30+B32)-C22-C33+SUM(C34:C42)+C47)-B53*(利润表!AG8*(1+E90)+C18-利润表!AG15*(1+B93)-利润表!AG8*(1+E90)*(B26+B28+B30+B32)-C22-C33+SUM(C34:C42)+C47-B50*(利润表!AG8*(1+E90)+C18-利润表!AG15*(1+B93)-利润表!AG8*(1+E90)*(B26+B28+B30+B32)-C22-C33+SUM(C34:C42)+C47))</f>
        <v>#VALUE!</v>
      </c>
      <c r="F93" s="174" t="e">
        <f>利润表!AG8*(1+F90)+C18-利润表!AG15*(1+B93)-利润表!AG8*(1+F90)*(B26+B28+B30+B32)-C22-C33+SUM(C34:C42)+C47-B50*(利润表!AG8*(1+F90)+C18-利润表!AG15*(1+B93)-利润表!AG8*(1+F90)*(B26+B28+B30+B32)-C22-C33+SUM(C34:C42)+C47)-B53*(利润表!AG8*(1+F90)+C18-利润表!AG15*(1+B93)-利润表!AG8*(1+F90)*(B26+B28+B30+B32)-C22-C33+SUM(C34:C42)+C47-B50*(利润表!AG8*(1+F90)+C18-利润表!AG15*(1+B93)-利润表!AG8*(1+F90)*(B26+B28+B30+B32)-C22-C33+SUM(C34:C42)+C47))</f>
        <v>#VALUE!</v>
      </c>
      <c r="G93" s="174" t="e">
        <f>利润表!AG8*(1+G90)+C18-利润表!AG15*(1+B93)-利润表!AG8*(1+G90)*(B26+B28+B30+B32)-C22-C33+SUM(C34:C42)+C47-B50*(利润表!AG8*(1+G90)+C18-利润表!AG15*(1+B93)-利润表!AG8*(1+G90)*(B26+B28+B30+B32)-C22-C33+SUM(C34:C42)+C47)-B53*(利润表!AG8*(1+G90)+C18-利润表!AG15*(1+B93)-利润表!AG8*(1+G90)*(B26+B28+B30+B32)-C22-C33+SUM(C34:C42)+C47-B50*(利润表!AG8*(1+G90)+C18-利润表!AG15*(1+B93)-利润表!AG8*(1+G90)*(B26+B28+B30+B32)-C22-C33+SUM(C34:C42)+C47))</f>
        <v>#VALUE!</v>
      </c>
      <c r="H93" s="174" t="e">
        <f>利润表!AG8*(1+H90)+C18-利润表!AG15*(1+B93)-利润表!AG8*(1+H90)*(B26+B28+B30+B32)-C22-C33+SUM(C34:C42)+C47-B50*(利润表!AG8*(1+H90)+C18-利润表!AG15*(1+B93)-利润表!AG8*(1+H90)*(B26+B28+B30+B32)-C22-C33+SUM(C34:C42)+C47)-B53*(利润表!AG8*(1+H90)+C18-利润表!AG15*(1+B93)-利润表!AG8*(1+H90)*(B26+B28+B30+B32)-C22-C33+SUM(C34:C42)+C47-B50*(利润表!AG8*(1+H90)+C18-利润表!AG15*(1+B93)-利润表!AG8*(1+H90)*(B26+B28+B30+B32)-C22-C33+SUM(C34:C42)+C47))</f>
        <v>#VALUE!</v>
      </c>
      <c r="I93" s="193" t="e">
        <f>利润表!AG8*(1+I90)+C18-利润表!AG15*(1+B93)-利润表!AG8*(1+I90)*(B26+B28+B30+B32)-C22-C33+SUM(C34:C42)+C47-B50*(利润表!AG8*(1+I90)+C18-利润表!AG15*(1+B93)-利润表!AG8*(1+I90)*(B26+B28+B30+B32)-C22-C33+SUM(C34:C42)+C47)-B53*(利润表!AG8*(1+I90)+C18-利润表!AG15*(1+B93)-利润表!AG8*(1+I90)*(B26+B28+B30+B32)-C22-C33+SUM(C34:C42)+C47-B50*(利润表!AG8*(1+I90)+C18-利润表!AG15*(1+B93)-利润表!AG8*(1+I90)*(B26+B28+B30+B32)-C22-C33+SUM(C34:C42)+C47))</f>
        <v>#VALUE!</v>
      </c>
      <c r="K93" s="1184"/>
      <c r="L93" s="196" t="e">
        <f>L94-$L$88</f>
        <v>#VALUE!</v>
      </c>
      <c r="M93" s="174" t="e">
        <f>C16*(1+M90)+F18-C20*(1+L93)-C16*(1+M90)*(E26+E28+E30+E32)-F22-F33+SUM(F34:F42)+F47-E50*(C16*(1+M90)+F18-C20*(1+L93)-C16*(1+M90)*(E26+E28+E30+E32)-F22-F33+SUM(F34:F42)+F47)-E53*(C16*(1+M90)+F18-C20*(1+L93)-C16*(1+M90)*(E26+E28+E30+E32)-F22-F33+SUM(F34:F42)+F47-E50*(C16*(1+M90)+F18-C20*(1+L93)-C16*(1+M90)*(E26+E28+E30+E32)-F22-F33+SUM(F34:F42)+F47))</f>
        <v>#VALUE!</v>
      </c>
      <c r="N93" s="174" t="e">
        <f>C16*(1+N90)+F18-C20*(1+L93)-C16*(1+N90)*(E26+E28+E30+E32)-F22-F33+SUM(F34:F42)+F47-E50*(C16*(1+N90)+F18-C20*(1+L93)-C16*(1+N90)*(E26+E28+E30+E32)-F22-F33+SUM(F34:F42)+F47)-E53*(C16*(1+N90)+F18-C20*(1+L93)-C16*(1+N90)*(E26+E28+E30+E32)-F22-F33+SUM(F34:F42)+F47-E50*(C16*(1+N90)+F18-C20*(1+L93)-C16*(1+N90)*(E26+E28+E30+E32)-F22-F33+SUM(F34:F42)+F47))</f>
        <v>#VALUE!</v>
      </c>
      <c r="O93" s="174" t="e">
        <f>C16*(1+O90)+F18-C20*(1+L93)-C16*(1+O90)*(E26+E28+E30+E32)-F22-F33+SUM(F34:F42)+F47-E50*(C16*(1+O90)+F18-C20*(1+L93)-C16*(1+O90)*(E26+E28+E30+E32)-F22-F33+SUM(F34:F42)+F47)-E53*(C16*(1+O90)+F18-C20*(1+L93)-C16*(1+O90)*(E26+E28+E30+E32)-F22-F33+SUM(F34:F42)+F47-E50*(C16*(1+O90)+F18-C20*(1+L93)-C16*(1+O90)*(E26+E28+E30+E32)-F22-F33+SUM(F34:F42)+F47))</f>
        <v>#VALUE!</v>
      </c>
      <c r="P93" s="174" t="e">
        <f>C16*(1+P90)+F18-C20*(1+L93)-C16*(1+P90)*(E26+E28+E30+E32)-F22-F33+SUM(F34:F42)+F47-E50*(C16*(1+P90)+F18-C20*(1+L93)-C16*(1+P90)*(E26+E28+E30+E32)-F22-F33+SUM(F34:F42)+F47)-E53*(C16*(1+P90)+F18-C20*(1+L93)-C16*(1+P90)*(E26+E28+E30+E32)-F22-F33+SUM(F34:F42)+F47-E50*(C16*(1+P90)+F18-C20*(1+L93)-C16*(1+P90)*(E26+E28+E30+E32)-F22-F33+SUM(F34:F42)+F47))</f>
        <v>#VALUE!</v>
      </c>
      <c r="Q93" s="174" t="e">
        <f>C16*(1+Q90)+F18-C20*(1+L93)-C16*(1+Q90)*(E26+E28+E30+E32)-F22-F33+SUM(F34:F42)+F47-E50*(C16*(1+Q90)+F18-C20*(1+L93)-C16*(1+Q90)*(E26+E28+E30+E32)-F22-F33+SUM(F34:F42)+F47)-E53*(C16*(1+Q90)+F18-C20*(1+L93)-C16*(1+Q90)*(E26+E28+E30+E32)-F22-F33+SUM(F34:F42)+F47-E50*(C16*(1+Q90)+F18-C20*(1+L93)-C16*(1+Q90)*(E26+E28+E30+E32)-F22-F33+SUM(F34:F42)+F47))</f>
        <v>#VALUE!</v>
      </c>
      <c r="R93" s="174" t="e">
        <f>C16*(1+R90)+F18-C20*(1+L93)-C16*(1+R90)*(E26+E28+E30+E32)-F22-F33+SUM(F34:F42)+F47-E50*(C16*(1+R90)+F18-C20*(1+L93)-C16*(1+R90)*(E26+E28+E30+E32)-F22-F33+SUM(F34:F42)+F47)-E53*(C16*(1+R90)+F18-C20*(1+L93)-C16*(1+R90)*(E26+E28+E30+E32)-F22-F33+SUM(F34:F42)+F47-E50*(C16*(1+R90)+F18-C20*(1+L93)-C16*(1+R90)*(E26+E28+E30+E32)-F22-F33+SUM(F34:F42)+F47))</f>
        <v>#VALUE!</v>
      </c>
      <c r="S93" s="193" t="e">
        <f>C16*(1+S90)+F18-C20*(1+L93)-C16*(1+S90)*(E26+E28+E30+E32)-F22-F33+SUM(F34:F42)+F47-E50*(C16*(1+S90)+F18-C20*(1+L93)-C16*(1+S90)*(E26+E28+E30+E32)-F22-F33+SUM(F34:F42)+F47)-E53*(C16*(1+S90)+F18-C20*(1+L93)-C16*(1+S90)*(E26+E28+E30+E32)-F22-F33+SUM(F34:F42)+F47-E50*(C16*(1+S90)+F18-C20*(1+L93)-C16*(1+S90)*(E26+E28+E30+E32)-F22-F33+SUM(F34:F42)+F47))</f>
        <v>#VALUE!</v>
      </c>
    </row>
    <row r="94" spans="1:19" s="92" customFormat="1" ht="13.5" customHeight="1">
      <c r="A94" s="1184"/>
      <c r="B94" s="168" t="str">
        <f>C4</f>
        <v>—</v>
      </c>
      <c r="C94" s="174" t="e">
        <f>利润表!AG8*(1+C90)+C18-利润表!AG15*(1+B94)-利润表!AG8*(1+C90)*(B26+B28+B30+B32)-C22-C33+SUM(C34:C42)+C47-B50*(利润表!AG8*(1+C90)+C18-利润表!AG15*(1+B94)-利润表!AG8*(1+C90)*(B26+B28+B30+B32)-C22-C33+SUM(C34:C42)+C47)-B53*(利润表!AG8*(1+C90)+C18-利润表!AG15*(1+B94)-利润表!AG8*(1+C90)*(B26+B28+B30+B32)-C22-C33+SUM(C34:C42)+C47-B50*(利润表!AG8*(1+C90)+C18-利润表!AG15*(1+B94)-利润表!AG8*(1+C90)*(B26+B28+B30+B32)-C22-C33+SUM(C34:C42)+C47))</f>
        <v>#VALUE!</v>
      </c>
      <c r="D94" s="174" t="e">
        <f>利润表!AG8*(1+D90)+C18-利润表!AG15*(1+B94)-利润表!AG8*(1+D90)*(B26+B28+B30+B32)-C22-C33+SUM(C34:C42)+C47-B50*(利润表!AG8*(1+D90)+C18-利润表!AG15*(1+B94)-利润表!AG8*(1+D90)*(B26+B28+B30+B32)-C22-C33+SUM(C34:C42)+C47)-B53*(利润表!AG8*(1+D90)+C18-利润表!AG15*(1+B94)-利润表!AG8*(1+D90)*(B26+B28+B30+B32)-C22-C33+SUM(C34:C42)+C47-B50*(利润表!AG8*(1+D90)+C18-利润表!AG15*(1+B94)-利润表!AG8*(1+D90)*(B26+B28+B30+B32)-C22-C33+SUM(C34:C42)+C47))</f>
        <v>#VALUE!</v>
      </c>
      <c r="E94" s="174" t="e">
        <f>利润表!AG8*(1+E90)+C18-利润表!AG15*(1+B94)-利润表!AG8*(1+E90)*(B26+B28+B30+B32)-C22-C33+SUM(C34:C42)+C47-B50*(利润表!AG8*(1+E90)+C18-利润表!AG15*(1+B94)-利润表!AG8*(1+E90)*(B26+B28+B30+B32)-C22-C33+SUM(C34:C42)+C47)-B53*(利润表!AG8*(1+E90)+C18-利润表!AG15*(1+B94)-利润表!AG8*(1+E90)*(B26+B28+B30+B32)-C22-C33+SUM(C34:C42)+C47-B50*(利润表!AG8*(1+E90)+C18-利润表!AG15*(1+B94)-利润表!AG8*(1+E90)*(B26+B28+B30+B32)-C22-C33+SUM(C34:C42)+C47))</f>
        <v>#VALUE!</v>
      </c>
      <c r="F94" s="174" t="e">
        <f>利润表!AG8*(1+F90)+C18-利润表!AG15*(1+B94)-利润表!AG8*(1+F90)*(B26+B28+B30+B32)-C22-C33+SUM(C34:C42)+C47-B50*(利润表!AG8*(1+F90)+C18-利润表!AG15*(1+B94)-利润表!AG8*(1+F90)*(B26+B28+B30+B32)-C22-C33+SUM(C34:C42)+C47)-B53*(利润表!AG8*(1+F90)+C18-利润表!AG15*(1+B94)-利润表!AG8*(1+F90)*(B26+B28+B30+B32)-C22-C33+SUM(C34:C42)+C47-B50*(利润表!AG8*(1+F90)+C18-利润表!AG15*(1+B94)-利润表!AG8*(1+F90)*(B26+B28+B30+B32)-C22-C33+SUM(C34:C42)+C47))</f>
        <v>#VALUE!</v>
      </c>
      <c r="G94" s="174" t="e">
        <f>利润表!AG8*(1+G90)+C18-利润表!AG15*(1+B94)-利润表!AG8*(1+G90)*(B26+B28+B30+B32)-C22-C33+SUM(C34:C42)+C47-B50*(利润表!AG8*(1+G90)+C18-利润表!AG15*(1+B94)-利润表!AG8*(1+G90)*(B26+B28+B30+B32)-C22-C33+SUM(C34:C42)+C47)-B53*(利润表!AG8*(1+G90)+C18-利润表!AG15*(1+B94)-利润表!AG8*(1+G90)*(B26+B28+B30+B32)-C22-C33+SUM(C34:C42)+C47-B50*(利润表!AG8*(1+G90)+C18-利润表!AG15*(1+B94)-利润表!AG8*(1+G90)*(B26+B28+B30+B32)-C22-C33+SUM(C34:C42)+C47))</f>
        <v>#VALUE!</v>
      </c>
      <c r="H94" s="174" t="e">
        <f>利润表!AG8*(1+H90)+C18-利润表!AG15*(1+B94)-利润表!AG8*(1+H90)*(B26+B28+B30+B32)-C22-C33+SUM(C34:C42)+C47-B50*(利润表!AG8*(1+H90)+C18-利润表!AG15*(1+B94)-利润表!AG8*(1+H90)*(B26+B28+B30+B32)-C22-C33+SUM(C34:C42)+C47)-B53*(利润表!AG8*(1+H90)+C18-利润表!AG15*(1+B94)-利润表!AG8*(1+H90)*(B26+B28+B30+B32)-C22-C33+SUM(C34:C42)+C47-B50*(利润表!AG8*(1+H90)+C18-利润表!AG15*(1+B94)-利润表!AG8*(1+H90)*(B26+B28+B30+B32)-C22-C33+SUM(C34:C42)+C47))</f>
        <v>#VALUE!</v>
      </c>
      <c r="I94" s="193" t="e">
        <f>利润表!AG8*(1+I90)+C18-利润表!AG15*(1+B94)-利润表!AG8*(1+I90)*(B26+B28+B30+B32)-C22-C33+SUM(C34:C42)+C47-B50*(利润表!AG8*(1+I90)+C18-利润表!AG15*(1+B94)-利润表!AG8*(1+I90)*(B26+B28+B30+B32)-C22-C33+SUM(C34:C42)+C47)-B53*(利润表!AG8*(1+I90)+C18-利润表!AG15*(1+B94)-利润表!AG8*(1+I90)*(B26+B28+B30+B32)-C22-C33+SUM(C34:C42)+C47-B50*(利润表!AG8*(1+I90)+C18-利润表!AG15*(1+B94)-利润表!AG8*(1+I90)*(B26+B28+B30+B32)-C22-C33+SUM(C34:C42)+C47))</f>
        <v>#VALUE!</v>
      </c>
      <c r="K94" s="1184"/>
      <c r="L94" s="168" t="str">
        <f>E4</f>
        <v>—</v>
      </c>
      <c r="M94" s="174" t="e">
        <f>C16*(1+M90)+F18-C20*(1+L94)-C16*(1+M90)*(E26+E28+E30+E32)-F22-F33+SUM(F34:F42)+F47-E50*(C16*(1+M90)+F18-C20*(1+L94)-C16*(1+M90)*(E26+E28+E30+E32)-F22-F33+SUM(F34:F42)+F47)-E53*(C16*(1+M90)+F18-C20*(1+L94)-C16*(1+M90)*(E26+E28+E30+E32)-F22-F33+SUM(F34:F42)+F47-E50*(C16*(1+M90)+F18-C20*(1+L94)-C16*(1+M90)*(E26+E28+E30+E32)-F22-F33+SUM(F34:F42)+F47))</f>
        <v>#VALUE!</v>
      </c>
      <c r="N94" s="174" t="e">
        <f>C16*(1+N90)+F18-C20*(1+L94)-C16*(1+N90)*(E26+E28+E30+E32)-F22-F33+SUM(F34:F42)+F47-E50*(C16*(1+N90)+F18-C20*(1+L94)-C16*(1+N90)*(E26+E28+E30+E32)-F22-F33+SUM(F34:F42)+F47)-E53*(C16*(1+N90)+F18-C20*(1+L94)-C16*(1+N90)*(E26+E28+E30+E32)-F22-F33+SUM(F34:F42)+F47-E50*(C16*(1+N90)+F18-C20*(1+L94)-C16*(1+N90)*(E26+E28+E30+E32)-F22-F33+SUM(F34:F42)+F47))</f>
        <v>#VALUE!</v>
      </c>
      <c r="O94" s="174" t="e">
        <f>C16*(1+O90)+F18-C20*(1+L94)-C16*(1+O90)*(E26+E28+E30+E32)-F22-F33+SUM(F34:F42)+F47-E50*(C16*(1+O90)+F18-C20*(1+L94)-C16*(1+O90)*(E26+E28+E30+E32)-F22-F33+SUM(F34:F42)+F47)-E53*(C16*(1+O90)+F18-C20*(1+L94)-C16*(1+O90)*(E26+E28+E30+E32)-F22-F33+SUM(F34:F42)+F47-E50*(C16*(1+O90)+F18-C20*(1+L94)-C16*(1+O90)*(E26+E28+E30+E32)-F22-F33+SUM(F34:F42)+F47))</f>
        <v>#VALUE!</v>
      </c>
      <c r="P94" s="174" t="e">
        <f>C16*(1+P90)+F18-C20*(1+L94)-C16*(1+P90)*(E26+E28+E30+E32)-F22-F33+SUM(F34:F42)+F47-E50*(C16*(1+P90)+F18-C20*(1+L94)-C16*(1+P90)*(E26+E28+E30+E32)-F22-F33+SUM(F34:F42)+F47)-E53*(C16*(1+P90)+F18-C20*(1+L94)-C16*(1+P90)*(E26+E28+E30+E32)-F22-F33+SUM(F34:F42)+F47-E50*(C16*(1+P90)+F18-C20*(1+L94)-C16*(1+P90)*(E26+E28+E30+E32)-F22-F33+SUM(F34:F42)+F47))</f>
        <v>#VALUE!</v>
      </c>
      <c r="Q94" s="174" t="e">
        <f>C16*(1+Q90)+F18-C20*(1+L94)-C16*(1+Q90)*(E26+E28+E30+E32)-F22-F33+SUM(F34:F42)+F47-E50*(C16*(1+Q90)+F18-C20*(1+L94)-C16*(1+Q90)*(E26+E28+E30+E32)-F22-F33+SUM(F34:F42)+F47)-E53*(C16*(1+Q90)+F18-C20*(1+L94)-C16*(1+Q90)*(E26+E28+E30+E32)-F22-F33+SUM(F34:F42)+F47-E50*(C16*(1+Q90)+F18-C20*(1+L94)-C16*(1+Q90)*(E26+E28+E30+E32)-F22-F33+SUM(F34:F42)+F47))</f>
        <v>#VALUE!</v>
      </c>
      <c r="R94" s="174" t="e">
        <f>C16*(1+R90)+F18-C20*(1+L94)-C16*(1+R90)*(E26+E28+E30+E32)-F22-F33+SUM(F34:F42)+F47-E50*(C16*(1+R90)+F18-C20*(1+L94)-C16*(1+R90)*(E26+E28+E30+E32)-F22-F33+SUM(F34:F42)+F47)-E53*(C16*(1+R90)+F18-C20*(1+L94)-C16*(1+R90)*(E26+E28+E30+E32)-F22-F33+SUM(F34:F42)+F47-E50*(C16*(1+R90)+F18-C20*(1+L94)-C16*(1+R90)*(E26+E28+E30+E32)-F22-F33+SUM(F34:F42)+F47))</f>
        <v>#VALUE!</v>
      </c>
      <c r="S94" s="193" t="e">
        <f>C16*(1+S90)+F18-C20*(1+L94)-C16*(1+S90)*(E26+E28+E30+E32)-F22-F33+SUM(F34:F42)+F47-E50*(C16*(1+S90)+F18-C20*(1+L94)-C16*(1+S90)*(E26+E28+E30+E32)-F22-F33+SUM(F34:F42)+F47)-E53*(C16*(1+S90)+F18-C20*(1+L94)-C16*(1+S90)*(E26+E28+E30+E32)-F22-F33+SUM(F34:F42)+F47-E50*(C16*(1+S90)+F18-C20*(1+L94)-C16*(1+S90)*(E26+E28+E30+E32)-F22-F33+SUM(F34:F42)+F47))</f>
        <v>#VALUE!</v>
      </c>
    </row>
    <row r="95" spans="1:19" s="92" customFormat="1" ht="13.5" customHeight="1">
      <c r="A95" s="1184"/>
      <c r="B95" s="167" t="e">
        <f>B94+$B$88</f>
        <v>#VALUE!</v>
      </c>
      <c r="C95" s="174" t="e">
        <f>利润表!AG8*(1+C90)+C18-利润表!AG15*(1+B95)-利润表!AG8*(1+C90)*(B26+B28+B30+B32)-C22-C33+SUM(C34:C42)+C47-B50*(利润表!AG8*(1+C90)+C18-利润表!AG15*(1+B95)-利润表!AG8*(1+C90)*(B26+B28+B30+B32)-C22-C33+SUM(C34:C42)+C47)-B53*(利润表!AG8*(1+C90)+C18-利润表!AG15*(1+B95)-利润表!AG8*(1+C90)*(B26+B28+B30+B32)-C22-C33+SUM(C34:C42)+C47-B50*(利润表!AG8*(1+C90)+C18-利润表!AG15*(1+B95)-利润表!AG8*(1+C90)*(B26+B28+B30+B32)-C22-C33+SUM(C34:C42)+C47))</f>
        <v>#VALUE!</v>
      </c>
      <c r="D95" s="174" t="e">
        <f>利润表!AG8*(1+D90)+C18-利润表!AG15*(1+B95)-利润表!AG8*(1+D90)*(B26+B28+B30+B32)-C22-C33+SUM(C34:C42)+C47-B50*(利润表!AG8*(1+D90)+C18-利润表!AG15*(1+B95)-利润表!AG8*(1+D90)*(B26+B28+B30+B32)-C22-C33+SUM(C34:C42)+C47)-B53*(利润表!AG8*(1+D90)+C18-利润表!AG15*(1+B95)-利润表!AG8*(1+D90)*(B26+B28+B30+B32)-C22-C33+SUM(C34:C42)+C47-B50*(利润表!AG8*(1+D90)+C18-利润表!AG15*(1+B95)-利润表!AG8*(1+D90)*(B26+B28+B30+B32)-C22-C33+SUM(C34:C42)+C47))</f>
        <v>#VALUE!</v>
      </c>
      <c r="E95" s="174" t="e">
        <f>利润表!AG8*(1+E90)+C18-利润表!AG15*(1+B95)-利润表!AG8*(1+E90)*(B26+B28+B30+B32)-C22-C33+SUM(C34:C42)+C47-B50*(利润表!AG8*(1+E90)+C18-利润表!AG15*(1+B95)-利润表!AG8*(1+E90)*(B26+B28+B30+B32)-C22-C33+SUM(C34:C42)+C47)-B53*(利润表!AG8*(1+E90)+C18-利润表!AG15*(1+B95)-利润表!AG8*(1+E90)*(B26+B28+B30+B32)-C22-C33+SUM(C34:C42)+C47-B50*(利润表!AG8*(1+E90)+C18-利润表!AG15*(1+B95)-利润表!AG8*(1+E90)*(B26+B28+B30+B32)-C22-C33+SUM(C34:C42)+C47))</f>
        <v>#VALUE!</v>
      </c>
      <c r="F95" s="174" t="e">
        <f>利润表!AG8*(1+F90)+C18-利润表!AG15*(1+B95)-利润表!AG8*(1+F90)*(B26+B28+B30+B32)-C22-C33+SUM(C34:C42)+C47-B50*(利润表!AG8*(1+F90)+C18-利润表!AG15*(1+B95)-利润表!AG8*(1+F90)*(B26+B28+B30+B32)-C22-C33+SUM(C34:C42)+C47)-B53*(利润表!AG8*(1+F90)+C18-利润表!AG15*(1+B95)-利润表!AG8*(1+F90)*(B26+B28+B30+B32)-C22-C33+SUM(C34:C42)+C47-B50*(利润表!AG8*(1+F90)+C18-利润表!AG15*(1+B95)-利润表!AG8*(1+F90)*(B26+B28+B30+B32)-C22-C33+SUM(C34:C42)+C47))</f>
        <v>#VALUE!</v>
      </c>
      <c r="G95" s="174" t="e">
        <f>利润表!AG8*(1+G90)+C18-利润表!AG15*(1+B95)-利润表!AG8*(1+G90)*(B26+B28+B30+B32)-C22-C33+SUM(C34:C42)+C47-B50*(利润表!AG8*(1+G90)+C18-利润表!AG15*(1+B95)-利润表!AG8*(1+G90)*(B26+B28+B30+B32)-C22-C33+SUM(C34:C42)+C47)-B53*(利润表!AG8*(1+G90)+C18-利润表!AG15*(1+B95)-利润表!AG8*(1+G90)*(B26+B28+B30+B32)-C22-C33+SUM(C34:C42)+C47-B50*(利润表!AG8*(1+G90)+C18-利润表!AG15*(1+B95)-利润表!AG8*(1+G90)*(B26+B28+B30+B32)-C22-C33+SUM(C34:C42)+C47))</f>
        <v>#VALUE!</v>
      </c>
      <c r="H95" s="174" t="e">
        <f>利润表!AG8*(1+H90)+C18-利润表!AG15*(1+B95)-利润表!AG8*(1+H90)*(B26+B28+B30+B32)-C22-C33+SUM(C34:C42)+C47-B50*(利润表!AG8*(1+H90)+C18-利润表!AG15*(1+B95)-利润表!AG8*(1+H90)*(B26+B28+B30+B32)-C22-C33+SUM(C34:C42)+C47)-B53*(利润表!AG8*(1+H90)+C18-利润表!AG15*(1+B95)-利润表!AG8*(1+H90)*(B26+B28+B30+B32)-C22-C33+SUM(C34:C42)+C47-B50*(利润表!AG8*(1+H90)+C18-利润表!AG15*(1+B95)-利润表!AG8*(1+H90)*(B26+B28+B30+B32)-C22-C33+SUM(C34:C42)+C47))</f>
        <v>#VALUE!</v>
      </c>
      <c r="I95" s="193" t="e">
        <f>利润表!AG8*(1+I90)+C18-利润表!AG15*(1+B95)-利润表!AG8*(1+I90)*(B26+B28+B30+B32)-C22-C33+SUM(C34:C42)+C47-B50*(利润表!AG8*(1+I90)+C18-利润表!AG15*(1+B95)-利润表!AG8*(1+I90)*(B26+B28+B30+B32)-C22-C33+SUM(C34:C42)+C47)-B53*(利润表!AG8*(1+I90)+C18-利润表!AG15*(1+B95)-利润表!AG8*(1+I90)*(B26+B28+B30+B32)-C22-C33+SUM(C34:C42)+C47-B50*(利润表!AG8*(1+I90)+C18-利润表!AG15*(1+B95)-利润表!AG8*(1+I90)*(B26+B28+B30+B32)-C22-C33+SUM(C34:C42)+C47))</f>
        <v>#VALUE!</v>
      </c>
      <c r="K95" s="1184"/>
      <c r="L95" s="196" t="e">
        <f>L94+$L$88</f>
        <v>#VALUE!</v>
      </c>
      <c r="M95" s="174" t="e">
        <f>C16*(1+M90)+F18-C20*(1+L95)-C16*(1+M90)*(E26+E28+E30+E32)-F22-F33+SUM(F34:F42)+F47-E50*(C16*(1+M90)+F18-C20*(1+L95)-C16*(1+M90)*(E26+E28+E30+E32)-F22-F33+SUM(F34:F42)+F47)-E53*(C16*(1+M90)+F18-C20*(1+L95)-C16*(1+M90)*(E26+E28+E30+E32)-F22-F33+SUM(F34:F42)+F47-E50*(C16*(1+M90)+F18-C20*(1+L95)-C16*(1+M90)*(E26+E28+E30+E32)-F22-F33+SUM(F34:F42)+F47))</f>
        <v>#VALUE!</v>
      </c>
      <c r="N95" s="174" t="e">
        <f>C16*(1+N90)+F18-C20*(1+L95)-C16*(1+N90)*(E26+E28+E30+E32)-F22-F33+SUM(F34:F42)+F47-E50*(C16*(1+N90)+F18-C20*(1+L95)-C16*(1+N90)*(E26+E28+E30+E32)-F22-F33+SUM(F34:F42)+F47)-E53*(C16*(1+N90)+F18-C20*(1+L95)-C16*(1+N90)*(E26+E28+E30+E32)-F22-F33+SUM(F34:F42)+F47-E50*(C16*(1+N90)+F18-C20*(1+L95)-C16*(1+N90)*(E26+E28+E30+E32)-F22-F33+SUM(F34:F42)+F47))</f>
        <v>#VALUE!</v>
      </c>
      <c r="O95" s="174" t="e">
        <f>C16*(1+O90)+F18-C20*(1+L95)-C16*(1+O90)*(E26+E28+E30+E32)-F22-F33+SUM(F34:F42)+F47-E50*(C16*(1+O90)+F18-C20*(1+L95)-C16*(1+O90)*(E26+E28+E30+E32)-F22-F33+SUM(F34:F42)+F47)-E53*(C16*(1+O90)+F18-C20*(1+L95)-C16*(1+O90)*(E26+E28+E30+E32)-F22-F33+SUM(F34:F42)+F47-E50*(C16*(1+O90)+F18-C20*(1+L95)-C16*(1+O90)*(E26+E28+E30+E32)-F22-F33+SUM(F34:F42)+F47))</f>
        <v>#VALUE!</v>
      </c>
      <c r="P95" s="174" t="e">
        <f>C16*(1+P90)+F18-C20*(1+L95)-C16*(1+P90)*(E26+E28+E30+E32)-F22-F33+SUM(F34:F42)+F47-E50*(C16*(1+P90)+F18-C20*(1+L95)-C16*(1+P90)*(E26+E28+E30+E32)-F22-F33+SUM(F34:F42)+F47)-E53*(C16*(1+P90)+F18-C20*(1+L95)-C16*(1+P90)*(E26+E28+E30+E32)-F22-F33+SUM(F34:F42)+F47-E50*(C16*(1+P90)+F18-C20*(1+L95)-C16*(1+P90)*(E26+E28+E30+E32)-F22-F33+SUM(F34:F42)+F47))</f>
        <v>#VALUE!</v>
      </c>
      <c r="Q95" s="174" t="e">
        <f>C16*(1+Q90)+F18-C20*(1+L95)-C16*(1+Q90)*(E26+E28+E30+E32)-F22-F33+SUM(F34:F42)+F47-E50*(C16*(1+Q90)+F18-C20*(1+L95)-C16*(1+Q90)*(E26+E28+E30+E32)-F22-F33+SUM(F34:F42)+F47)-E53*(C16*(1+Q90)+F18-C20*(1+L95)-C16*(1+Q90)*(E26+E28+E30+E32)-F22-F33+SUM(F34:F42)+F47-E50*(C16*(1+Q90)+F18-C20*(1+L95)-C16*(1+Q90)*(E26+E28+E30+E32)-F22-F33+SUM(F34:F42)+F47))</f>
        <v>#VALUE!</v>
      </c>
      <c r="R95" s="174" t="e">
        <f>C16*(1+R90)+F18-C20*(1+L95)-C16*(1+R90)*(E26+E28+E30+E32)-F22-F33+SUM(F34:F42)+F47-E50*(C16*(1+R90)+F18-C20*(1+L95)-C16*(1+R90)*(E26+E28+E30+E32)-F22-F33+SUM(F34:F42)+F47)-E53*(C16*(1+R90)+F18-C20*(1+L95)-C16*(1+R90)*(E26+E28+E30+E32)-F22-F33+SUM(F34:F42)+F47-E50*(C16*(1+R90)+F18-C20*(1+L95)-C16*(1+R90)*(E26+E28+E30+E32)-F22-F33+SUM(F34:F42)+F47))</f>
        <v>#VALUE!</v>
      </c>
      <c r="S95" s="193" t="e">
        <f>C16*(1+S90)+F18-C20*(1+L95)-C16*(1+S90)*(E26+E28+E30+E32)-F22-F33+SUM(F34:F42)+F47-E50*(C16*(1+S90)+F18-C20*(1+L95)-C16*(1+S90)*(E26+E28+E30+E32)-F22-F33+SUM(F34:F42)+F47)-E53*(C16*(1+S90)+F18-C20*(1+L95)-C16*(1+S90)*(E26+E28+E30+E32)-F22-F33+SUM(F34:F42)+F47-E50*(C16*(1+S90)+F18-C20*(1+L95)-C16*(1+S90)*(E26+E28+E30+E32)-F22-F33+SUM(F34:F42)+F47))</f>
        <v>#VALUE!</v>
      </c>
    </row>
    <row r="96" spans="1:19" s="92" customFormat="1" ht="13.5" customHeight="1">
      <c r="A96" s="1184"/>
      <c r="B96" s="167" t="e">
        <f>B95+$B$88</f>
        <v>#VALUE!</v>
      </c>
      <c r="C96" s="174" t="e">
        <f>利润表!AG8*(1+C90)+C18-利润表!AG15*(1+B96)-利润表!AG8*(1+C90)*(B26+B28+B30+B32)-C22-C33+SUM(C34:C42)+C47-B50*(利润表!AG8*(1+C90)+C18-利润表!AG15*(1+B96)-利润表!AG8*(1+C90)*(B26+B28+B30+B32)-C22-C33+SUM(C34:C42)+C47)-B53*(利润表!AG8*(1+C90)+C18-利润表!AG15*(1+B96)-利润表!AG8*(1+C90)*(B26+B28+B30+B32)-C22-C33+SUM(C34:C42)+C47-B50*(利润表!AG8*(1+C90)+C18-利润表!AG15*(1+B96)-利润表!AG8*(1+C90)*(B26+B28+B30+B32)-C22-C33+SUM(C34:C42)+C47))</f>
        <v>#VALUE!</v>
      </c>
      <c r="D96" s="174" t="e">
        <f>利润表!AG8*(1+D90)+C18-利润表!AG15*(1+B96)-利润表!AG8*(1+D90)*(B26+B28+B30+B32)-C22-C33+SUM(C34:C42)+C47-B50*(利润表!AG8*(1+D90)+C18-利润表!AG15*(1+B96)-利润表!AG8*(1+D90)*(B26+B28+B30+B32)-C22-C33+SUM(C34:C42)+C47)-B53*(利润表!AG8*(1+D90)+C18-利润表!AG15*(1+B96)-利润表!AG8*(1+D90)*(B26+B28+B30+B32)-C22-C33+SUM(C34:C42)+C47-B50*(利润表!AG8*(1+D90)+C18-利润表!AG15*(1+B96)-利润表!AG8*(1+D90)*(B26+B28+B30+B32)-C22-C33+SUM(C34:C42)+C47))</f>
        <v>#VALUE!</v>
      </c>
      <c r="E96" s="174" t="e">
        <f>利润表!AG8*(1+E90)+C18-利润表!AG15*(1+B96)-利润表!AG8*(1+E90)*(B26+B28+B30+B32)-C22-C33+SUM(C34:C42)+C47-B50*(利润表!AG8*(1+E90)+C18-利润表!AG15*(1+B96)-利润表!AG8*(1+E90)*(B26+B28+B30+B32)-C22-C33+SUM(C34:C42)+C47)-B53*(利润表!AG8*(1+E90)+C18-利润表!AG15*(1+B96)-利润表!AG8*(1+E90)*(B26+B28+B30+B32)-C22-C33+SUM(C34:C42)+C47-B50*(利润表!AG8*(1+E90)+C18-利润表!AG15*(1+B96)-利润表!AG8*(1+E90)*(B26+B28+B30+B32)-C22-C33+SUM(C34:C42)+C47))</f>
        <v>#VALUE!</v>
      </c>
      <c r="F96" s="174" t="e">
        <f>利润表!AG8*(1+F90)+C18-利润表!AG15*(1+B96)-利润表!AG8*(1+F90)*(B26+B28+B30+B32)-C22-C33+SUM(C34:C42)+C47-B50*(利润表!AG8*(1+F90)+C18-利润表!AG15*(1+B96)-利润表!AG8*(1+F90)*(B26+B28+B30+B32)-C22-C33+SUM(C34:C42)+C47)-B53*(利润表!AG8*(1+F90)+C18-利润表!AG15*(1+B96)-利润表!AG8*(1+F90)*(B26+B28+B30+B32)-C22-C33+SUM(C34:C42)+C47-B50*(利润表!AG8*(1+F90)+C18-利润表!AG15*(1+B96)-利润表!AG8*(1+F90)*(B26+B28+B30+B32)-C22-C33+SUM(C34:C42)+C47))</f>
        <v>#VALUE!</v>
      </c>
      <c r="G96" s="174" t="e">
        <f>利润表!AG8*(1+G90)+C18-利润表!AG15*(1+B96)-利润表!AG8*(1+G90)*(B26+B28+B30+B32)-C22-C33+SUM(C34:C42)+C47-B50*(利润表!AG8*(1+G90)+C18-利润表!AG15*(1+B96)-利润表!AG8*(1+G90)*(B26+B28+B30+B32)-C22-C33+SUM(C34:C42)+C47)-B53*(利润表!AG8*(1+G90)+C18-利润表!AG15*(1+B96)-利润表!AG8*(1+G90)*(B26+B28+B30+B32)-C22-C33+SUM(C34:C42)+C47-B50*(利润表!AG8*(1+G90)+C18-利润表!AG15*(1+B96)-利润表!AG8*(1+G90)*(B26+B28+B30+B32)-C22-C33+SUM(C34:C42)+C47))</f>
        <v>#VALUE!</v>
      </c>
      <c r="H96" s="174" t="e">
        <f>利润表!AG8*(1+H90)+C18-利润表!AG15*(1+B96)-利润表!AG8*(1+H90)*(B26+B28+B30+B32)-C22-C33+SUM(C34:C42)+C47-B50*(利润表!AG8*(1+H90)+C18-利润表!AG15*(1+B96)-利润表!AG8*(1+H90)*(B26+B28+B30+B32)-C22-C33+SUM(C34:C42)+C47)-B53*(利润表!AG8*(1+H90)+C18-利润表!AG15*(1+B96)-利润表!AG8*(1+H90)*(B26+B28+B30+B32)-C22-C33+SUM(C34:C42)+C47-B50*(利润表!AG8*(1+H90)+C18-利润表!AG15*(1+B96)-利润表!AG8*(1+H90)*(B26+B28+B30+B32)-C22-C33+SUM(C34:C42)+C47))</f>
        <v>#VALUE!</v>
      </c>
      <c r="I96" s="193" t="e">
        <f>利润表!AG8*(1+I90)+C18-利润表!AG15*(1+B96)-利润表!AG8*(1+I90)*(B26+B28+B30+B32)-C22-C33+SUM(C34:C42)+C47-B50*(利润表!AG8*(1+I90)+C18-利润表!AG15*(1+B96)-利润表!AG8*(1+I90)*(B26+B28+B30+B32)-C22-C33+SUM(C34:C42)+C47)-B53*(利润表!AG8*(1+I90)+C18-利润表!AG15*(1+B96)-利润表!AG8*(1+I90)*(B26+B28+B30+B32)-C22-C33+SUM(C34:C42)+C47-B50*(利润表!AG8*(1+I90)+C18-利润表!AG15*(1+B96)-利润表!AG8*(1+I90)*(B26+B28+B30+B32)-C22-C33+SUM(C34:C42)+C47))</f>
        <v>#VALUE!</v>
      </c>
      <c r="K96" s="1184"/>
      <c r="L96" s="196" t="e">
        <f>L95+$L$88</f>
        <v>#VALUE!</v>
      </c>
      <c r="M96" s="174" t="e">
        <f>C16*(1+M90)+F18-C20*(1+L96)-C16*(1+M90)*(E26+E28+E30+E32)-F22-F33+SUM(F34:F42)+F47-E50*(C16*(1+M90)+F18-C20*(1+L96)-C16*(1+M90)*(E26+E28+E30+E32)-F22-F33+SUM(F34:F42)+F47)-E53*(C16*(1+M90)+F18-C20*(1+L96)-C16*(1+M90)*(E26+E28+E30+E32)-F22-F33+SUM(F34:F42)+F47-E50*(C16*(1+M90)+F18-C20*(1+L96)-C16*(1+M90)*(E26+E28+E30+E32)-F22-F33+SUM(F34:F42)+F47))</f>
        <v>#VALUE!</v>
      </c>
      <c r="N96" s="174" t="e">
        <f>C16*(1+N90)+F18-C20*(1+L96)-C16*(1+N90)*(E26+E28+E30+E32)-F22-F33+SUM(F34:F42)+F47-E50*(C16*(1+N90)+F18-C20*(1+L96)-C16*(1+N90)*(E26+E28+E30+E32)-F22-F33+SUM(F34:F42)+F47)-E53*(C16*(1+N90)+F18-C20*(1+L96)-C16*(1+N90)*(E26+E28+E30+E32)-F22-F33+SUM(F34:F42)+F47-E50*(C16*(1+N90)+F18-C20*(1+L96)-C16*(1+N90)*(E26+E28+E30+E32)-F22-F33+SUM(F34:F42)+F47))</f>
        <v>#VALUE!</v>
      </c>
      <c r="O96" s="174" t="e">
        <f>C16*(1+O90)+F18-C20*(1+L96)-C16*(1+O90)*(E26+E28+E30+E32)-F22-F33+SUM(F34:F42)+F47-E50*(C16*(1+O90)+F18-C20*(1+L96)-C16*(1+O90)*(E26+E28+E30+E32)-F22-F33+SUM(F34:F42)+F47)-E53*(C16*(1+O90)+F18-C20*(1+L96)-C16*(1+O90)*(E26+E28+E30+E32)-F22-F33+SUM(F34:F42)+F47-E50*(C16*(1+O90)+F18-C20*(1+L96)-C16*(1+O90)*(E26+E28+E30+E32)-F22-F33+SUM(F34:F42)+F47))</f>
        <v>#VALUE!</v>
      </c>
      <c r="P96" s="174" t="e">
        <f>C16*(1+P90)+F18-C20*(1+L96)-C16*(1+P90)*(E26+E28+E30+E32)-F22-F33+SUM(F34:F42)+F47-E50*(C16*(1+P90)+F18-C20*(1+L96)-C16*(1+P90)*(E26+E28+E30+E32)-F22-F33+SUM(F34:F42)+F47)-E53*(C16*(1+P90)+F18-C20*(1+L96)-C16*(1+P90)*(E26+E28+E30+E32)-F22-F33+SUM(F34:F42)+F47-E50*(C16*(1+P90)+F18-C20*(1+L96)-C16*(1+P90)*(E26+E28+E30+E32)-F22-F33+SUM(F34:F42)+F47))</f>
        <v>#VALUE!</v>
      </c>
      <c r="Q96" s="174" t="e">
        <f>C16*(1+Q90)+F18-C20*(1+L96)-C16*(1+Q90)*(E26+E28+E30+E32)-F22-F33+SUM(F34:F42)+F47-E50*(C16*(1+Q90)+F18-C20*(1+L96)-C16*(1+Q90)*(E26+E28+E30+E32)-F22-F33+SUM(F34:F42)+F47)-E53*(C16*(1+Q90)+F18-C20*(1+L96)-C16*(1+Q90)*(E26+E28+E30+E32)-F22-F33+SUM(F34:F42)+F47-E50*(C16*(1+Q90)+F18-C20*(1+L96)-C16*(1+Q90)*(E26+E28+E30+E32)-F22-F33+SUM(F34:F42)+F47))</f>
        <v>#VALUE!</v>
      </c>
      <c r="R96" s="174" t="e">
        <f>C16*(1+R90)+F18-C20*(1+L96)-C16*(1+R90)*(E26+E28+E30+E32)-F22-F33+SUM(F34:F42)+F47-E50*(C16*(1+R90)+F18-C20*(1+L96)-C16*(1+R90)*(E26+E28+E30+E32)-F22-F33+SUM(F34:F42)+F47)-E53*(C16*(1+R90)+F18-C20*(1+L96)-C16*(1+R90)*(E26+E28+E30+E32)-F22-F33+SUM(F34:F42)+F47-E50*(C16*(1+R90)+F18-C20*(1+L96)-C16*(1+R90)*(E26+E28+E30+E32)-F22-F33+SUM(F34:F42)+F47))</f>
        <v>#VALUE!</v>
      </c>
      <c r="S96" s="193" t="e">
        <f>C16*(1+S90)+F18-C20*(1+L96)-C16*(1+S90)*(E26+E28+E30+E32)-F22-F33+SUM(F34:F42)+F47-E50*(C16*(1+S90)+F18-C20*(1+L96)-C16*(1+S90)*(E26+E28+E30+E32)-F22-F33+SUM(F34:F42)+F47)-E53*(C16*(1+S90)+F18-C20*(1+L96)-C16*(1+S90)*(E26+E28+E30+E32)-F22-F33+SUM(F34:F42)+F47-E50*(C16*(1+S90)+F18-C20*(1+L96)-C16*(1+S90)*(E26+E28+E30+E32)-F22-F33+SUM(F34:F42)+F47))</f>
        <v>#VALUE!</v>
      </c>
    </row>
    <row r="97" spans="1:19" s="92" customFormat="1" ht="14.25" customHeight="1">
      <c r="A97" s="1185"/>
      <c r="B97" s="169" t="e">
        <f>B96+$B$88</f>
        <v>#VALUE!</v>
      </c>
      <c r="C97" s="175" t="e">
        <f>利润表!AG8*(1+C90)+C18-利润表!AG15*(1+B97)-利润表!AG8*(1+C90)*(B26+B28+B30+B32)-C22-C33+SUM(C34:C42)+C47-B50*(利润表!AG8*(1+C90)+C18-利润表!AG15*(1+B97)-利润表!AG8*(1+C90)*(B26+B28+B30+B32)-C22-C33+SUM(C34:C42)+C47)-B53*(利润表!AG8*(1+C90)+C18-利润表!AG15*(1+B97)-利润表!AG8*(1+C90)*(B26+B28+B30+B32)-C22-C33+SUM(C34:C42)+C47-B50*(利润表!AG8*(1+C90)+C18-利润表!AG15*(1+B97)-利润表!AG8*(1+C90)*(B26+B28+B30+B32)-C22-C33+SUM(C34:C42)+C47))</f>
        <v>#VALUE!</v>
      </c>
      <c r="D97" s="176" t="e">
        <f>利润表!AG8*(1+D90)+C18-利润表!AG15*(1+B97)-利润表!AG8*(1+D90)*(B26+B28+B30+B32)-C22-C33+SUM(C34:C42)+C47-B50*(利润表!AG8*(1+D90)+C18-利润表!AG15*(1+B97)-利润表!AG8*(1+D90)*(B26+B28+B30+B32)-C22-C33+SUM(C34:C42)+C47)-B53*(利润表!AG8*(1+D90)+C18-利润表!AG15*(1+B97)-利润表!AG8*(1+D90)*(B26+B28+B30+B32)-C22-C33+SUM(C34:C42)+C47-B50*(利润表!AG8*(1+D90)+C18-利润表!AG15*(1+B97)-利润表!AG8*(1+D90)*(B26+B28+B30+B32)-C22-C33+SUM(C34:C42)+C47))</f>
        <v>#VALUE!</v>
      </c>
      <c r="E97" s="176" t="e">
        <f>利润表!AG8*(1+E90)+C18-利润表!AG15*(1+B97)-利润表!AG8*(1+E90)*(B26+B28+B30+B32)-C22-C33+SUM(C34:C42)+C47-B50*(利润表!AG8*(1+E90)+C18-利润表!AG15*(1+B97)-利润表!AG8*(1+E90)*(B26+B28+B30+B32)-C22-C33+SUM(C34:C42)+C47)-B53*(利润表!AG8*(1+E90)+C18-利润表!AG15*(1+B97)-利润表!AG8*(1+E90)*(B26+B28+B30+B32)-C22-C33+SUM(C34:C42)+C47-B50*(利润表!AG8*(1+E90)+C18-利润表!AG15*(1+B97)-利润表!AG8*(1+E90)*(B26+B28+B30+B32)-C22-C33+SUM(C34:C42)+C47))</f>
        <v>#VALUE!</v>
      </c>
      <c r="F97" s="176" t="e">
        <f>利润表!AG8*(1+F90)+C18-利润表!AG15*(1+B97)-利润表!AG8*(1+F90)*(B26+B28+B30+B32)-C22-C33+SUM(C34:C42)+C47-B50*(利润表!AG8*(1+F90)+C18-利润表!AG15*(1+B97)-利润表!AG8*(1+F90)*(B26+B28+B30+B32)-C22-C33+SUM(C34:C42)+C47)-B53*(利润表!AG8*(1+F90)+C18-利润表!AG15*(1+B97)-利润表!AG8*(1+F90)*(B26+B28+B30+B32)-C22-C33+SUM(C34:C42)+C47-B50*(利润表!AG8*(1+F90)+C18-利润表!AG15*(1+B97)-利润表!AG8*(1+F90)*(B26+B28+B30+B32)-C22-C33+SUM(C34:C42)+C47))</f>
        <v>#VALUE!</v>
      </c>
      <c r="G97" s="176" t="e">
        <f>利润表!AG8*(1+G90)+C18-利润表!AG15*(1+B97)-利润表!AG8*(1+G90)*(B26+B28+B30+B32)-C22-C33+SUM(C34:C42)+C47-B50*(利润表!AG8*(1+G90)+C18-利润表!AG15*(1+B97)-利润表!AG8*(1+G90)*(B26+B28+B30+B32)-C22-C33+SUM(C34:C42)+C47)-B53*(利润表!AG8*(1+G90)+C18-利润表!AG15*(1+B97)-利润表!AG8*(1+G90)*(B26+B28+B30+B32)-C22-C33+SUM(C34:C42)+C47-B50*(利润表!AG8*(1+G90)+C18-利润表!AG15*(1+B97)-利润表!AG8*(1+G90)*(B26+B28+B30+B32)-C22-C33+SUM(C34:C42)+C47))</f>
        <v>#VALUE!</v>
      </c>
      <c r="H97" s="176" t="e">
        <f>利润表!AG8*(1+H90)+C18-利润表!AG15*(1+B97)-利润表!AG8*(1+H90)*(B26+B28+B30+B32)-C22-C33+SUM(C34:C42)+C47-B50*(利润表!AG8*(1+H90)+C18-利润表!AG15*(1+B97)-利润表!AG8*(1+H90)*(B26+B28+B30+B32)-C22-C33+SUM(C34:C42)+C47)-B53*(利润表!AG8*(1+H90)+C18-利润表!AG15*(1+B97)-利润表!AG8*(1+H90)*(B26+B28+B30+B32)-C22-C33+SUM(C34:C42)+C47-B50*(利润表!AG8*(1+H90)+C18-利润表!AG15*(1+B97)-利润表!AG8*(1+H90)*(B26+B28+B30+B32)-C22-C33+SUM(C34:C42)+C47))</f>
        <v>#VALUE!</v>
      </c>
      <c r="I97" s="194" t="e">
        <f>利润表!AG8*(1+I90)+C18-利润表!AG15*(1+B97)-利润表!AG8*(1+I90)*(B26+B28+B30+B32)-C22-C33+SUM(C34:C42)+C47-B50*(利润表!AG8*(1+I90)+C18-利润表!AG15*(1+B97)-利润表!AG8*(1+I90)*(B26+B28+B30+B32)-C22-C33+SUM(C34:C42)+C47)-B53*(利润表!AG8*(1+I90)+C18-利润表!AG15*(1+B97)-利润表!AG8*(1+I90)*(B26+B28+B30+B32)-C22-C33+SUM(C34:C42)+C47-B50*(利润表!AG8*(1+I90)+C18-利润表!AG15*(1+B97)-利润表!AG8*(1+I90)*(B26+B28+B30+B32)-C22-C33+SUM(C34:C42)+C47))</f>
        <v>#VALUE!</v>
      </c>
      <c r="K97" s="1185"/>
      <c r="L97" s="197" t="e">
        <f>L96+$L$88</f>
        <v>#VALUE!</v>
      </c>
      <c r="M97" s="175" t="e">
        <f>C16*(1+M90)+F18-C20*(1+L97)-C16*(1+M90)*(E26+E28+E30+E32)-F22-F33+SUM(F34:F42)+F47-E50*(C16*(1+M90)+F18-C20*(1+L97)-C16*(1+M90)*(E26+E28+E30+E32)-F22-F33+SUM(F34:F42)+F47)-E53*(C16*(1+M90)+F18-C20*(1+L97)-C16*(1+M90)*(E26+E28+E30+E32)-F22-F33+SUM(F34:F42)+F47-E50*(C16*(1+M90)+F18-C20*(1+L97)-C16*(1+M90)*(E26+E28+E30+E32)-F22-F33+SUM(F34:F42)+F47))</f>
        <v>#VALUE!</v>
      </c>
      <c r="N97" s="176" t="e">
        <f>C16*(1+N90)+F18-C20*(1+L97)-C16*(1+N90)*(E26+E28+E30+E32)-F22-F33+SUM(F34:F42)+F47-E50*(C16*(1+N90)+F18-C20*(1+L97)-C16*(1+N90)*(E26+E28+E30+E32)-F22-F33+SUM(F34:F42)+F47)-E53*(C16*(1+N90)+F18-C20*(1+L97)-C16*(1+N90)*(E26+E28+E30+E32)-F22-F33+SUM(F34:F42)+F47-E50*(C16*(1+N90)+F18-C20*(1+L97)-C16*(1+N90)*(E26+E28+E30+E32)-F22-F33+SUM(F34:F42)+F47))</f>
        <v>#VALUE!</v>
      </c>
      <c r="O97" s="176" t="e">
        <f>C16*(1+O90)+F18-C20*(1+L97)-C16*(1+O90)*(E26+E28+E30+E32)-F22-F33+SUM(F34:F42)+F47-E50*(C16*(1+O90)+F18-C20*(1+L97)-C16*(1+O90)*(E26+E28+E30+E32)-F22-F33+SUM(F34:F42)+F47)-E53*(C16*(1+O90)+F18-C20*(1+L97)-C16*(1+O90)*(E26+E28+E30+E32)-F22-F33+SUM(F34:F42)+F47-E50*(C16*(1+O90)+F18-C20*(1+L97)-C16*(1+O90)*(E26+E28+E30+E32)-F22-F33+SUM(F34:F42)+F47))</f>
        <v>#VALUE!</v>
      </c>
      <c r="P97" s="176" t="e">
        <f>C16*(1+P90)+F18-C20*(1+L97)-C16*(1+P90)*(E26+E28+E30+E32)-F22-F33+SUM(F34:F42)+F47-E50*(C16*(1+P90)+F18-C20*(1+L97)-C16*(1+P90)*(E26+E28+E30+E32)-F22-F33+SUM(F34:F42)+F47)-E53*(C16*(1+P90)+F18-C20*(1+L97)-C16*(1+P90)*(E26+E28+E30+E32)-F22-F33+SUM(F34:F42)+F47-E50*(C16*(1+P90)+F18-C20*(1+L97)-C16*(1+P90)*(E26+E28+E30+E32)-F22-F33+SUM(F34:F42)+F47))</f>
        <v>#VALUE!</v>
      </c>
      <c r="Q97" s="176" t="e">
        <f>C16*(1+Q90)+F18-C20*(1+L97)-C16*(1+Q90)*(E26+E28+E30+E32)-F22-F33+SUM(F34:F42)+F47-E50*(C16*(1+Q90)+F18-C20*(1+L97)-C16*(1+Q90)*(E26+E28+E30+E32)-F22-F33+SUM(F34:F42)+F47)-E53*(C16*(1+Q90)+F18-C20*(1+L97)-C16*(1+Q90)*(E26+E28+E30+E32)-F22-F33+SUM(F34:F42)+F47-E50*(C16*(1+Q90)+F18-C20*(1+L97)-C16*(1+Q90)*(E26+E28+E30+E32)-F22-F33+SUM(F34:F42)+F47))</f>
        <v>#VALUE!</v>
      </c>
      <c r="R97" s="176" t="e">
        <f>C16*(1+R90)+F18-C20*(1+L97)-C16*(1+R90)*(E26+E28+E30+E32)-F22-F33+SUM(F34:F42)+F47-E50*(C16*(1+R90)+F18-C20*(1+L97)-C16*(1+R90)*(E26+E28+E30+E32)-F22-F33+SUM(F34:F42)+F47)-E53*(C16*(1+R90)+F18-C20*(1+L97)-C16*(1+R90)*(E26+E28+E30+E32)-F22-F33+SUM(F34:F42)+F47-E50*(C16*(1+R90)+F18-C20*(1+L97)-C16*(1+R90)*(E26+E28+E30+E32)-F22-F33+SUM(F34:F42)+F47))</f>
        <v>#VALUE!</v>
      </c>
      <c r="S97" s="194" t="e">
        <f>C16*(1+S90)+F18-C20*(1+L97)-C16*(1+S90)*(E26+E28+E30+E32)-F22-F33+SUM(F34:F42)+F47-E50*(C16*(1+S90)+F18-C20*(1+L97)-C16*(1+S90)*(E26+E28+E30+E32)-F22-F33+SUM(F34:F42)+F47)-E53*(C16*(1+S90)+F18-C20*(1+L97)-C16*(1+S90)*(E26+E28+E30+E32)-F22-F33+SUM(F34:F42)+F47-E50*(C16*(1+S90)+F18-C20*(1+L97)-C16*(1+S90)*(E26+E28+E30+E32)-F22-F33+SUM(F34:F42)+F47))</f>
        <v>#VALUE!</v>
      </c>
    </row>
    <row r="98" spans="1:19">
      <c r="A98" s="98"/>
      <c r="B98" s="92"/>
      <c r="C98" s="92"/>
      <c r="D98" s="98"/>
      <c r="E98" s="92"/>
      <c r="F98" s="92"/>
      <c r="G98" s="98"/>
      <c r="H98" s="92"/>
      <c r="I98" s="92"/>
      <c r="J98" s="98"/>
      <c r="K98" s="98"/>
      <c r="Q98" s="98"/>
      <c r="R98" s="98"/>
      <c r="S98" s="92"/>
    </row>
    <row r="99" spans="1:19">
      <c r="A99" s="98"/>
      <c r="B99" s="98"/>
      <c r="C99" s="98"/>
      <c r="D99" s="98"/>
      <c r="G99" s="98"/>
      <c r="H99" s="98"/>
      <c r="I99" s="98"/>
      <c r="J99" s="98"/>
      <c r="K99" s="98"/>
      <c r="Q99" s="98"/>
      <c r="R99" s="98"/>
      <c r="S99" s="92"/>
    </row>
    <row r="100" spans="1:19" ht="12.75">
      <c r="A100" s="98"/>
      <c r="B100" s="98"/>
      <c r="C100" s="98"/>
      <c r="D100" s="98"/>
      <c r="G100" s="98"/>
      <c r="H100" s="98"/>
      <c r="I100" s="98"/>
      <c r="J100" s="98"/>
      <c r="K100" s="98"/>
      <c r="L100" s="98"/>
      <c r="M100" s="98"/>
      <c r="O100" s="98"/>
      <c r="P100" s="98"/>
      <c r="Q100" s="98"/>
      <c r="R100" s="98"/>
      <c r="S100" s="92"/>
    </row>
    <row r="101" spans="1:19" s="94" customFormat="1" ht="12.75">
      <c r="S101" s="95"/>
    </row>
    <row r="102" spans="1:19" ht="23.25" customHeight="1">
      <c r="A102" s="99" t="s">
        <v>707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</row>
    <row r="103" spans="1:19" s="94" customFormat="1">
      <c r="A103" s="177" t="s">
        <v>708</v>
      </c>
      <c r="B103" s="178" t="str">
        <f>B2</f>
        <v>2024E</v>
      </c>
      <c r="C103" s="102">
        <f>D2</f>
        <v>2025</v>
      </c>
      <c r="D103" s="102">
        <f>F2</f>
        <v>2026</v>
      </c>
      <c r="E103" s="92"/>
      <c r="F103" s="92"/>
      <c r="G103" s="150"/>
      <c r="H103" s="150"/>
      <c r="I103" s="198"/>
      <c r="J103" s="198"/>
      <c r="K103" s="198"/>
      <c r="L103" s="198"/>
      <c r="M103" s="198"/>
      <c r="N103" s="92"/>
      <c r="O103" s="150"/>
      <c r="P103" s="198"/>
      <c r="Q103" s="198"/>
      <c r="R103" s="198"/>
      <c r="S103" s="95"/>
    </row>
    <row r="104" spans="1:19">
      <c r="A104" s="97" t="s">
        <v>709</v>
      </c>
      <c r="B104" s="179"/>
      <c r="C104" s="179"/>
      <c r="D104" s="179"/>
      <c r="G104" s="180"/>
      <c r="H104" s="180"/>
      <c r="I104" s="199"/>
      <c r="J104" s="199"/>
      <c r="K104" s="199"/>
      <c r="L104" s="199"/>
      <c r="M104" s="199"/>
      <c r="N104" s="95"/>
      <c r="O104" s="180"/>
      <c r="P104" s="199"/>
      <c r="Q104" s="199"/>
      <c r="R104" s="199"/>
      <c r="S104" s="92"/>
    </row>
    <row r="105" spans="1:19">
      <c r="A105" s="181" t="s">
        <v>710</v>
      </c>
      <c r="B105" s="182" t="str">
        <f>IF(ISERROR(B104/B16),"—",B104/B16)</f>
        <v>—</v>
      </c>
      <c r="C105" s="182" t="str">
        <f>IF(ISERROR(C104/E16),"—",C104/E16)</f>
        <v>—</v>
      </c>
      <c r="D105" s="182" t="str">
        <f>IF(ISERROR(D104/H16),"—",D104/H16)</f>
        <v>—</v>
      </c>
      <c r="E105" s="94"/>
      <c r="F105" s="94"/>
      <c r="G105" s="150"/>
      <c r="H105" s="150"/>
      <c r="I105" s="198"/>
      <c r="J105" s="198"/>
      <c r="K105" s="198"/>
      <c r="L105" s="198"/>
      <c r="M105" s="198"/>
      <c r="N105" s="92"/>
      <c r="O105" s="150"/>
      <c r="P105" s="198"/>
      <c r="Q105" s="198"/>
      <c r="R105" s="198"/>
      <c r="S105" s="92"/>
    </row>
    <row r="106" spans="1:19">
      <c r="A106" s="97" t="s">
        <v>711</v>
      </c>
      <c r="B106" s="179"/>
      <c r="C106" s="179"/>
      <c r="D106" s="179"/>
      <c r="G106" s="180"/>
      <c r="H106" s="180"/>
      <c r="I106" s="199"/>
      <c r="J106" s="199"/>
      <c r="K106" s="199"/>
      <c r="L106" s="199"/>
      <c r="M106" s="199"/>
      <c r="N106" s="95"/>
      <c r="O106" s="180"/>
      <c r="P106" s="199"/>
      <c r="Q106" s="199"/>
      <c r="R106" s="199"/>
      <c r="S106" s="92"/>
    </row>
    <row r="107" spans="1:19">
      <c r="A107" s="181" t="s">
        <v>710</v>
      </c>
      <c r="B107" s="182" t="str">
        <f>IF(ISERROR(B106/B20),"—",B106/B20)</f>
        <v>—</v>
      </c>
      <c r="C107" s="182" t="str">
        <f>IF(ISERROR(C106/E20),"—",C106/E20)</f>
        <v>—</v>
      </c>
      <c r="D107" s="182" t="str">
        <f>IF(ISERROR(D106/H20),"—",D106/H20)</f>
        <v>—</v>
      </c>
      <c r="E107" s="94"/>
      <c r="F107" s="94"/>
      <c r="G107" s="98"/>
      <c r="H107" s="98"/>
      <c r="I107" s="98"/>
      <c r="J107" s="98"/>
      <c r="K107" s="98"/>
      <c r="L107" s="155"/>
      <c r="M107" s="155"/>
      <c r="N107" s="92"/>
      <c r="O107" s="150"/>
      <c r="P107" s="30"/>
      <c r="Q107" s="30"/>
      <c r="R107" s="30"/>
    </row>
    <row r="108" spans="1:19">
      <c r="G108" s="98"/>
      <c r="H108" s="98"/>
      <c r="I108" s="98"/>
      <c r="J108" s="98"/>
      <c r="K108" s="98"/>
      <c r="L108" s="200"/>
      <c r="M108" s="92"/>
      <c r="N108" s="92"/>
      <c r="O108" s="112"/>
      <c r="P108" s="155"/>
      <c r="Q108" s="155"/>
      <c r="R108" s="155"/>
    </row>
    <row r="109" spans="1:19" ht="15.75">
      <c r="A109" s="183" t="s">
        <v>712</v>
      </c>
      <c r="B109" s="184"/>
      <c r="C109" s="184"/>
      <c r="D109" s="184"/>
      <c r="F109" s="183" t="s">
        <v>713</v>
      </c>
      <c r="G109" s="183"/>
      <c r="H109" s="185"/>
      <c r="I109" s="185"/>
      <c r="J109" s="184"/>
      <c r="K109" s="98"/>
      <c r="L109" s="183" t="s">
        <v>714</v>
      </c>
      <c r="M109" s="184"/>
      <c r="N109" s="184"/>
      <c r="O109" s="184"/>
      <c r="P109" s="98"/>
      <c r="Q109" s="98"/>
      <c r="R109" s="98"/>
    </row>
    <row r="110" spans="1:19" ht="15.75">
      <c r="A110" s="186"/>
      <c r="B110" s="187" t="str">
        <f>B103</f>
        <v>2024E</v>
      </c>
      <c r="C110" s="187">
        <f t="shared" ref="C110:D110" si="34">C103</f>
        <v>2025</v>
      </c>
      <c r="D110" s="187">
        <f t="shared" si="34"/>
        <v>2026</v>
      </c>
      <c r="F110" s="186"/>
      <c r="G110" s="187"/>
      <c r="H110" s="187" t="str">
        <f>B103</f>
        <v>2024E</v>
      </c>
      <c r="I110" s="187">
        <f>C103</f>
        <v>2025</v>
      </c>
      <c r="J110" s="187">
        <f>D103</f>
        <v>2026</v>
      </c>
      <c r="K110" s="98"/>
      <c r="L110" s="186"/>
      <c r="M110" s="187" t="str">
        <f>B103</f>
        <v>2024E</v>
      </c>
      <c r="N110" s="187">
        <f t="shared" ref="N110:O110" si="35">C103</f>
        <v>2025</v>
      </c>
      <c r="O110" s="187">
        <f t="shared" si="35"/>
        <v>2026</v>
      </c>
      <c r="P110" s="98"/>
      <c r="Q110" s="98"/>
      <c r="R110" s="98"/>
    </row>
    <row r="111" spans="1:19">
      <c r="A111" s="117" t="s">
        <v>715</v>
      </c>
      <c r="B111" s="106"/>
      <c r="C111" s="106"/>
      <c r="D111" s="106"/>
      <c r="F111" s="117" t="s">
        <v>716</v>
      </c>
      <c r="G111" s="117"/>
      <c r="H111" s="106"/>
      <c r="I111" s="106"/>
      <c r="J111" s="106"/>
      <c r="K111" s="98"/>
      <c r="L111" s="117" t="s">
        <v>717</v>
      </c>
      <c r="M111" s="106"/>
      <c r="N111" s="106"/>
      <c r="O111" s="106"/>
      <c r="P111" s="98"/>
      <c r="Q111" s="98"/>
      <c r="R111" s="98"/>
    </row>
    <row r="112" spans="1:19">
      <c r="A112" s="97" t="s">
        <v>62</v>
      </c>
      <c r="B112" s="188" t="e">
        <f>(1+B111*B105)*B16</f>
        <v>#VALUE!</v>
      </c>
      <c r="C112" s="188" t="e">
        <f>(1+C111*C105)*E16</f>
        <v>#VALUE!</v>
      </c>
      <c r="D112" s="188" t="e">
        <f>(1+D111*D105)*H16</f>
        <v>#VALUE!</v>
      </c>
      <c r="F112" s="97" t="s">
        <v>62</v>
      </c>
      <c r="H112" s="188" t="e">
        <f>(1+H111*B105)*B16</f>
        <v>#VALUE!</v>
      </c>
      <c r="I112" s="188" t="e">
        <f>(1+I111*C105)*E16</f>
        <v>#VALUE!</v>
      </c>
      <c r="J112" s="188" t="e">
        <f>(1+J111*D105)*H16</f>
        <v>#VALUE!</v>
      </c>
      <c r="K112" s="98"/>
      <c r="L112" s="117" t="s">
        <v>718</v>
      </c>
      <c r="M112" s="106"/>
      <c r="N112" s="106"/>
      <c r="O112" s="106"/>
      <c r="P112" s="98"/>
      <c r="Q112" s="98"/>
      <c r="R112" s="98"/>
    </row>
    <row r="113" spans="1:19">
      <c r="A113" s="181" t="s">
        <v>719</v>
      </c>
      <c r="B113" s="182" t="e">
        <f>B111*B105</f>
        <v>#VALUE!</v>
      </c>
      <c r="C113" s="182" t="e">
        <f>C111*C105</f>
        <v>#VALUE!</v>
      </c>
      <c r="D113" s="182" t="e">
        <f>D111*D105</f>
        <v>#VALUE!</v>
      </c>
      <c r="E113" s="94"/>
      <c r="F113" s="181" t="s">
        <v>719</v>
      </c>
      <c r="G113" s="181"/>
      <c r="H113" s="182" t="e">
        <f>H111*B105</f>
        <v>#VALUE!</v>
      </c>
      <c r="I113" s="182" t="e">
        <f>I111*C105</f>
        <v>#VALUE!</v>
      </c>
      <c r="J113" s="182" t="e">
        <f>J111*D105</f>
        <v>#VALUE!</v>
      </c>
      <c r="K113" s="98"/>
      <c r="L113" s="117" t="s">
        <v>64</v>
      </c>
      <c r="M113" s="188" t="e">
        <f>(1+M111*M112*B107)*B20</f>
        <v>#VALUE!</v>
      </c>
      <c r="N113" s="188" t="e">
        <f>(1+N111*N112*C107)*E20</f>
        <v>#VALUE!</v>
      </c>
      <c r="O113" s="188" t="e">
        <f>(1+O111*O112*D107)*H20</f>
        <v>#VALUE!</v>
      </c>
      <c r="P113" s="98"/>
      <c r="Q113" s="98"/>
      <c r="R113" s="98"/>
    </row>
    <row r="114" spans="1:19">
      <c r="A114" s="97" t="s">
        <v>65</v>
      </c>
      <c r="B114" s="188" t="e">
        <f>B113*B16+B23</f>
        <v>#VALUE!</v>
      </c>
      <c r="C114" s="188" t="e">
        <f>C113*E16+E23</f>
        <v>#VALUE!</v>
      </c>
      <c r="D114" s="188" t="e">
        <f>D113*H16+H23</f>
        <v>#VALUE!</v>
      </c>
      <c r="F114" s="117" t="s">
        <v>64</v>
      </c>
      <c r="G114" s="117"/>
      <c r="H114" s="188" t="e">
        <f>(1+H111*B107)*B20</f>
        <v>#VALUE!</v>
      </c>
      <c r="I114" s="188" t="e">
        <f>(1+I111*C107)*E20</f>
        <v>#VALUE!</v>
      </c>
      <c r="J114" s="188" t="e">
        <f>(1+J111*D107)*H20</f>
        <v>#VALUE!</v>
      </c>
      <c r="K114" s="98"/>
      <c r="L114" s="181" t="s">
        <v>720</v>
      </c>
      <c r="M114" s="182" t="e">
        <f>M111*M112*B107</f>
        <v>#VALUE!</v>
      </c>
      <c r="N114" s="182" t="e">
        <f>N111*N112*C107</f>
        <v>#VALUE!</v>
      </c>
      <c r="O114" s="182" t="e">
        <f>O111*O112*D107</f>
        <v>#VALUE!</v>
      </c>
      <c r="P114" s="98"/>
      <c r="Q114" s="98"/>
      <c r="R114" s="98"/>
    </row>
    <row r="115" spans="1:19">
      <c r="A115" s="181" t="s">
        <v>721</v>
      </c>
      <c r="B115" s="182" t="e">
        <f>B113*B16/B23</f>
        <v>#VALUE!</v>
      </c>
      <c r="C115" s="182" t="e">
        <f>C113*E16/E23</f>
        <v>#VALUE!</v>
      </c>
      <c r="D115" s="182" t="e">
        <f>D113*H16/H23</f>
        <v>#VALUE!</v>
      </c>
      <c r="E115" s="94"/>
      <c r="F115" s="181" t="s">
        <v>720</v>
      </c>
      <c r="G115" s="181"/>
      <c r="H115" s="182" t="e">
        <f>H111*B107</f>
        <v>#VALUE!</v>
      </c>
      <c r="I115" s="182" t="e">
        <f>I111*C107</f>
        <v>#VALUE!</v>
      </c>
      <c r="J115" s="182" t="e">
        <f>J111*D107</f>
        <v>#VALUE!</v>
      </c>
      <c r="K115" s="98"/>
      <c r="L115" s="97" t="s">
        <v>65</v>
      </c>
      <c r="M115" s="188" t="e">
        <f>B23-B20*M114</f>
        <v>#VALUE!</v>
      </c>
      <c r="N115" s="188" t="e">
        <f>E23-E20*N114</f>
        <v>#VALUE!</v>
      </c>
      <c r="O115" s="188" t="e">
        <f>H23-H20*O114</f>
        <v>#VALUE!</v>
      </c>
      <c r="P115" s="98"/>
      <c r="Q115" s="98"/>
      <c r="R115" s="98"/>
    </row>
    <row r="116" spans="1:19">
      <c r="A116" s="97" t="s">
        <v>66</v>
      </c>
      <c r="B116" s="105" t="e">
        <f>B114/B112</f>
        <v>#VALUE!</v>
      </c>
      <c r="C116" s="105" t="e">
        <f>C114/C112</f>
        <v>#VALUE!</v>
      </c>
      <c r="D116" s="105" t="e">
        <f>D114/D112</f>
        <v>#VALUE!</v>
      </c>
      <c r="F116" s="97" t="s">
        <v>65</v>
      </c>
      <c r="H116" s="188" t="e">
        <f>H112-H114</f>
        <v>#VALUE!</v>
      </c>
      <c r="I116" s="188" t="e">
        <f>I112-I114</f>
        <v>#VALUE!</v>
      </c>
      <c r="J116" s="188" t="e">
        <f>J112-J114</f>
        <v>#VALUE!</v>
      </c>
      <c r="K116" s="98"/>
      <c r="L116" s="181" t="s">
        <v>721</v>
      </c>
      <c r="M116" s="182" t="e">
        <f>(M115-B23)/ABS(B23)</f>
        <v>#VALUE!</v>
      </c>
      <c r="N116" s="182" t="e">
        <f>(N115-E23)/ABS(E23)</f>
        <v>#VALUE!</v>
      </c>
      <c r="O116" s="182" t="e">
        <f>(O115-H23)/ABS(H23)</f>
        <v>#VALUE!</v>
      </c>
      <c r="P116" s="98"/>
      <c r="Q116" s="98"/>
      <c r="R116" s="98"/>
    </row>
    <row r="117" spans="1:19">
      <c r="A117" s="181" t="s">
        <v>722</v>
      </c>
      <c r="B117" s="182" t="e">
        <f>(B116-B24)/ABS(B24)</f>
        <v>#VALUE!</v>
      </c>
      <c r="C117" s="182" t="e">
        <f>(C116-E24)/ABS(E24)</f>
        <v>#VALUE!</v>
      </c>
      <c r="D117" s="182" t="e">
        <f>(D116-H24)/ABS(H24)</f>
        <v>#VALUE!</v>
      </c>
      <c r="E117" s="94"/>
      <c r="F117" s="181" t="s">
        <v>721</v>
      </c>
      <c r="G117" s="181"/>
      <c r="H117" s="182" t="e">
        <f>(H116-B23)/ABS(B23)</f>
        <v>#VALUE!</v>
      </c>
      <c r="I117" s="182" t="e">
        <f>(I116-E23)/ABS(E23)</f>
        <v>#VALUE!</v>
      </c>
      <c r="J117" s="182" t="e">
        <f>(J116-H23)/ABS(H23)</f>
        <v>#VALUE!</v>
      </c>
      <c r="K117" s="98"/>
      <c r="L117" s="97" t="s">
        <v>66</v>
      </c>
      <c r="M117" s="105" t="e">
        <f>M115/B16</f>
        <v>#VALUE!</v>
      </c>
      <c r="N117" s="105" t="e">
        <f>N115/E16</f>
        <v>#VALUE!</v>
      </c>
      <c r="O117" s="105" t="e">
        <f>O115/H16</f>
        <v>#VALUE!</v>
      </c>
      <c r="P117" s="98"/>
      <c r="Q117" s="98"/>
      <c r="R117" s="98"/>
    </row>
    <row r="118" spans="1:19">
      <c r="B118" s="189"/>
      <c r="C118" s="189"/>
      <c r="D118" s="189"/>
      <c r="F118" s="97" t="s">
        <v>66</v>
      </c>
      <c r="H118" s="105" t="e">
        <f>H116/H112</f>
        <v>#VALUE!</v>
      </c>
      <c r="I118" s="105" t="e">
        <f>I116/I112</f>
        <v>#VALUE!</v>
      </c>
      <c r="J118" s="105" t="e">
        <f>J116/J112</f>
        <v>#VALUE!</v>
      </c>
      <c r="K118" s="98"/>
      <c r="L118" s="181" t="s">
        <v>722</v>
      </c>
      <c r="M118" s="182" t="e">
        <f>(M117-B24)/ABS(B24)</f>
        <v>#VALUE!</v>
      </c>
      <c r="N118" s="182" t="e">
        <f>(N117-E24)/ABS(E24)</f>
        <v>#VALUE!</v>
      </c>
      <c r="O118" s="182" t="e">
        <f>(O117-H24)/ABS(H24)</f>
        <v>#VALUE!</v>
      </c>
      <c r="P118" s="98"/>
      <c r="Q118" s="98"/>
      <c r="R118" s="98"/>
    </row>
    <row r="119" spans="1:19">
      <c r="F119" s="181" t="s">
        <v>722</v>
      </c>
      <c r="G119" s="181"/>
      <c r="H119" s="182" t="e">
        <f>(H118-B24)/ABS(B24)</f>
        <v>#VALUE!</v>
      </c>
      <c r="I119" s="182" t="e">
        <f>(I118-E24)/ABS(E24)</f>
        <v>#VALUE!</v>
      </c>
      <c r="J119" s="182" t="e">
        <f>(J118-H24)/ABS(H24)</f>
        <v>#VALUE!</v>
      </c>
      <c r="K119" s="201"/>
      <c r="L119" s="201"/>
      <c r="M119" s="201"/>
      <c r="O119" s="130"/>
      <c r="P119" s="201"/>
      <c r="Q119" s="201"/>
      <c r="R119" s="201"/>
    </row>
    <row r="120" spans="1:19">
      <c r="G120" s="104"/>
      <c r="H120" s="104"/>
      <c r="I120" s="202"/>
      <c r="J120" s="202"/>
      <c r="K120" s="118"/>
      <c r="L120" s="118"/>
      <c r="M120" s="118"/>
      <c r="N120" s="92"/>
      <c r="O120" s="130"/>
      <c r="P120" s="118"/>
      <c r="Q120" s="118"/>
      <c r="R120" s="118"/>
      <c r="S120" s="92"/>
    </row>
    <row r="121" spans="1:19">
      <c r="G121" s="104"/>
      <c r="H121" s="104"/>
      <c r="I121" s="203"/>
      <c r="J121" s="203"/>
      <c r="K121" s="199"/>
      <c r="L121" s="199"/>
      <c r="M121" s="199"/>
      <c r="N121" s="92"/>
      <c r="O121" s="180"/>
      <c r="P121" s="199"/>
      <c r="Q121" s="199"/>
      <c r="R121" s="199"/>
      <c r="S121" s="92"/>
    </row>
    <row r="122" spans="1:19">
      <c r="A122" s="94"/>
      <c r="B122" s="94"/>
      <c r="C122" s="94"/>
      <c r="D122" s="94"/>
      <c r="G122" s="104"/>
      <c r="H122" s="104"/>
      <c r="I122" s="202"/>
      <c r="J122" s="202"/>
      <c r="K122" s="118"/>
      <c r="L122" s="118"/>
      <c r="M122" s="118"/>
      <c r="N122" s="92"/>
      <c r="O122" s="150"/>
      <c r="P122" s="118"/>
      <c r="Q122" s="118"/>
      <c r="R122" s="118"/>
      <c r="S122" s="92"/>
    </row>
    <row r="123" spans="1:19">
      <c r="G123" s="104"/>
      <c r="H123" s="104"/>
      <c r="I123" s="203"/>
      <c r="J123" s="203"/>
      <c r="K123" s="199"/>
      <c r="L123" s="199"/>
      <c r="M123" s="199"/>
      <c r="N123" s="95"/>
      <c r="O123" s="180"/>
      <c r="P123" s="199"/>
      <c r="Q123" s="199"/>
      <c r="R123" s="199"/>
      <c r="S123" s="92"/>
    </row>
    <row r="124" spans="1:19" s="94" customFormat="1">
      <c r="G124" s="104"/>
      <c r="H124" s="104"/>
      <c r="I124" s="202"/>
      <c r="J124" s="202"/>
      <c r="K124" s="118"/>
      <c r="L124" s="118"/>
      <c r="M124" s="118"/>
      <c r="N124" s="92"/>
      <c r="O124" s="150"/>
      <c r="P124" s="118"/>
      <c r="Q124" s="118"/>
      <c r="R124" s="118"/>
      <c r="S124" s="95"/>
    </row>
    <row r="125" spans="1:19">
      <c r="G125" s="104"/>
      <c r="H125" s="104"/>
      <c r="I125" s="203"/>
      <c r="J125" s="203"/>
      <c r="K125" s="199"/>
      <c r="L125" s="199"/>
      <c r="M125" s="199"/>
      <c r="N125" s="95"/>
      <c r="O125" s="180"/>
      <c r="P125" s="199"/>
      <c r="Q125" s="199"/>
      <c r="R125" s="199"/>
      <c r="S125" s="92"/>
    </row>
    <row r="126" spans="1:19" s="94" customFormat="1">
      <c r="G126" s="150"/>
      <c r="H126" s="150"/>
      <c r="I126" s="120"/>
      <c r="J126" s="120"/>
      <c r="K126" s="120"/>
      <c r="L126" s="120"/>
      <c r="M126" s="120"/>
      <c r="N126" s="92"/>
      <c r="O126" s="150"/>
      <c r="P126" s="120"/>
      <c r="Q126" s="120"/>
      <c r="R126" s="120"/>
      <c r="S126" s="95"/>
    </row>
    <row r="127" spans="1:19">
      <c r="A127" s="150"/>
      <c r="B127" s="30"/>
      <c r="C127" s="30"/>
      <c r="D127" s="30"/>
      <c r="G127" s="180"/>
      <c r="H127" s="180"/>
      <c r="I127" s="199"/>
      <c r="J127" s="199"/>
      <c r="K127" s="199"/>
      <c r="L127" s="199"/>
      <c r="M127" s="199"/>
      <c r="N127" s="95"/>
      <c r="O127" s="180"/>
      <c r="P127" s="199"/>
      <c r="Q127" s="199"/>
      <c r="R127" s="199"/>
      <c r="S127" s="92"/>
    </row>
    <row r="128" spans="1:19" s="94" customFormat="1">
      <c r="A128" s="95"/>
      <c r="B128" s="95"/>
      <c r="C128" s="95"/>
      <c r="D128" s="95"/>
      <c r="G128" s="150"/>
      <c r="H128" s="150"/>
      <c r="I128" s="200"/>
      <c r="J128" s="200"/>
      <c r="K128" s="200"/>
      <c r="L128" s="200"/>
      <c r="M128" s="200"/>
      <c r="N128" s="92"/>
      <c r="O128" s="150"/>
      <c r="P128" s="200"/>
      <c r="Q128" s="200"/>
      <c r="R128" s="200"/>
      <c r="S128" s="95"/>
    </row>
    <row r="129" spans="1:18" s="92" customFormat="1">
      <c r="A129" s="150"/>
      <c r="B129" s="200"/>
      <c r="C129" s="200"/>
      <c r="D129" s="200"/>
      <c r="G129" s="130"/>
      <c r="H129" s="130"/>
      <c r="I129" s="201"/>
      <c r="J129" s="201"/>
      <c r="K129" s="201"/>
      <c r="L129" s="201"/>
      <c r="M129" s="201"/>
      <c r="N129" s="95"/>
      <c r="O129" s="130"/>
      <c r="P129" s="201"/>
      <c r="Q129" s="201"/>
      <c r="R129" s="201"/>
    </row>
    <row r="130" spans="1:18" s="95" customFormat="1">
      <c r="A130" s="130"/>
      <c r="B130" s="201"/>
      <c r="C130" s="201"/>
      <c r="D130" s="201"/>
      <c r="G130" s="130"/>
      <c r="H130" s="130"/>
      <c r="I130" s="201"/>
      <c r="J130" s="201"/>
      <c r="K130" s="201"/>
      <c r="L130" s="201"/>
      <c r="M130" s="201"/>
      <c r="N130" s="92"/>
      <c r="O130" s="130"/>
      <c r="P130" s="201"/>
      <c r="Q130" s="201"/>
      <c r="R130" s="201"/>
    </row>
    <row r="131" spans="1:18" s="92" customFormat="1">
      <c r="A131" s="130"/>
      <c r="B131" s="201"/>
      <c r="C131" s="201"/>
      <c r="D131" s="201"/>
      <c r="G131" s="130"/>
      <c r="H131" s="130"/>
      <c r="I131" s="118"/>
      <c r="J131" s="118"/>
      <c r="K131" s="118"/>
      <c r="L131" s="118"/>
      <c r="M131" s="118"/>
      <c r="O131" s="130"/>
      <c r="P131" s="118"/>
      <c r="Q131" s="118"/>
      <c r="R131" s="118"/>
    </row>
    <row r="132" spans="1:18" s="92" customFormat="1">
      <c r="A132" s="130"/>
      <c r="B132" s="118"/>
      <c r="C132" s="118"/>
      <c r="D132" s="118"/>
      <c r="G132" s="180"/>
      <c r="H132" s="180"/>
      <c r="I132" s="199"/>
      <c r="J132" s="199"/>
      <c r="K132" s="199"/>
      <c r="L132" s="199"/>
      <c r="M132" s="199"/>
      <c r="O132" s="180"/>
      <c r="P132" s="199"/>
      <c r="Q132" s="199"/>
      <c r="R132" s="199"/>
    </row>
    <row r="133" spans="1:18" s="92" customFormat="1">
      <c r="A133" s="180"/>
      <c r="B133" s="199"/>
      <c r="C133" s="199"/>
      <c r="D133" s="199"/>
      <c r="G133" s="150"/>
      <c r="H133" s="150"/>
      <c r="I133" s="118"/>
      <c r="J133" s="118"/>
      <c r="K133" s="118"/>
      <c r="L133" s="118"/>
      <c r="M133" s="118"/>
      <c r="O133" s="150"/>
      <c r="P133" s="118"/>
      <c r="Q133" s="118"/>
      <c r="R133" s="118"/>
    </row>
    <row r="134" spans="1:18" s="92" customFormat="1">
      <c r="A134" s="150"/>
      <c r="B134" s="118"/>
      <c r="C134" s="118"/>
      <c r="D134" s="118"/>
      <c r="G134" s="180"/>
      <c r="H134" s="180"/>
      <c r="I134" s="199"/>
      <c r="J134" s="199"/>
      <c r="K134" s="199"/>
      <c r="L134" s="199"/>
      <c r="M134" s="199"/>
      <c r="N134" s="95"/>
      <c r="O134" s="180"/>
      <c r="P134" s="199"/>
      <c r="Q134" s="199"/>
      <c r="R134" s="199"/>
    </row>
    <row r="135" spans="1:18" s="95" customFormat="1">
      <c r="A135" s="180"/>
      <c r="B135" s="199"/>
      <c r="C135" s="199"/>
      <c r="D135" s="199"/>
      <c r="G135" s="150"/>
      <c r="H135" s="150"/>
      <c r="I135" s="118"/>
      <c r="J135" s="118"/>
      <c r="K135" s="118"/>
      <c r="L135" s="118"/>
      <c r="M135" s="118"/>
      <c r="N135" s="92"/>
      <c r="O135" s="150"/>
      <c r="P135" s="118"/>
      <c r="Q135" s="118"/>
      <c r="R135" s="118"/>
    </row>
    <row r="136" spans="1:18" s="92" customFormat="1">
      <c r="A136" s="150"/>
      <c r="B136" s="118"/>
      <c r="C136" s="118"/>
      <c r="D136" s="118"/>
      <c r="G136" s="180"/>
      <c r="H136" s="180"/>
      <c r="I136" s="199"/>
      <c r="J136" s="199"/>
      <c r="K136" s="199"/>
      <c r="L136" s="199"/>
      <c r="M136" s="199"/>
      <c r="N136" s="95"/>
      <c r="O136" s="180"/>
      <c r="P136" s="199"/>
      <c r="Q136" s="199"/>
      <c r="R136" s="199"/>
    </row>
    <row r="137" spans="1:18" s="95" customFormat="1">
      <c r="A137" s="180"/>
      <c r="B137" s="199"/>
      <c r="C137" s="199"/>
      <c r="D137" s="199"/>
      <c r="G137" s="150"/>
      <c r="H137" s="150"/>
      <c r="I137" s="120"/>
      <c r="J137" s="120"/>
      <c r="K137" s="120"/>
      <c r="L137" s="120"/>
      <c r="M137" s="120"/>
      <c r="N137" s="92"/>
      <c r="O137" s="150"/>
      <c r="P137" s="120"/>
      <c r="Q137" s="120"/>
      <c r="R137" s="120"/>
    </row>
    <row r="138" spans="1:18" s="92" customFormat="1">
      <c r="A138" s="150"/>
      <c r="B138" s="120"/>
      <c r="C138" s="120"/>
      <c r="D138" s="120"/>
      <c r="G138" s="180"/>
      <c r="H138" s="180"/>
      <c r="I138" s="199"/>
      <c r="J138" s="199"/>
      <c r="K138" s="199"/>
      <c r="L138" s="199"/>
      <c r="M138" s="199"/>
      <c r="N138" s="95"/>
      <c r="O138" s="180"/>
      <c r="P138" s="199"/>
      <c r="Q138" s="199"/>
      <c r="R138" s="199"/>
    </row>
    <row r="139" spans="1:18" s="95" customFormat="1">
      <c r="A139" s="180"/>
      <c r="B139" s="199"/>
      <c r="C139" s="199"/>
      <c r="D139" s="199"/>
      <c r="G139" s="150"/>
      <c r="H139" s="150"/>
      <c r="I139" s="30"/>
      <c r="J139" s="30"/>
      <c r="K139" s="30"/>
      <c r="L139" s="30"/>
      <c r="M139" s="30"/>
      <c r="N139" s="92"/>
      <c r="O139" s="150"/>
      <c r="P139" s="30"/>
      <c r="Q139" s="30"/>
      <c r="R139" s="30"/>
    </row>
    <row r="140" spans="1:18" s="92" customFormat="1">
      <c r="A140" s="150"/>
      <c r="B140" s="30"/>
      <c r="C140" s="30"/>
      <c r="D140" s="30"/>
      <c r="G140" s="150"/>
      <c r="H140" s="150"/>
      <c r="I140" s="30"/>
      <c r="J140" s="30"/>
      <c r="K140" s="205"/>
      <c r="L140" s="205"/>
      <c r="M140" s="205"/>
      <c r="N140" s="95"/>
      <c r="O140" s="150"/>
      <c r="P140" s="30"/>
      <c r="Q140" s="30"/>
      <c r="R140" s="30"/>
    </row>
    <row r="141" spans="1:18" s="95" customFormat="1">
      <c r="A141" s="150"/>
      <c r="B141" s="30"/>
      <c r="C141" s="30"/>
      <c r="D141" s="30"/>
      <c r="G141" s="150"/>
      <c r="H141" s="150"/>
      <c r="I141" s="205"/>
      <c r="J141" s="205"/>
      <c r="K141" s="30"/>
      <c r="L141" s="30"/>
      <c r="M141" s="30"/>
      <c r="N141" s="92"/>
      <c r="O141" s="150"/>
      <c r="P141" s="205"/>
      <c r="Q141" s="205"/>
      <c r="R141" s="205"/>
    </row>
    <row r="142" spans="1:18" s="92" customFormat="1">
      <c r="A142" s="150"/>
      <c r="B142" s="205"/>
      <c r="C142" s="205"/>
      <c r="D142" s="205"/>
      <c r="G142" s="150"/>
      <c r="H142" s="150"/>
      <c r="I142" s="30"/>
      <c r="J142" s="30"/>
      <c r="K142" s="205"/>
      <c r="L142" s="205"/>
      <c r="M142" s="205"/>
      <c r="O142" s="150"/>
      <c r="P142" s="30"/>
      <c r="Q142" s="30"/>
      <c r="R142" s="30"/>
    </row>
    <row r="143" spans="1:18" s="92" customFormat="1">
      <c r="A143" s="150"/>
      <c r="B143" s="30"/>
      <c r="C143" s="30"/>
      <c r="D143" s="30"/>
      <c r="G143" s="150"/>
      <c r="H143" s="150"/>
      <c r="I143" s="205"/>
      <c r="J143" s="205"/>
      <c r="K143" s="30"/>
      <c r="L143" s="30"/>
      <c r="M143" s="30"/>
      <c r="O143" s="150"/>
      <c r="P143" s="205"/>
      <c r="Q143" s="205"/>
      <c r="R143" s="205"/>
    </row>
    <row r="144" spans="1:18" s="92" customFormat="1">
      <c r="A144" s="150"/>
      <c r="B144" s="205"/>
      <c r="C144" s="205"/>
      <c r="D144" s="205"/>
      <c r="G144" s="97"/>
      <c r="H144" s="97"/>
      <c r="I144" s="96"/>
      <c r="J144" s="96"/>
      <c r="K144" s="206"/>
      <c r="L144" s="206"/>
      <c r="M144" s="206"/>
      <c r="O144" s="150"/>
      <c r="P144" s="30"/>
      <c r="Q144" s="30"/>
      <c r="R144" s="30"/>
    </row>
    <row r="145" spans="1:19" s="92" customFormat="1">
      <c r="A145" s="97"/>
      <c r="B145" s="96"/>
      <c r="C145" s="96"/>
      <c r="D145" s="96"/>
      <c r="G145" s="97"/>
      <c r="H145" s="97"/>
      <c r="I145" s="206"/>
      <c r="J145" s="206"/>
      <c r="K145" s="96"/>
      <c r="L145" s="96"/>
      <c r="M145" s="96"/>
      <c r="O145" s="97"/>
      <c r="P145" s="206"/>
      <c r="Q145" s="206"/>
      <c r="R145" s="206"/>
    </row>
    <row r="146" spans="1:19" s="92" customFormat="1">
      <c r="A146" s="97"/>
      <c r="B146" s="206"/>
      <c r="C146" s="206"/>
      <c r="D146" s="206"/>
      <c r="G146" s="97"/>
      <c r="H146" s="97"/>
      <c r="I146" s="96"/>
      <c r="J146" s="96"/>
      <c r="K146" s="96"/>
      <c r="L146" s="96"/>
      <c r="M146" s="96"/>
      <c r="O146" s="97"/>
      <c r="P146" s="96"/>
      <c r="Q146" s="96"/>
      <c r="R146" s="96"/>
    </row>
    <row r="148" spans="1:19" s="96" customFormat="1">
      <c r="A148" s="97"/>
      <c r="E148" s="98"/>
      <c r="F148" s="98"/>
      <c r="G148" s="97"/>
      <c r="H148" s="97"/>
      <c r="N148" s="98"/>
      <c r="O148" s="97"/>
      <c r="S148" s="98"/>
    </row>
  </sheetData>
  <mergeCells count="16">
    <mergeCell ref="A91:A97"/>
    <mergeCell ref="K65:K71"/>
    <mergeCell ref="K79:K85"/>
    <mergeCell ref="K91:K97"/>
    <mergeCell ref="C77:I77"/>
    <mergeCell ref="M77:S77"/>
    <mergeCell ref="C89:I89"/>
    <mergeCell ref="M89:S89"/>
    <mergeCell ref="A13:A14"/>
    <mergeCell ref="A65:A71"/>
    <mergeCell ref="A79:A85"/>
    <mergeCell ref="B13:D13"/>
    <mergeCell ref="E13:G13"/>
    <mergeCell ref="H13:J13"/>
    <mergeCell ref="C63:I63"/>
    <mergeCell ref="M63:S63"/>
  </mergeCells>
  <phoneticPr fontId="140" type="noConversion"/>
  <dataValidations count="1">
    <dataValidation type="list" allowBlank="1" showInputMessage="1" showErrorMessage="1" sqref="C89:I89 M89:S89 A91:A97 K91:K97" xr:uid="{00000000-0002-0000-0E00-000000000000}">
      <formula1>$A$3:$A$10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60"/>
  <sheetViews>
    <sheetView workbookViewId="0">
      <pane xSplit="2" ySplit="2" topLeftCell="K3" activePane="bottomRight" state="frozen"/>
      <selection pane="topRight"/>
      <selection pane="bottomLeft"/>
      <selection pane="bottomRight" activeCell="Q1" sqref="Q1"/>
    </sheetView>
  </sheetViews>
  <sheetFormatPr defaultColWidth="9" defaultRowHeight="14.25"/>
  <cols>
    <col min="1" max="1" width="2.75" style="53" customWidth="1"/>
    <col min="2" max="2" width="24" style="53" customWidth="1"/>
    <col min="3" max="10" width="12.875" style="53" customWidth="1"/>
    <col min="11" max="30" width="11.625" style="53" customWidth="1"/>
    <col min="31" max="31" width="18.5" style="53" customWidth="1"/>
    <col min="32" max="16384" width="9" style="53"/>
  </cols>
  <sheetData>
    <row r="1" spans="1:31" ht="22.5" customHeight="1">
      <c r="A1" s="54"/>
      <c r="B1" s="55" t="s">
        <v>723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073" t="s">
        <v>1262</v>
      </c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54"/>
    </row>
    <row r="2" spans="1:31" ht="18" customHeight="1">
      <c r="A2" s="57"/>
      <c r="B2" s="58"/>
      <c r="C2" s="59" t="str">
        <f>"1Q"&amp;利润表!U4</f>
        <v>1Q2020</v>
      </c>
      <c r="D2" s="59" t="str">
        <f>"2Q"&amp;利润表!U4</f>
        <v>2Q2020</v>
      </c>
      <c r="E2" s="59" t="str">
        <f>"3Q"&amp;利润表!U4</f>
        <v>3Q2020</v>
      </c>
      <c r="F2" s="59" t="str">
        <f>"4Q"&amp;利润表!U4</f>
        <v>4Q2020</v>
      </c>
      <c r="G2" s="59" t="str">
        <f>"1Q"&amp;利润表!Y4</f>
        <v>1Q2021</v>
      </c>
      <c r="H2" s="59" t="str">
        <f>"2Q"&amp;利润表!Y4</f>
        <v>2Q2021</v>
      </c>
      <c r="I2" s="59" t="str">
        <f>"3Q"&amp;利润表!Y4</f>
        <v>3Q2021</v>
      </c>
      <c r="J2" s="59" t="str">
        <f>"4Q"&amp;利润表!Y4</f>
        <v>4Q2021</v>
      </c>
      <c r="K2" s="59" t="str">
        <f>"1Q"&amp;利润表!AC4</f>
        <v>1Q2022</v>
      </c>
      <c r="L2" s="59" t="str">
        <f>"2Q"&amp;利润表!AC4</f>
        <v>2Q2022</v>
      </c>
      <c r="M2" s="59" t="str">
        <f>"3Q"&amp;利润表!AC4</f>
        <v>3Q2022</v>
      </c>
      <c r="N2" s="59" t="str">
        <f>"4Q"&amp;利润表!AC4</f>
        <v>4Q2022</v>
      </c>
      <c r="O2" s="59" t="str">
        <f>"1Q"&amp;利润表!AG4</f>
        <v>1Q2023</v>
      </c>
      <c r="P2" s="59" t="str">
        <f>"2Q"&amp;利润表!AG4</f>
        <v>2Q2023</v>
      </c>
      <c r="Q2" s="59" t="str">
        <f>"3Q"&amp;利润表!AG4</f>
        <v>3Q2023</v>
      </c>
      <c r="R2" s="59" t="str">
        <f>"4Q"&amp;利润表!AG4</f>
        <v>4Q2023</v>
      </c>
      <c r="S2" s="83" t="str">
        <f>销售预测!AL4</f>
        <v>1Q2024</v>
      </c>
      <c r="T2" s="84" t="str">
        <f>销售预测!AM4</f>
        <v>2Q2024</v>
      </c>
      <c r="U2" s="84" t="str">
        <f>销售预测!AN4</f>
        <v>3Q2024</v>
      </c>
      <c r="V2" s="83" t="str">
        <f>销售预测!AO4</f>
        <v>4Q2024</v>
      </c>
      <c r="W2" s="84" t="str">
        <f>销售预测!AP4</f>
        <v>1Q2025</v>
      </c>
      <c r="X2" s="84" t="str">
        <f>销售预测!AQ4</f>
        <v>2Q2025</v>
      </c>
      <c r="Y2" s="83" t="str">
        <f>销售预测!AR4</f>
        <v>3Q2025</v>
      </c>
      <c r="Z2" s="84" t="str">
        <f>销售预测!AS4</f>
        <v>4Q2025</v>
      </c>
      <c r="AA2" s="84" t="str">
        <f>销售预测!AT4</f>
        <v>1Q2026</v>
      </c>
      <c r="AB2" s="83" t="str">
        <f>销售预测!AU4</f>
        <v>2Q2026</v>
      </c>
      <c r="AC2" s="84" t="str">
        <f>销售预测!AV4</f>
        <v>3Q2026</v>
      </c>
      <c r="AD2" s="84" t="str">
        <f>销售预测!AW4</f>
        <v>4Q2026</v>
      </c>
      <c r="AE2" s="57"/>
    </row>
    <row r="3" spans="1:31" ht="15.75">
      <c r="A3" s="60"/>
      <c r="B3" s="60" t="s">
        <v>71</v>
      </c>
      <c r="C3" s="61">
        <f>利润表!R6</f>
        <v>0</v>
      </c>
      <c r="D3" s="61">
        <f>利润表!S6-利润表!R6</f>
        <v>0</v>
      </c>
      <c r="E3" s="61">
        <f>利润表!T6-利润表!S6</f>
        <v>0</v>
      </c>
      <c r="F3" s="61">
        <f>利润表!U6-利润表!T6</f>
        <v>0</v>
      </c>
      <c r="G3" s="61">
        <f>利润表!V6</f>
        <v>0</v>
      </c>
      <c r="H3" s="61">
        <f>利润表!W6-利润表!V6</f>
        <v>0</v>
      </c>
      <c r="I3" s="61">
        <f>利润表!X6-利润表!W6</f>
        <v>0</v>
      </c>
      <c r="J3" s="61">
        <f>利润表!Y6-利润表!X6</f>
        <v>0</v>
      </c>
      <c r="K3" s="61">
        <f>利润表!Z6</f>
        <v>0</v>
      </c>
      <c r="L3" s="61">
        <f>利润表!AA6-利润表!Z6</f>
        <v>0</v>
      </c>
      <c r="M3" s="61">
        <f>利润表!AB6-利润表!AA6</f>
        <v>0</v>
      </c>
      <c r="N3" s="61">
        <f>利润表!AC6-利润表!AB6</f>
        <v>0</v>
      </c>
      <c r="O3" s="61">
        <f>利润表!AD6</f>
        <v>0</v>
      </c>
      <c r="P3" s="61">
        <f>利润表!AE6-利润表!AD6</f>
        <v>0</v>
      </c>
      <c r="Q3" s="61">
        <f>利润表!AF6-利润表!AE6</f>
        <v>0</v>
      </c>
      <c r="R3" s="61">
        <f>利润表!AG6-利润表!AF6</f>
        <v>0</v>
      </c>
      <c r="S3" s="61" t="str">
        <f>销售预测!AL5</f>
        <v>—</v>
      </c>
      <c r="T3" s="61" t="str">
        <f>销售预测!AM5</f>
        <v>—</v>
      </c>
      <c r="U3" s="61" t="str">
        <f>销售预测!AN5</f>
        <v>—</v>
      </c>
      <c r="V3" s="61">
        <f>销售预测!AO5</f>
        <v>0</v>
      </c>
      <c r="W3" s="61">
        <f>销售预测!AP5</f>
        <v>0</v>
      </c>
      <c r="X3" s="61">
        <f>销售预测!AQ5</f>
        <v>0</v>
      </c>
      <c r="Y3" s="61">
        <f>销售预测!AR5</f>
        <v>0</v>
      </c>
      <c r="Z3" s="61">
        <f>销售预测!AS5</f>
        <v>0</v>
      </c>
      <c r="AA3" s="61">
        <f>销售预测!AT5</f>
        <v>0</v>
      </c>
      <c r="AB3" s="61">
        <f>销售预测!AU5</f>
        <v>0</v>
      </c>
      <c r="AC3" s="61">
        <f>销售预测!AV5</f>
        <v>0</v>
      </c>
      <c r="AD3" s="61">
        <f>销售预测!AW5</f>
        <v>0</v>
      </c>
      <c r="AE3" s="1186"/>
    </row>
    <row r="4" spans="1:31" ht="17.25">
      <c r="A4" s="62"/>
      <c r="B4" s="62" t="s">
        <v>62</v>
      </c>
      <c r="C4" s="63">
        <f>利润表!R8</f>
        <v>0</v>
      </c>
      <c r="D4" s="63">
        <f>利润表!S8-利润表!R8</f>
        <v>0</v>
      </c>
      <c r="E4" s="63">
        <f>利润表!T8-利润表!S8</f>
        <v>0</v>
      </c>
      <c r="F4" s="63">
        <f>利润表!U8-利润表!T8</f>
        <v>0</v>
      </c>
      <c r="G4" s="63">
        <f>利润表!V8</f>
        <v>0</v>
      </c>
      <c r="H4" s="63">
        <f>利润表!W8-利润表!V8</f>
        <v>0</v>
      </c>
      <c r="I4" s="63">
        <f>利润表!X8-利润表!W8</f>
        <v>0</v>
      </c>
      <c r="J4" s="63">
        <f>利润表!Y8-利润表!X8</f>
        <v>0</v>
      </c>
      <c r="K4" s="63">
        <f>利润表!Z8</f>
        <v>0</v>
      </c>
      <c r="L4" s="63">
        <f>利润表!AA8-利润表!Z8</f>
        <v>0</v>
      </c>
      <c r="M4" s="63">
        <f>利润表!AB8-利润表!AA8</f>
        <v>0</v>
      </c>
      <c r="N4" s="63">
        <f>利润表!AC8-利润表!AB8</f>
        <v>0</v>
      </c>
      <c r="O4" s="63">
        <f>利润表!AD8</f>
        <v>0</v>
      </c>
      <c r="P4" s="63">
        <f>利润表!AE8-利润表!AD8</f>
        <v>0</v>
      </c>
      <c r="Q4" s="63">
        <f>利润表!AF8-利润表!AE8</f>
        <v>0</v>
      </c>
      <c r="R4" s="63">
        <f>利润表!AG8-利润表!AF8</f>
        <v>0</v>
      </c>
      <c r="S4" s="63">
        <f>IF(销售预测!AL6="",0,销售预测!AL6)</f>
        <v>0</v>
      </c>
      <c r="T4" s="63">
        <f>IF(销售预测!AM6="",0,销售预测!AM6)</f>
        <v>0</v>
      </c>
      <c r="U4" s="63">
        <f>IF(销售预测!AN6="",0,销售预测!AN6)</f>
        <v>0</v>
      </c>
      <c r="V4" s="63">
        <f>IF(销售预测!AO6="",0,销售预测!AO6)</f>
        <v>0</v>
      </c>
      <c r="W4" s="63">
        <f>销售预测!AP6</f>
        <v>0</v>
      </c>
      <c r="X4" s="63">
        <f>销售预测!AQ6</f>
        <v>0</v>
      </c>
      <c r="Y4" s="63">
        <f>销售预测!AR6</f>
        <v>0</v>
      </c>
      <c r="Z4" s="63">
        <f>销售预测!AS6</f>
        <v>0</v>
      </c>
      <c r="AA4" s="63">
        <f>销售预测!AT6</f>
        <v>0</v>
      </c>
      <c r="AB4" s="63">
        <f>销售预测!AU6</f>
        <v>0</v>
      </c>
      <c r="AC4" s="63">
        <f>销售预测!AV6</f>
        <v>0</v>
      </c>
      <c r="AD4" s="63">
        <f>销售预测!AW6</f>
        <v>0</v>
      </c>
      <c r="AE4" s="1186"/>
    </row>
    <row r="5" spans="1:31" ht="17.25">
      <c r="A5" s="62"/>
      <c r="B5" s="62" t="s">
        <v>73</v>
      </c>
      <c r="C5" s="63">
        <f>利润表!R10</f>
        <v>0</v>
      </c>
      <c r="D5" s="63">
        <f>利润表!S10-利润表!R10</f>
        <v>0</v>
      </c>
      <c r="E5" s="63">
        <f>利润表!T10-利润表!S10</f>
        <v>0</v>
      </c>
      <c r="F5" s="63">
        <f>利润表!U10-利润表!T10</f>
        <v>0</v>
      </c>
      <c r="G5" s="63">
        <f>利润表!V10</f>
        <v>0</v>
      </c>
      <c r="H5" s="63">
        <f>利润表!W10-利润表!V10</f>
        <v>0</v>
      </c>
      <c r="I5" s="63">
        <f>利润表!X10-利润表!W10</f>
        <v>0</v>
      </c>
      <c r="J5" s="63">
        <f>利润表!Y10-利润表!X10</f>
        <v>0</v>
      </c>
      <c r="K5" s="63">
        <f>利润表!Z10</f>
        <v>0</v>
      </c>
      <c r="L5" s="63">
        <f>利润表!AA10-利润表!Z10</f>
        <v>0</v>
      </c>
      <c r="M5" s="63">
        <f>利润表!AB10-利润表!AA10</f>
        <v>0</v>
      </c>
      <c r="N5" s="63">
        <f>利润表!AC10-利润表!AB10</f>
        <v>0</v>
      </c>
      <c r="O5" s="63">
        <f>利润表!AD10</f>
        <v>0</v>
      </c>
      <c r="P5" s="63">
        <f>利润表!AE10-利润表!AD10</f>
        <v>0</v>
      </c>
      <c r="Q5" s="63">
        <f>利润表!AF10-利润表!AE10</f>
        <v>0</v>
      </c>
      <c r="R5" s="63">
        <f>利润表!AG10-利润表!AF10</f>
        <v>0</v>
      </c>
      <c r="S5" s="63">
        <f>IF(销售预测!AL8="",0,销售预测!AL8)</f>
        <v>0</v>
      </c>
      <c r="T5" s="63">
        <f>IF(销售预测!AM8="",0,销售预测!AM8)</f>
        <v>0</v>
      </c>
      <c r="U5" s="63">
        <f>IF(销售预测!AN8="",0,销售预测!AN8)</f>
        <v>0</v>
      </c>
      <c r="V5" s="63">
        <f>IF(销售预测!AO8="",0,销售预测!AO8)</f>
        <v>0</v>
      </c>
      <c r="W5" s="63">
        <f>销售预测!AP8</f>
        <v>0</v>
      </c>
      <c r="X5" s="63">
        <f>销售预测!AQ8</f>
        <v>0</v>
      </c>
      <c r="Y5" s="63">
        <f>销售预测!AR8</f>
        <v>0</v>
      </c>
      <c r="Z5" s="63">
        <f>销售预测!AS8</f>
        <v>0</v>
      </c>
      <c r="AA5" s="63">
        <f>销售预测!AT8</f>
        <v>0</v>
      </c>
      <c r="AB5" s="63">
        <f>销售预测!AU8</f>
        <v>0</v>
      </c>
      <c r="AC5" s="63">
        <f>销售预测!AV8</f>
        <v>0</v>
      </c>
      <c r="AD5" s="63">
        <f>销售预测!AW8</f>
        <v>0</v>
      </c>
    </row>
    <row r="6" spans="1:31" s="52" customFormat="1" ht="15.75">
      <c r="A6" s="60"/>
      <c r="B6" s="60" t="s">
        <v>445</v>
      </c>
      <c r="C6" s="61">
        <f>SUM(C7:C8)+SUM(C9:C13)</f>
        <v>0</v>
      </c>
      <c r="D6" s="61">
        <f>SUM(D7:D8)+SUM(D9:D13)</f>
        <v>0</v>
      </c>
      <c r="E6" s="61">
        <f t="shared" ref="E6:G6" si="0">SUM(E7:E8)+SUM(E9:E13)</f>
        <v>0</v>
      </c>
      <c r="F6" s="61">
        <f t="shared" si="0"/>
        <v>0</v>
      </c>
      <c r="G6" s="61">
        <f t="shared" si="0"/>
        <v>0</v>
      </c>
      <c r="H6" s="61">
        <f t="shared" ref="H6:AD6" si="1">SUM(H7:H8)+SUM(H9:H13)</f>
        <v>0</v>
      </c>
      <c r="I6" s="61">
        <f t="shared" si="1"/>
        <v>0</v>
      </c>
      <c r="J6" s="61">
        <f t="shared" si="1"/>
        <v>0</v>
      </c>
      <c r="K6" s="61">
        <f t="shared" si="1"/>
        <v>0</v>
      </c>
      <c r="L6" s="61">
        <f t="shared" si="1"/>
        <v>0</v>
      </c>
      <c r="M6" s="61">
        <f t="shared" si="1"/>
        <v>0</v>
      </c>
      <c r="N6" s="61">
        <f t="shared" si="1"/>
        <v>0</v>
      </c>
      <c r="O6" s="61">
        <f t="shared" si="1"/>
        <v>0</v>
      </c>
      <c r="P6" s="61">
        <f t="shared" si="1"/>
        <v>0</v>
      </c>
      <c r="Q6" s="61">
        <f t="shared" si="1"/>
        <v>0</v>
      </c>
      <c r="R6" s="61">
        <f>SUM(R7:R8)+SUM(R9:R13)</f>
        <v>0</v>
      </c>
      <c r="S6" s="61">
        <f>SUM(S7:S8)+SUM(S9:S13)</f>
        <v>0</v>
      </c>
      <c r="T6" s="61">
        <f t="shared" si="1"/>
        <v>0</v>
      </c>
      <c r="U6" s="61">
        <f t="shared" si="1"/>
        <v>0</v>
      </c>
      <c r="V6" s="61">
        <f t="shared" si="1"/>
        <v>0</v>
      </c>
      <c r="W6" s="61">
        <f t="shared" si="1"/>
        <v>0</v>
      </c>
      <c r="X6" s="61">
        <f t="shared" si="1"/>
        <v>0</v>
      </c>
      <c r="Y6" s="61">
        <f t="shared" si="1"/>
        <v>0</v>
      </c>
      <c r="Z6" s="61">
        <f t="shared" si="1"/>
        <v>0</v>
      </c>
      <c r="AA6" s="61">
        <f t="shared" si="1"/>
        <v>0</v>
      </c>
      <c r="AB6" s="61">
        <f t="shared" si="1"/>
        <v>0</v>
      </c>
      <c r="AC6" s="61">
        <f t="shared" si="1"/>
        <v>0</v>
      </c>
      <c r="AD6" s="61">
        <f t="shared" si="1"/>
        <v>0</v>
      </c>
    </row>
    <row r="7" spans="1:31" ht="17.25">
      <c r="A7" s="62"/>
      <c r="B7" s="64" t="s">
        <v>724</v>
      </c>
      <c r="C7" s="63">
        <f>利润表!R15</f>
        <v>0</v>
      </c>
      <c r="D7" s="63">
        <f>利润表!S15-利润表!R15</f>
        <v>0</v>
      </c>
      <c r="E7" s="63">
        <f>利润表!T15-利润表!S15</f>
        <v>0</v>
      </c>
      <c r="F7" s="63">
        <f>利润表!U15-利润表!T15</f>
        <v>0</v>
      </c>
      <c r="G7" s="63">
        <f>利润表!V15</f>
        <v>0</v>
      </c>
      <c r="H7" s="63">
        <f>利润表!W15-利润表!V15</f>
        <v>0</v>
      </c>
      <c r="I7" s="63">
        <f>利润表!X15-利润表!W15</f>
        <v>0</v>
      </c>
      <c r="J7" s="63">
        <f>利润表!Y15-利润表!X15</f>
        <v>0</v>
      </c>
      <c r="K7" s="63">
        <f>利润表!Z15</f>
        <v>0</v>
      </c>
      <c r="L7" s="63">
        <f>利润表!AA15-利润表!Z15</f>
        <v>0</v>
      </c>
      <c r="M7" s="63">
        <f>利润表!AB15-利润表!AA15</f>
        <v>0</v>
      </c>
      <c r="N7" s="63">
        <f>利润表!AC15-利润表!AB15</f>
        <v>0</v>
      </c>
      <c r="O7" s="63">
        <f>利润表!AD15</f>
        <v>0</v>
      </c>
      <c r="P7" s="63">
        <f>利润表!AE15-利润表!AD15</f>
        <v>0</v>
      </c>
      <c r="Q7" s="63">
        <f>利润表!AF15-利润表!AE15</f>
        <v>0</v>
      </c>
      <c r="R7" s="63">
        <f>利润表!AG15-利润表!AF15</f>
        <v>0</v>
      </c>
      <c r="S7" s="63">
        <f>IF(销售预测!AL10="",0,销售预测!AL10)</f>
        <v>0</v>
      </c>
      <c r="T7" s="63">
        <f>IF(销售预测!AM10="",0,销售预测!AM10)</f>
        <v>0</v>
      </c>
      <c r="U7" s="63">
        <f>IF(销售预测!AN10="",0,销售预测!AN10)</f>
        <v>0</v>
      </c>
      <c r="V7" s="63">
        <f>IF(销售预测!AO10="",0,销售预测!AO10)</f>
        <v>0</v>
      </c>
      <c r="W7" s="63">
        <f>销售预测!AP10</f>
        <v>0</v>
      </c>
      <c r="X7" s="63">
        <f>销售预测!AQ10</f>
        <v>0</v>
      </c>
      <c r="Y7" s="63">
        <f>销售预测!AR10</f>
        <v>0</v>
      </c>
      <c r="Z7" s="63">
        <f>销售预测!AS10</f>
        <v>0</v>
      </c>
      <c r="AA7" s="63">
        <f>销售预测!AT10</f>
        <v>0</v>
      </c>
      <c r="AB7" s="63">
        <f>销售预测!AU10</f>
        <v>0</v>
      </c>
      <c r="AC7" s="63">
        <f>销售预测!AV10</f>
        <v>0</v>
      </c>
      <c r="AD7" s="63">
        <f>销售预测!AW10</f>
        <v>0</v>
      </c>
    </row>
    <row r="8" spans="1:31" ht="17.25">
      <c r="A8" s="62"/>
      <c r="B8" s="62" t="s">
        <v>74</v>
      </c>
      <c r="C8" s="63">
        <f>利润表!R19</f>
        <v>0</v>
      </c>
      <c r="D8" s="63">
        <f>利润表!S19-利润表!R19</f>
        <v>0</v>
      </c>
      <c r="E8" s="63">
        <f>利润表!T19-利润表!S19</f>
        <v>0</v>
      </c>
      <c r="F8" s="63">
        <f>利润表!U19-利润表!T19</f>
        <v>0</v>
      </c>
      <c r="G8" s="63">
        <f>利润表!V19</f>
        <v>0</v>
      </c>
      <c r="H8" s="63">
        <f>利润表!W19-利润表!V19</f>
        <v>0</v>
      </c>
      <c r="I8" s="63">
        <f>利润表!X19-利润表!W19</f>
        <v>0</v>
      </c>
      <c r="J8" s="63">
        <f>利润表!Y19-利润表!X19</f>
        <v>0</v>
      </c>
      <c r="K8" s="63">
        <f>利润表!Z19</f>
        <v>0</v>
      </c>
      <c r="L8" s="63">
        <f>利润表!AA19-利润表!Z19</f>
        <v>0</v>
      </c>
      <c r="M8" s="63">
        <f>利润表!AB19-利润表!AA19</f>
        <v>0</v>
      </c>
      <c r="N8" s="63">
        <f>利润表!AC19-利润表!AB19</f>
        <v>0</v>
      </c>
      <c r="O8" s="63">
        <f>利润表!AD19</f>
        <v>0</v>
      </c>
      <c r="P8" s="63">
        <f>利润表!AE19-利润表!AD19</f>
        <v>0</v>
      </c>
      <c r="Q8" s="63">
        <f>利润表!AF19-利润表!AE19</f>
        <v>0</v>
      </c>
      <c r="R8" s="63">
        <f>利润表!AG19-利润表!AF19</f>
        <v>0</v>
      </c>
      <c r="S8" s="63">
        <f>IF(销售预测!AL12="",0,销售预测!AL12)</f>
        <v>0</v>
      </c>
      <c r="T8" s="63">
        <f>IF(销售预测!AM12="",0,销售预测!AM12)</f>
        <v>0</v>
      </c>
      <c r="U8" s="63">
        <f>IF(销售预测!AN12="",0,销售预测!AN12)</f>
        <v>0</v>
      </c>
      <c r="V8" s="63">
        <f>IF(销售预测!AO12="",0,销售预测!AO12)</f>
        <v>0</v>
      </c>
      <c r="W8" s="63">
        <f>销售预测!AP12</f>
        <v>0</v>
      </c>
      <c r="X8" s="63">
        <f>销售预测!AQ12</f>
        <v>0</v>
      </c>
      <c r="Y8" s="63">
        <f>销售预测!AR12</f>
        <v>0</v>
      </c>
      <c r="Z8" s="63">
        <f>销售预测!AS12</f>
        <v>0</v>
      </c>
      <c r="AA8" s="63">
        <f>销售预测!AT12</f>
        <v>0</v>
      </c>
      <c r="AB8" s="63">
        <f>销售预测!AU12</f>
        <v>0</v>
      </c>
      <c r="AC8" s="63">
        <f>销售预测!AV12</f>
        <v>0</v>
      </c>
      <c r="AD8" s="63">
        <f>销售预测!AW12</f>
        <v>0</v>
      </c>
    </row>
    <row r="9" spans="1:31" ht="17.25">
      <c r="A9" s="65"/>
      <c r="B9" s="62" t="s">
        <v>77</v>
      </c>
      <c r="C9" s="66">
        <f>利润表!R27</f>
        <v>0</v>
      </c>
      <c r="D9" s="63">
        <f>利润表!S27-利润表!R27</f>
        <v>0</v>
      </c>
      <c r="E9" s="63">
        <f>利润表!T27-利润表!S27</f>
        <v>0</v>
      </c>
      <c r="F9" s="63">
        <f>利润表!U27-利润表!T27</f>
        <v>0</v>
      </c>
      <c r="G9" s="66">
        <f>利润表!V27</f>
        <v>0</v>
      </c>
      <c r="H9" s="63">
        <f>利润表!W27-利润表!V27</f>
        <v>0</v>
      </c>
      <c r="I9" s="63">
        <f>利润表!X27-利润表!W27</f>
        <v>0</v>
      </c>
      <c r="J9" s="63">
        <f>利润表!Y27-利润表!X27</f>
        <v>0</v>
      </c>
      <c r="K9" s="63">
        <f>利润表!Z27</f>
        <v>0</v>
      </c>
      <c r="L9" s="63">
        <f>利润表!AA27-利润表!Z27</f>
        <v>0</v>
      </c>
      <c r="M9" s="63">
        <f>利润表!AB27-利润表!AA27</f>
        <v>0</v>
      </c>
      <c r="N9" s="63">
        <f>利润表!AC27-利润表!AB27</f>
        <v>0</v>
      </c>
      <c r="O9" s="63">
        <f>利润表!AD27</f>
        <v>0</v>
      </c>
      <c r="P9" s="63">
        <f>利润表!AE27-利润表!AD27</f>
        <v>0</v>
      </c>
      <c r="Q9" s="63">
        <f>利润表!AF27-利润表!AE27</f>
        <v>0</v>
      </c>
      <c r="R9" s="63">
        <f>利润表!AG27-利润表!AF27</f>
        <v>0</v>
      </c>
      <c r="S9" s="63" t="str">
        <f>销售预测!AL21</f>
        <v>—</v>
      </c>
      <c r="T9" s="63" t="str">
        <f>销售预测!AM21</f>
        <v>—</v>
      </c>
      <c r="U9" s="63" t="str">
        <f>销售预测!AN21</f>
        <v>—</v>
      </c>
      <c r="V9" s="63">
        <f>销售预测!AO21</f>
        <v>0</v>
      </c>
      <c r="W9" s="63">
        <f>销售预测!AP21</f>
        <v>0</v>
      </c>
      <c r="X9" s="63">
        <f>销售预测!AQ21</f>
        <v>0</v>
      </c>
      <c r="Y9" s="63">
        <f>销售预测!AR21</f>
        <v>0</v>
      </c>
      <c r="Z9" s="63">
        <f>销售预测!AS21</f>
        <v>0</v>
      </c>
      <c r="AA9" s="63">
        <f>销售预测!AT21</f>
        <v>0</v>
      </c>
      <c r="AB9" s="63">
        <f>销售预测!AU21</f>
        <v>0</v>
      </c>
      <c r="AC9" s="63">
        <f>销售预测!AV21</f>
        <v>0</v>
      </c>
      <c r="AD9" s="63">
        <f>销售预测!AW21</f>
        <v>0</v>
      </c>
    </row>
    <row r="10" spans="1:31" ht="17.25">
      <c r="A10" s="65"/>
      <c r="B10" s="62" t="s">
        <v>79</v>
      </c>
      <c r="C10" s="66">
        <f>利润表!R29</f>
        <v>0</v>
      </c>
      <c r="D10" s="63">
        <f>利润表!S29-利润表!R29</f>
        <v>0</v>
      </c>
      <c r="E10" s="63">
        <f>利润表!T29-利润表!S29</f>
        <v>0</v>
      </c>
      <c r="F10" s="63">
        <f>利润表!U29-利润表!T29</f>
        <v>0</v>
      </c>
      <c r="G10" s="66">
        <f>利润表!V29</f>
        <v>0</v>
      </c>
      <c r="H10" s="63">
        <f>利润表!W29-利润表!V29</f>
        <v>0</v>
      </c>
      <c r="I10" s="63">
        <f>利润表!X29-利润表!W29</f>
        <v>0</v>
      </c>
      <c r="J10" s="63">
        <f>利润表!Y29-利润表!X29</f>
        <v>0</v>
      </c>
      <c r="K10" s="63">
        <f>利润表!Z29</f>
        <v>0</v>
      </c>
      <c r="L10" s="63">
        <f>利润表!AA29-利润表!Z29</f>
        <v>0</v>
      </c>
      <c r="M10" s="63">
        <f>利润表!AB29-利润表!AA29</f>
        <v>0</v>
      </c>
      <c r="N10" s="63">
        <f>利润表!AC29-利润表!AB29</f>
        <v>0</v>
      </c>
      <c r="O10" s="63">
        <f>利润表!AD29</f>
        <v>0</v>
      </c>
      <c r="P10" s="63">
        <f>利润表!AE29-利润表!AD29</f>
        <v>0</v>
      </c>
      <c r="Q10" s="63">
        <f>利润表!AF29-利润表!AE29</f>
        <v>0</v>
      </c>
      <c r="R10" s="63">
        <f>利润表!AG29-利润表!AF29</f>
        <v>0</v>
      </c>
      <c r="S10" s="63" t="str">
        <f>销售预测!AL24</f>
        <v>—</v>
      </c>
      <c r="T10" s="63" t="str">
        <f>销售预测!AM24</f>
        <v>—</v>
      </c>
      <c r="U10" s="63" t="str">
        <f>销售预测!AN24</f>
        <v>—</v>
      </c>
      <c r="V10" s="63">
        <f>销售预测!AO24</f>
        <v>0</v>
      </c>
      <c r="W10" s="63">
        <f>销售预测!AP24</f>
        <v>0</v>
      </c>
      <c r="X10" s="63">
        <f>销售预测!AQ24</f>
        <v>0</v>
      </c>
      <c r="Y10" s="63">
        <f>销售预测!AR24</f>
        <v>0</v>
      </c>
      <c r="Z10" s="63">
        <f>销售预测!AS24</f>
        <v>0</v>
      </c>
      <c r="AA10" s="63">
        <f>销售预测!AT24</f>
        <v>0</v>
      </c>
      <c r="AB10" s="63">
        <f>销售预测!AU24</f>
        <v>0</v>
      </c>
      <c r="AC10" s="63">
        <f>销售预测!AV24</f>
        <v>0</v>
      </c>
      <c r="AD10" s="63">
        <f>销售预测!AW24</f>
        <v>0</v>
      </c>
    </row>
    <row r="11" spans="1:31" ht="17.25">
      <c r="A11" s="65"/>
      <c r="B11" s="62" t="s">
        <v>81</v>
      </c>
      <c r="C11" s="66">
        <f>利润表!R31</f>
        <v>0</v>
      </c>
      <c r="D11" s="63">
        <f>利润表!S31-利润表!R31</f>
        <v>0</v>
      </c>
      <c r="E11" s="63">
        <f>利润表!T31-利润表!S31</f>
        <v>0</v>
      </c>
      <c r="F11" s="63">
        <f>利润表!U31-利润表!T31</f>
        <v>0</v>
      </c>
      <c r="G11" s="66">
        <f>利润表!V31</f>
        <v>0</v>
      </c>
      <c r="H11" s="63">
        <f>利润表!W31-利润表!V31</f>
        <v>0</v>
      </c>
      <c r="I11" s="63">
        <f>利润表!X31-利润表!W31</f>
        <v>0</v>
      </c>
      <c r="J11" s="63">
        <f>利润表!Y31-利润表!X31</f>
        <v>0</v>
      </c>
      <c r="K11" s="63">
        <f>利润表!Z31</f>
        <v>0</v>
      </c>
      <c r="L11" s="63">
        <f>利润表!AA31-利润表!Z31</f>
        <v>0</v>
      </c>
      <c r="M11" s="63">
        <f>利润表!AB31-利润表!AA31</f>
        <v>0</v>
      </c>
      <c r="N11" s="63">
        <f>利润表!AC31-利润表!AB31</f>
        <v>0</v>
      </c>
      <c r="O11" s="63">
        <f>利润表!AD31</f>
        <v>0</v>
      </c>
      <c r="P11" s="63">
        <f>利润表!AE31-利润表!AD31</f>
        <v>0</v>
      </c>
      <c r="Q11" s="63">
        <f>利润表!AF31-利润表!AE31</f>
        <v>0</v>
      </c>
      <c r="R11" s="63">
        <f>利润表!AG31-利润表!AF31</f>
        <v>0</v>
      </c>
      <c r="S11" s="63" t="str">
        <f>销售预测!AL27</f>
        <v>—</v>
      </c>
      <c r="T11" s="63" t="str">
        <f>销售预测!AM27</f>
        <v>—</v>
      </c>
      <c r="U11" s="63" t="str">
        <f>销售预测!AN27</f>
        <v>—</v>
      </c>
      <c r="V11" s="63">
        <f>销售预测!AO27</f>
        <v>0</v>
      </c>
      <c r="W11" s="63">
        <f>销售预测!AP27</f>
        <v>0</v>
      </c>
      <c r="X11" s="63">
        <f>销售预测!AQ27</f>
        <v>0</v>
      </c>
      <c r="Y11" s="63">
        <f>销售预测!AR27</f>
        <v>0</v>
      </c>
      <c r="Z11" s="63">
        <f>销售预测!AS27</f>
        <v>0</v>
      </c>
      <c r="AA11" s="63">
        <f>销售预测!AT27</f>
        <v>0</v>
      </c>
      <c r="AB11" s="63">
        <f>销售预测!AU27</f>
        <v>0</v>
      </c>
      <c r="AC11" s="63">
        <f>销售预测!AV27</f>
        <v>0</v>
      </c>
      <c r="AD11" s="63">
        <f>销售预测!AW27</f>
        <v>0</v>
      </c>
    </row>
    <row r="12" spans="1:31" ht="17.25">
      <c r="A12" s="65"/>
      <c r="B12" s="62" t="s">
        <v>83</v>
      </c>
      <c r="C12" s="66">
        <f>利润表!R33</f>
        <v>0</v>
      </c>
      <c r="D12" s="63">
        <f>利润表!S33-利润表!R33</f>
        <v>0</v>
      </c>
      <c r="E12" s="63">
        <f>利润表!T33-利润表!S33</f>
        <v>0</v>
      </c>
      <c r="F12" s="63">
        <f>利润表!U33-利润表!T33</f>
        <v>0</v>
      </c>
      <c r="G12" s="66">
        <f>利润表!V33</f>
        <v>0</v>
      </c>
      <c r="H12" s="63">
        <f>利润表!W33-利润表!V33</f>
        <v>0</v>
      </c>
      <c r="I12" s="63">
        <f>利润表!X33-利润表!W33</f>
        <v>0</v>
      </c>
      <c r="J12" s="63">
        <f>利润表!Y33-利润表!X33</f>
        <v>0</v>
      </c>
      <c r="K12" s="63">
        <f>利润表!Z33</f>
        <v>0</v>
      </c>
      <c r="L12" s="63">
        <f>利润表!AA33-利润表!Z33</f>
        <v>0</v>
      </c>
      <c r="M12" s="63">
        <f>利润表!AB33-利润表!AA33</f>
        <v>0</v>
      </c>
      <c r="N12" s="63">
        <f>利润表!AC33-利润表!AB33</f>
        <v>0</v>
      </c>
      <c r="O12" s="63">
        <f>利润表!AD33</f>
        <v>0</v>
      </c>
      <c r="P12" s="63">
        <f>利润表!AE33-利润表!AD33</f>
        <v>0</v>
      </c>
      <c r="Q12" s="63">
        <f>利润表!AF33-利润表!AE33</f>
        <v>0</v>
      </c>
      <c r="R12" s="63">
        <f>利润表!AG33-利润表!AF33</f>
        <v>0</v>
      </c>
      <c r="S12" s="63" t="str">
        <f>销售预测!AL30</f>
        <v>—</v>
      </c>
      <c r="T12" s="63" t="str">
        <f>销售预测!AM30</f>
        <v>—</v>
      </c>
      <c r="U12" s="63" t="str">
        <f>销售预测!AN30</f>
        <v>—</v>
      </c>
      <c r="V12" s="63">
        <f>销售预测!AO30</f>
        <v>0</v>
      </c>
      <c r="W12" s="63">
        <f>销售预测!AP30</f>
        <v>0</v>
      </c>
      <c r="X12" s="63">
        <f>销售预测!AQ30</f>
        <v>0</v>
      </c>
      <c r="Y12" s="63">
        <f>销售预测!AR30</f>
        <v>0</v>
      </c>
      <c r="Z12" s="63">
        <f>销售预测!AS30</f>
        <v>0</v>
      </c>
      <c r="AA12" s="63">
        <f>销售预测!AT30</f>
        <v>0</v>
      </c>
      <c r="AB12" s="63">
        <f>销售预测!AU30</f>
        <v>0</v>
      </c>
      <c r="AC12" s="63">
        <f>销售预测!AV30</f>
        <v>0</v>
      </c>
      <c r="AD12" s="63">
        <f>销售预测!AW30</f>
        <v>0</v>
      </c>
    </row>
    <row r="13" spans="1:31" ht="17.25">
      <c r="A13" s="64"/>
      <c r="B13" s="62" t="s">
        <v>330</v>
      </c>
      <c r="C13" s="63">
        <f>利润表!R36</f>
        <v>0</v>
      </c>
      <c r="D13" s="63">
        <f>利润表!S36-利润表!R36</f>
        <v>0</v>
      </c>
      <c r="E13" s="63">
        <f>利润表!T36-利润表!S36</f>
        <v>0</v>
      </c>
      <c r="F13" s="63">
        <f>利润表!U36-利润表!T36</f>
        <v>0</v>
      </c>
      <c r="G13" s="63">
        <f>利润表!V36</f>
        <v>0</v>
      </c>
      <c r="H13" s="63">
        <f>利润表!W36-利润表!V36</f>
        <v>0</v>
      </c>
      <c r="I13" s="63">
        <f>利润表!X36-利润表!W36</f>
        <v>0</v>
      </c>
      <c r="J13" s="63">
        <f>利润表!Y36-利润表!X36</f>
        <v>0</v>
      </c>
      <c r="K13" s="63">
        <f>利润表!Z36</f>
        <v>0</v>
      </c>
      <c r="L13" s="63">
        <f>利润表!AA36-利润表!Z36</f>
        <v>0</v>
      </c>
      <c r="M13" s="63">
        <f>利润表!AB36-利润表!AA36</f>
        <v>0</v>
      </c>
      <c r="N13" s="63">
        <f>利润表!AC36-利润表!AB36</f>
        <v>0</v>
      </c>
      <c r="O13" s="63">
        <f>利润表!AD36</f>
        <v>0</v>
      </c>
      <c r="P13" s="63">
        <f>利润表!AE36-利润表!AD36</f>
        <v>0</v>
      </c>
      <c r="Q13" s="63">
        <f>利润表!AF36-利润表!AE36</f>
        <v>0</v>
      </c>
      <c r="R13" s="63">
        <f>利润表!AG36-利润表!AF36</f>
        <v>0</v>
      </c>
      <c r="S13" s="85">
        <f>IF(财务基础数据!$AM$4=0,利润表!$AK$36/4,利润表!AH36)</f>
        <v>0</v>
      </c>
      <c r="T13" s="85">
        <f>IF(财务基础数据!$AM$4&lt;=1,利润表!$AK$36/4,利润表!AI36-利润表!AH36)</f>
        <v>0</v>
      </c>
      <c r="U13" s="85">
        <f>IF(财务基础数据!$AM$4&lt;=2,利润表!$AK$36/4,利润表!AJ36-利润表!AI36)</f>
        <v>0</v>
      </c>
      <c r="V13" s="63">
        <f>利润表!$AK$36-SUM(S13:U13)</f>
        <v>0</v>
      </c>
      <c r="W13" s="63">
        <f>利润表!$AL$36/4</f>
        <v>0</v>
      </c>
      <c r="X13" s="63">
        <f>利润表!$AL$36/4</f>
        <v>0</v>
      </c>
      <c r="Y13" s="63">
        <f>利润表!$AL$36/4</f>
        <v>0</v>
      </c>
      <c r="Z13" s="63">
        <f>利润表!$AL$36/4</f>
        <v>0</v>
      </c>
      <c r="AA13" s="63">
        <f>利润表!$AM$36/4</f>
        <v>0</v>
      </c>
      <c r="AB13" s="63">
        <f>利润表!$AM$36/4</f>
        <v>0</v>
      </c>
      <c r="AC13" s="63">
        <f>利润表!$AM$36/4</f>
        <v>0</v>
      </c>
      <c r="AD13" s="63">
        <f>利润表!$AM$36/4</f>
        <v>0</v>
      </c>
    </row>
    <row r="14" spans="1:31" ht="17.25">
      <c r="A14" s="65"/>
      <c r="B14" s="65" t="s">
        <v>725</v>
      </c>
      <c r="C14" s="66">
        <f>利润表!R49</f>
        <v>0</v>
      </c>
      <c r="D14" s="63">
        <f>利润表!S49-利润表!R49</f>
        <v>0</v>
      </c>
      <c r="E14" s="63">
        <f>利润表!T49-利润表!S49</f>
        <v>0</v>
      </c>
      <c r="F14" s="63">
        <f>利润表!U49-利润表!T49</f>
        <v>0</v>
      </c>
      <c r="G14" s="66">
        <f>利润表!V49</f>
        <v>0</v>
      </c>
      <c r="H14" s="63">
        <f>利润表!W49-利润表!V49</f>
        <v>0</v>
      </c>
      <c r="I14" s="63">
        <f>利润表!X49-利润表!W49</f>
        <v>0</v>
      </c>
      <c r="J14" s="63">
        <f>利润表!Y49-利润表!X49</f>
        <v>0</v>
      </c>
      <c r="K14" s="63">
        <f>利润表!Z49</f>
        <v>0</v>
      </c>
      <c r="L14" s="63">
        <f>利润表!AA49-利润表!Z49</f>
        <v>0</v>
      </c>
      <c r="M14" s="63">
        <f>利润表!AB49-利润表!AA49</f>
        <v>0</v>
      </c>
      <c r="N14" s="63">
        <f>利润表!AC49-利润表!AB49</f>
        <v>0</v>
      </c>
      <c r="O14" s="63">
        <f>利润表!AD49</f>
        <v>0</v>
      </c>
      <c r="P14" s="63">
        <f>利润表!AE49-利润表!AD49</f>
        <v>0</v>
      </c>
      <c r="Q14" s="63">
        <f>利润表!AF49-利润表!AE49</f>
        <v>0</v>
      </c>
      <c r="R14" s="63">
        <f>利润表!AG49-利润表!AF49</f>
        <v>0</v>
      </c>
      <c r="S14" s="63" t="str">
        <f>销售预测!AL33</f>
        <v>—</v>
      </c>
      <c r="T14" s="63" t="str">
        <f>销售预测!AM33</f>
        <v>—</v>
      </c>
      <c r="U14" s="63" t="str">
        <f>销售预测!AN33</f>
        <v>—</v>
      </c>
      <c r="V14" s="63">
        <f>销售预测!AO33</f>
        <v>0</v>
      </c>
      <c r="W14" s="63">
        <f>销售预测!AP33</f>
        <v>0</v>
      </c>
      <c r="X14" s="63">
        <f>销售预测!AQ33</f>
        <v>0</v>
      </c>
      <c r="Y14" s="63">
        <f>销售预测!AR33</f>
        <v>0</v>
      </c>
      <c r="Z14" s="63">
        <f>销售预测!AS33</f>
        <v>0</v>
      </c>
      <c r="AA14" s="63">
        <f>销售预测!AT33</f>
        <v>0</v>
      </c>
      <c r="AB14" s="63">
        <f>销售预测!AU33</f>
        <v>0</v>
      </c>
      <c r="AC14" s="63">
        <f>销售预测!AV33</f>
        <v>0</v>
      </c>
      <c r="AD14" s="63">
        <f>销售预测!AW33</f>
        <v>0</v>
      </c>
    </row>
    <row r="15" spans="1:31" ht="17.25">
      <c r="A15" s="65"/>
      <c r="B15" s="62" t="s">
        <v>87</v>
      </c>
      <c r="C15" s="66">
        <f>利润表!R51</f>
        <v>0</v>
      </c>
      <c r="D15" s="63">
        <f>利润表!S51-利润表!R51</f>
        <v>0</v>
      </c>
      <c r="E15" s="63">
        <f>利润表!T51-利润表!S51</f>
        <v>0</v>
      </c>
      <c r="F15" s="63">
        <f>利润表!U51-利润表!T51</f>
        <v>0</v>
      </c>
      <c r="G15" s="66">
        <f>利润表!V51</f>
        <v>0</v>
      </c>
      <c r="H15" s="63">
        <f>利润表!W51-利润表!V51</f>
        <v>0</v>
      </c>
      <c r="I15" s="63">
        <f>利润表!X51-利润表!W51</f>
        <v>0</v>
      </c>
      <c r="J15" s="63">
        <f>利润表!Y51-利润表!X51</f>
        <v>0</v>
      </c>
      <c r="K15" s="63">
        <f>利润表!Z51</f>
        <v>0</v>
      </c>
      <c r="L15" s="63">
        <f>利润表!AA51-利润表!Z51</f>
        <v>0</v>
      </c>
      <c r="M15" s="63">
        <f>利润表!AB51-利润表!AA51</f>
        <v>0</v>
      </c>
      <c r="N15" s="63">
        <f>利润表!AC51-利润表!AB51</f>
        <v>0</v>
      </c>
      <c r="O15" s="63">
        <f>利润表!AD51</f>
        <v>0</v>
      </c>
      <c r="P15" s="63">
        <f>利润表!AE51-利润表!AD51</f>
        <v>0</v>
      </c>
      <c r="Q15" s="63">
        <f>利润表!AF51-利润表!AE51</f>
        <v>0</v>
      </c>
      <c r="R15" s="63">
        <f>利润表!AG51-利润表!AF51</f>
        <v>0</v>
      </c>
      <c r="S15" s="63" t="str">
        <f>销售预测!AL36</f>
        <v>—</v>
      </c>
      <c r="T15" s="63" t="str">
        <f>销售预测!AM36</f>
        <v>—</v>
      </c>
      <c r="U15" s="63" t="str">
        <f>销售预测!AN36</f>
        <v>—</v>
      </c>
      <c r="V15" s="63">
        <f>销售预测!AO36</f>
        <v>0</v>
      </c>
      <c r="W15" s="63">
        <f>销售预测!AP36</f>
        <v>0</v>
      </c>
      <c r="X15" s="63">
        <f>销售预测!AQ36</f>
        <v>0</v>
      </c>
      <c r="Y15" s="63">
        <f>销售预测!AR36</f>
        <v>0</v>
      </c>
      <c r="Z15" s="63">
        <f>销售预测!AS36</f>
        <v>0</v>
      </c>
      <c r="AA15" s="63">
        <f>销售预测!AT36</f>
        <v>0</v>
      </c>
      <c r="AB15" s="63">
        <f>销售预测!AU36</f>
        <v>0</v>
      </c>
      <c r="AC15" s="63">
        <f>销售预测!AV36</f>
        <v>0</v>
      </c>
      <c r="AD15" s="63">
        <f>销售预测!AW36</f>
        <v>0</v>
      </c>
    </row>
    <row r="16" spans="1:31" ht="17.25">
      <c r="A16" s="65"/>
      <c r="B16" s="62" t="s">
        <v>334</v>
      </c>
      <c r="C16" s="66">
        <f>利润表!R54</f>
        <v>0</v>
      </c>
      <c r="D16" s="63">
        <f>利润表!S54-利润表!R54</f>
        <v>0</v>
      </c>
      <c r="E16" s="63">
        <f>利润表!T54-利润表!S54</f>
        <v>0</v>
      </c>
      <c r="F16" s="63">
        <f>利润表!U54-利润表!T54</f>
        <v>0</v>
      </c>
      <c r="G16" s="66">
        <f>利润表!V54</f>
        <v>0</v>
      </c>
      <c r="H16" s="63">
        <f>利润表!W54-利润表!V54</f>
        <v>0</v>
      </c>
      <c r="I16" s="63">
        <f>利润表!X54-利润表!W54</f>
        <v>0</v>
      </c>
      <c r="J16" s="63">
        <f>利润表!Y54-利润表!X54</f>
        <v>0</v>
      </c>
      <c r="K16" s="63">
        <f>利润表!Z54</f>
        <v>0</v>
      </c>
      <c r="L16" s="63">
        <f>利润表!AA54-利润表!Z54</f>
        <v>0</v>
      </c>
      <c r="M16" s="63">
        <f>利润表!AB54-利润表!AA54</f>
        <v>0</v>
      </c>
      <c r="N16" s="63">
        <f>利润表!AC54-利润表!AB54</f>
        <v>0</v>
      </c>
      <c r="O16" s="63">
        <f>利润表!AD54</f>
        <v>0</v>
      </c>
      <c r="P16" s="63">
        <f>利润表!AE54-利润表!AD54</f>
        <v>0</v>
      </c>
      <c r="Q16" s="63">
        <f>利润表!AF54-利润表!AE54</f>
        <v>0</v>
      </c>
      <c r="R16" s="63">
        <f>利润表!AG54-利润表!AF54</f>
        <v>0</v>
      </c>
      <c r="S16" s="85">
        <f>IF(财务基础数据!$AM$4=0,利润表!$AK$54/4,利润表!AH54)</f>
        <v>0</v>
      </c>
      <c r="T16" s="85">
        <f>IF(财务基础数据!$AM$4&lt;=1,利润表!$AK$54/4,利润表!AI54-利润表!AH54)</f>
        <v>0</v>
      </c>
      <c r="U16" s="85">
        <f>IF(财务基础数据!$AM$4&lt;=2,利润表!$AK$54/4,利润表!AJ54-利润表!AI54)</f>
        <v>0</v>
      </c>
      <c r="V16" s="63">
        <f>利润表!$AK$54-SUM(S16:U16)</f>
        <v>0</v>
      </c>
      <c r="W16" s="63">
        <f>利润表!$AL$54/4</f>
        <v>0</v>
      </c>
      <c r="X16" s="63">
        <f>利润表!$AL$54/4</f>
        <v>0</v>
      </c>
      <c r="Y16" s="63">
        <f>利润表!$AL$54/4</f>
        <v>0</v>
      </c>
      <c r="Z16" s="63">
        <f>利润表!$AL$54/4</f>
        <v>0</v>
      </c>
      <c r="AA16" s="63">
        <f>利润表!$AM$54/4</f>
        <v>0</v>
      </c>
      <c r="AB16" s="63">
        <f>利润表!$AM$54/4</f>
        <v>0</v>
      </c>
      <c r="AC16" s="63">
        <f>利润表!$AM$54/4</f>
        <v>0</v>
      </c>
      <c r="AD16" s="63">
        <f>利润表!$AM$54/4</f>
        <v>0</v>
      </c>
    </row>
    <row r="17" spans="1:31" ht="17.25">
      <c r="A17" s="65"/>
      <c r="B17" s="62" t="s">
        <v>335</v>
      </c>
      <c r="C17" s="66">
        <f>利润表!R57</f>
        <v>0</v>
      </c>
      <c r="D17" s="63">
        <f>利润表!S57-利润表!R57</f>
        <v>0</v>
      </c>
      <c r="E17" s="63">
        <f>利润表!T57-利润表!S57</f>
        <v>0</v>
      </c>
      <c r="F17" s="63">
        <f>利润表!U57-利润表!T57</f>
        <v>0</v>
      </c>
      <c r="G17" s="66">
        <f>利润表!V57</f>
        <v>0</v>
      </c>
      <c r="H17" s="63">
        <f>利润表!W57-利润表!V57</f>
        <v>0</v>
      </c>
      <c r="I17" s="63">
        <f>利润表!X57-利润表!W57</f>
        <v>0</v>
      </c>
      <c r="J17" s="63">
        <f>利润表!Y57-利润表!X57</f>
        <v>0</v>
      </c>
      <c r="K17" s="63">
        <f>利润表!Z57</f>
        <v>0</v>
      </c>
      <c r="L17" s="63">
        <f>利润表!AA57-利润表!Z57</f>
        <v>0</v>
      </c>
      <c r="M17" s="63">
        <f>利润表!AB57-利润表!AA57</f>
        <v>0</v>
      </c>
      <c r="N17" s="63">
        <f>利润表!AC57-利润表!AB57</f>
        <v>0</v>
      </c>
      <c r="O17" s="63">
        <f>利润表!AD57</f>
        <v>0</v>
      </c>
      <c r="P17" s="63">
        <f>利润表!AE57-利润表!AD57</f>
        <v>0</v>
      </c>
      <c r="Q17" s="63">
        <f>利润表!AF57-利润表!AE57</f>
        <v>0</v>
      </c>
      <c r="R17" s="63">
        <f>利润表!AG57-利润表!AF57</f>
        <v>0</v>
      </c>
      <c r="S17" s="85">
        <f>IF(财务基础数据!$AM$4=0,利润表!$AK$57/4,利润表!AH57)</f>
        <v>0</v>
      </c>
      <c r="T17" s="85">
        <f>IF(财务基础数据!$AM$4&lt;=1,利润表!$AK$57/4,利润表!AI57-利润表!AH57)</f>
        <v>0</v>
      </c>
      <c r="U17" s="85">
        <f>IF(财务基础数据!$AM$4&lt;=2,利润表!$AK$57/4,利润表!AJ57-利润表!AI57)</f>
        <v>0</v>
      </c>
      <c r="V17" s="63">
        <f>利润表!$AK$57-SUM(S17:U17)</f>
        <v>0</v>
      </c>
      <c r="W17" s="63">
        <f>利润表!$AL$57/4</f>
        <v>0</v>
      </c>
      <c r="X17" s="63">
        <f>利润表!$AL$57/4</f>
        <v>0</v>
      </c>
      <c r="Y17" s="63">
        <f>利润表!$AL$57/4</f>
        <v>0</v>
      </c>
      <c r="Z17" s="63">
        <f>利润表!$AL$57/4</f>
        <v>0</v>
      </c>
      <c r="AA17" s="63">
        <f>利润表!$AM$57/4</f>
        <v>0</v>
      </c>
      <c r="AB17" s="63">
        <f>利润表!$AM$57/4</f>
        <v>0</v>
      </c>
      <c r="AC17" s="63">
        <f>利润表!$AM$57/4</f>
        <v>0</v>
      </c>
      <c r="AD17" s="63">
        <f>利润表!$AM$57/4</f>
        <v>0</v>
      </c>
    </row>
    <row r="18" spans="1:31" ht="17.25">
      <c r="A18" s="65"/>
      <c r="B18" s="62" t="s">
        <v>459</v>
      </c>
      <c r="C18" s="66">
        <f>利润表!R60</f>
        <v>0</v>
      </c>
      <c r="D18" s="63">
        <f>利润表!S60-利润表!R60</f>
        <v>0</v>
      </c>
      <c r="E18" s="63">
        <f>利润表!T60-利润表!S60</f>
        <v>0</v>
      </c>
      <c r="F18" s="63">
        <f>利润表!U60-利润表!T60</f>
        <v>0</v>
      </c>
      <c r="G18" s="66">
        <f>利润表!V60</f>
        <v>0</v>
      </c>
      <c r="H18" s="63">
        <f>利润表!W60-利润表!V60</f>
        <v>0</v>
      </c>
      <c r="I18" s="63">
        <f>利润表!X60-利润表!W60</f>
        <v>0</v>
      </c>
      <c r="J18" s="63">
        <f>利润表!Y60-利润表!X60</f>
        <v>0</v>
      </c>
      <c r="K18" s="63">
        <f>利润表!Z60</f>
        <v>0</v>
      </c>
      <c r="L18" s="63">
        <f>利润表!AA60-利润表!Z60</f>
        <v>0</v>
      </c>
      <c r="M18" s="63">
        <f>利润表!AB60-利润表!AA60</f>
        <v>0</v>
      </c>
      <c r="N18" s="63">
        <f>利润表!AC60-利润表!AB60</f>
        <v>0</v>
      </c>
      <c r="O18" s="63">
        <f>利润表!AD60</f>
        <v>0</v>
      </c>
      <c r="P18" s="63">
        <f>利润表!AE60-利润表!AD60</f>
        <v>0</v>
      </c>
      <c r="Q18" s="63">
        <f>利润表!AF60-利润表!AE60</f>
        <v>0</v>
      </c>
      <c r="R18" s="63">
        <f>利润表!AG60-利润表!AF60</f>
        <v>0</v>
      </c>
      <c r="S18" s="85">
        <f>IF(财务基础数据!$AM$4=0,利润表!$AK$60/4,利润表!AH60)</f>
        <v>0</v>
      </c>
      <c r="T18" s="85">
        <f>IF(财务基础数据!$AM$4&lt;=1,利润表!$AK$60/4,利润表!AI60-利润表!AH60)</f>
        <v>0</v>
      </c>
      <c r="U18" s="85">
        <f>IF(财务基础数据!$AM$4&lt;=2,利润表!$AK$60/4,利润表!AJ60-利润表!AI60)</f>
        <v>0</v>
      </c>
      <c r="V18" s="63">
        <f>利润表!$AK$60-SUM(S18:U18)</f>
        <v>0</v>
      </c>
      <c r="W18" s="63">
        <f>利润表!$AL$60/4</f>
        <v>0</v>
      </c>
      <c r="X18" s="63">
        <f>利润表!$AL$60/4</f>
        <v>0</v>
      </c>
      <c r="Y18" s="63">
        <f>利润表!$AL$60/4</f>
        <v>0</v>
      </c>
      <c r="Z18" s="63">
        <f>利润表!$AL$60/4</f>
        <v>0</v>
      </c>
      <c r="AA18" s="63">
        <f>利润表!$AM$60/4</f>
        <v>0</v>
      </c>
      <c r="AB18" s="63">
        <f>利润表!$AM$60/4</f>
        <v>0</v>
      </c>
      <c r="AC18" s="63">
        <f>利润表!$AM$60/4</f>
        <v>0</v>
      </c>
      <c r="AD18" s="63">
        <f>利润表!$AM$60/4</f>
        <v>0</v>
      </c>
    </row>
    <row r="19" spans="1:31" ht="17.25">
      <c r="A19" s="65"/>
      <c r="B19" s="62" t="s">
        <v>460</v>
      </c>
      <c r="C19" s="66">
        <f>利润表!R63</f>
        <v>0</v>
      </c>
      <c r="D19" s="63">
        <f>利润表!S63-利润表!R63</f>
        <v>0</v>
      </c>
      <c r="E19" s="63">
        <f>利润表!T63-利润表!S63</f>
        <v>0</v>
      </c>
      <c r="F19" s="63">
        <f>利润表!U63-利润表!T63</f>
        <v>0</v>
      </c>
      <c r="G19" s="66">
        <f>利润表!V63</f>
        <v>0</v>
      </c>
      <c r="H19" s="63">
        <f>利润表!W63-利润表!V63</f>
        <v>0</v>
      </c>
      <c r="I19" s="63">
        <f>利润表!X63-利润表!W63</f>
        <v>0</v>
      </c>
      <c r="J19" s="63">
        <f>利润表!Y63-利润表!X63</f>
        <v>0</v>
      </c>
      <c r="K19" s="63">
        <f>利润表!Z63</f>
        <v>0</v>
      </c>
      <c r="L19" s="63">
        <f>利润表!AA63-利润表!Z63</f>
        <v>0</v>
      </c>
      <c r="M19" s="63">
        <f>利润表!AB63-利润表!AA63</f>
        <v>0</v>
      </c>
      <c r="N19" s="63">
        <f>利润表!AC63-利润表!AB63</f>
        <v>0</v>
      </c>
      <c r="O19" s="63">
        <f>利润表!AD63</f>
        <v>0</v>
      </c>
      <c r="P19" s="63">
        <f>利润表!AE63-利润表!AD63</f>
        <v>0</v>
      </c>
      <c r="Q19" s="63">
        <f>利润表!AF63-利润表!AE63</f>
        <v>0</v>
      </c>
      <c r="R19" s="63">
        <f>利润表!AG63-利润表!AF63</f>
        <v>0</v>
      </c>
      <c r="S19" s="85">
        <f>IF(财务基础数据!$AM$4=0,利润表!$AK$63/4,利润表!AH63)</f>
        <v>0</v>
      </c>
      <c r="T19" s="85">
        <f>IF(财务基础数据!$AM$4&lt;=1,利润表!$AK$63/4,利润表!AI63-利润表!AH63)</f>
        <v>0</v>
      </c>
      <c r="U19" s="85">
        <f>IF(财务基础数据!$AM$4&lt;=2,利润表!$AK$63/4,利润表!AJ63-利润表!AI63)</f>
        <v>0</v>
      </c>
      <c r="V19" s="63">
        <f>利润表!$AK$63-SUM(S19:U19)</f>
        <v>0</v>
      </c>
      <c r="W19" s="63">
        <f>利润表!$AL$63/4</f>
        <v>0</v>
      </c>
      <c r="X19" s="63">
        <f>利润表!$AL$63/4</f>
        <v>0</v>
      </c>
      <c r="Y19" s="63">
        <f>利润表!$AL$63/4</f>
        <v>0</v>
      </c>
      <c r="Z19" s="63">
        <f>利润表!$AL$63/4</f>
        <v>0</v>
      </c>
      <c r="AA19" s="63">
        <f>利润表!$AM$63/4</f>
        <v>0</v>
      </c>
      <c r="AB19" s="63">
        <f>利润表!$AM$63/4</f>
        <v>0</v>
      </c>
      <c r="AC19" s="63">
        <f>利润表!$AM$63/4</f>
        <v>0</v>
      </c>
      <c r="AD19" s="63">
        <f>利润表!$AM$63/4</f>
        <v>0</v>
      </c>
    </row>
    <row r="20" spans="1:31" ht="17.25">
      <c r="A20" s="65"/>
      <c r="B20" s="62" t="s">
        <v>89</v>
      </c>
      <c r="C20" s="66">
        <f>利润表!R66</f>
        <v>0</v>
      </c>
      <c r="D20" s="63">
        <f>利润表!S66-利润表!R66</f>
        <v>0</v>
      </c>
      <c r="E20" s="63">
        <f>利润表!T66-利润表!S66</f>
        <v>0</v>
      </c>
      <c r="F20" s="63">
        <f>利润表!U66-利润表!T66</f>
        <v>0</v>
      </c>
      <c r="G20" s="66">
        <f>利润表!V66</f>
        <v>0</v>
      </c>
      <c r="H20" s="63">
        <f>利润表!W66-利润表!V66</f>
        <v>0</v>
      </c>
      <c r="I20" s="63">
        <f>利润表!X66-利润表!W66</f>
        <v>0</v>
      </c>
      <c r="J20" s="63">
        <f>利润表!Y66-利润表!X66</f>
        <v>0</v>
      </c>
      <c r="K20" s="63">
        <f>利润表!Z66</f>
        <v>0</v>
      </c>
      <c r="L20" s="63">
        <f>利润表!AA66-利润表!Z66</f>
        <v>0</v>
      </c>
      <c r="M20" s="63">
        <f>利润表!AB66-利润表!AA66</f>
        <v>0</v>
      </c>
      <c r="N20" s="63">
        <f>利润表!AC66-利润表!AB66</f>
        <v>0</v>
      </c>
      <c r="O20" s="63">
        <f>利润表!AD66</f>
        <v>0</v>
      </c>
      <c r="P20" s="63">
        <f>利润表!AE66-利润表!AD66</f>
        <v>0</v>
      </c>
      <c r="Q20" s="63">
        <f>利润表!AF66-利润表!AE66</f>
        <v>0</v>
      </c>
      <c r="R20" s="63">
        <f>利润表!AG66-利润表!AF66</f>
        <v>0</v>
      </c>
      <c r="S20" s="63" t="str">
        <f>销售预测!AL39</f>
        <v>—</v>
      </c>
      <c r="T20" s="63" t="str">
        <f>销售预测!AM39</f>
        <v>—</v>
      </c>
      <c r="U20" s="63" t="str">
        <f>销售预测!AN39</f>
        <v>—</v>
      </c>
      <c r="V20" s="63">
        <f>销售预测!AO39</f>
        <v>0</v>
      </c>
      <c r="W20" s="63">
        <f>销售预测!AP39</f>
        <v>0</v>
      </c>
      <c r="X20" s="63">
        <f>销售预测!AQ39</f>
        <v>0</v>
      </c>
      <c r="Y20" s="63">
        <f>销售预测!AR39</f>
        <v>0</v>
      </c>
      <c r="Z20" s="63">
        <f>销售预测!AS39</f>
        <v>0</v>
      </c>
      <c r="AA20" s="63">
        <f>销售预测!AT39</f>
        <v>0</v>
      </c>
      <c r="AB20" s="63">
        <f>销售预测!AU39</f>
        <v>0</v>
      </c>
      <c r="AC20" s="63">
        <f>销售预测!AV39</f>
        <v>0</v>
      </c>
      <c r="AD20" s="63">
        <f>销售预测!AW39</f>
        <v>0</v>
      </c>
    </row>
    <row r="21" spans="1:31" ht="17.25">
      <c r="A21" s="65"/>
      <c r="B21" s="62" t="s">
        <v>342</v>
      </c>
      <c r="C21" s="63">
        <f>利润表!R69</f>
        <v>0</v>
      </c>
      <c r="D21" s="63">
        <f>利润表!S69-利润表!R69</f>
        <v>0</v>
      </c>
      <c r="E21" s="63">
        <f>利润表!T69-利润表!S69</f>
        <v>0</v>
      </c>
      <c r="F21" s="63">
        <f>利润表!U69-利润表!T69</f>
        <v>0</v>
      </c>
      <c r="G21" s="63">
        <f>利润表!V69</f>
        <v>0</v>
      </c>
      <c r="H21" s="63">
        <f>利润表!W69-利润表!V69</f>
        <v>0</v>
      </c>
      <c r="I21" s="63">
        <f>利润表!X69-利润表!W69</f>
        <v>0</v>
      </c>
      <c r="J21" s="63">
        <f>利润表!Y69-利润表!X69</f>
        <v>0</v>
      </c>
      <c r="K21" s="63">
        <f>利润表!Z69</f>
        <v>0</v>
      </c>
      <c r="L21" s="63">
        <f>利润表!AA69-利润表!Z69</f>
        <v>0</v>
      </c>
      <c r="M21" s="63">
        <f>利润表!AB69-利润表!AA69</f>
        <v>0</v>
      </c>
      <c r="N21" s="63">
        <f>利润表!AC69-利润表!AB69</f>
        <v>0</v>
      </c>
      <c r="O21" s="63">
        <f>利润表!AD69</f>
        <v>0</v>
      </c>
      <c r="P21" s="63">
        <f>利润表!AE69-利润表!AD69</f>
        <v>0</v>
      </c>
      <c r="Q21" s="63">
        <f>利润表!AF69-利润表!AE69</f>
        <v>0</v>
      </c>
      <c r="R21" s="63">
        <f>利润表!AG69-利润表!AF69</f>
        <v>0</v>
      </c>
      <c r="S21" s="85">
        <f>IF(财务基础数据!$AM$4=0,利润表!$AK$69/4,利润表!AH69)</f>
        <v>0</v>
      </c>
      <c r="T21" s="85">
        <f>IF(财务基础数据!$AM$4&lt;=1,利润表!$AK$69/4,利润表!AI69-利润表!AH69)</f>
        <v>0</v>
      </c>
      <c r="U21" s="85">
        <f>IF(财务基础数据!$AM$4&lt;=2,利润表!$AK$69/4,利润表!AJ69-利润表!AI69)</f>
        <v>0</v>
      </c>
      <c r="V21" s="63">
        <f>利润表!$AK$69-SUM(S21:U21)</f>
        <v>0</v>
      </c>
      <c r="W21" s="63">
        <f>利润表!$AL$69/4</f>
        <v>0</v>
      </c>
      <c r="X21" s="63">
        <f>利润表!$AL$69/4</f>
        <v>0</v>
      </c>
      <c r="Y21" s="63">
        <f>利润表!$AL$69/4</f>
        <v>0</v>
      </c>
      <c r="Z21" s="63">
        <f>利润表!$AL$69/4</f>
        <v>0</v>
      </c>
      <c r="AA21" s="63">
        <f>利润表!$AM$69/4</f>
        <v>0</v>
      </c>
      <c r="AB21" s="63">
        <f>利润表!$AM$69/4</f>
        <v>0</v>
      </c>
      <c r="AC21" s="63">
        <f>利润表!$AM$69/4</f>
        <v>0</v>
      </c>
      <c r="AD21" s="63">
        <f>利润表!$AM$69/4</f>
        <v>0</v>
      </c>
    </row>
    <row r="22" spans="1:31" s="52" customFormat="1" ht="15.75">
      <c r="B22" s="67" t="s">
        <v>344</v>
      </c>
      <c r="C22" s="68">
        <f>利润表!R73</f>
        <v>0</v>
      </c>
      <c r="D22" s="69">
        <f>利润表!S73-利润表!R73</f>
        <v>0</v>
      </c>
      <c r="E22" s="69">
        <f>利润表!T73-利润表!S73</f>
        <v>0</v>
      </c>
      <c r="F22" s="69">
        <f>利润表!U73-利润表!T73</f>
        <v>0</v>
      </c>
      <c r="G22" s="68">
        <f>利润表!V73</f>
        <v>0</v>
      </c>
      <c r="H22" s="69">
        <f>利润表!W73-利润表!V73</f>
        <v>0</v>
      </c>
      <c r="I22" s="69">
        <f>利润表!X73-利润表!W73</f>
        <v>0</v>
      </c>
      <c r="J22" s="69">
        <f>利润表!Y73-利润表!X73</f>
        <v>0</v>
      </c>
      <c r="K22" s="69">
        <f>利润表!Z73</f>
        <v>0</v>
      </c>
      <c r="L22" s="69">
        <f>利润表!AA73-利润表!Z73</f>
        <v>0</v>
      </c>
      <c r="M22" s="69">
        <f>利润表!AB73-利润表!AA73</f>
        <v>0</v>
      </c>
      <c r="N22" s="69">
        <f>利润表!AC73-利润表!AB73</f>
        <v>0</v>
      </c>
      <c r="O22" s="69">
        <f>利润表!AD73</f>
        <v>0</v>
      </c>
      <c r="P22" s="69">
        <f>利润表!AE73-利润表!AD73</f>
        <v>0</v>
      </c>
      <c r="Q22" s="69">
        <f>利润表!AF73-利润表!AE73</f>
        <v>0</v>
      </c>
      <c r="R22" s="69">
        <f>利润表!AG73-利润表!AF73</f>
        <v>0</v>
      </c>
      <c r="S22" s="69" t="str">
        <f>IF(ISERROR(S3-S6+SUM(S14:S21)),"—",S3-S6+SUM(S14:S21))</f>
        <v>—</v>
      </c>
      <c r="T22" s="69" t="str">
        <f>IF(ISERROR(T3-T6+SUM(T14:T21)),"—",T3-T6+SUM(T14:T21))</f>
        <v>—</v>
      </c>
      <c r="U22" s="69" t="str">
        <f>IF(ISERROR(U3-U6+SUM(U14:U21)),"—",U3-U6+SUM(U14:U21))</f>
        <v>—</v>
      </c>
      <c r="V22" s="69">
        <f>IF(ISERROR(V3-V6+SUM(V14:V21)),"—",V3-V6+SUM(V14:V21))</f>
        <v>0</v>
      </c>
      <c r="W22" s="69">
        <f>W3-W6+SUM(W14:W21)</f>
        <v>0</v>
      </c>
      <c r="X22" s="69">
        <f t="shared" ref="X22:AD22" si="2">X3-X6+SUM(X14:X21)</f>
        <v>0</v>
      </c>
      <c r="Y22" s="69">
        <f>Y3-Y6+SUM(Y14:Y21)</f>
        <v>0</v>
      </c>
      <c r="Z22" s="69">
        <f t="shared" si="2"/>
        <v>0</v>
      </c>
      <c r="AA22" s="69">
        <f t="shared" si="2"/>
        <v>0</v>
      </c>
      <c r="AB22" s="69">
        <f t="shared" si="2"/>
        <v>0</v>
      </c>
      <c r="AC22" s="69">
        <f t="shared" si="2"/>
        <v>0</v>
      </c>
      <c r="AD22" s="69">
        <f t="shared" si="2"/>
        <v>0</v>
      </c>
    </row>
    <row r="23" spans="1:31" ht="17.25">
      <c r="A23" s="65"/>
      <c r="B23" s="65" t="s">
        <v>91</v>
      </c>
      <c r="C23" s="66">
        <f>利润表!R77</f>
        <v>0</v>
      </c>
      <c r="D23" s="63">
        <f>利润表!S77-利润表!R77</f>
        <v>0</v>
      </c>
      <c r="E23" s="63">
        <f>利润表!T77-利润表!S77</f>
        <v>0</v>
      </c>
      <c r="F23" s="63">
        <f>利润表!U77-利润表!T77</f>
        <v>0</v>
      </c>
      <c r="G23" s="66">
        <f>利润表!V77</f>
        <v>0</v>
      </c>
      <c r="H23" s="63">
        <f>利润表!W77-利润表!V77</f>
        <v>0</v>
      </c>
      <c r="I23" s="63">
        <f>利润表!X77-利润表!W77</f>
        <v>0</v>
      </c>
      <c r="J23" s="63">
        <f>利润表!Y77-利润表!X77</f>
        <v>0</v>
      </c>
      <c r="K23" s="63">
        <f>利润表!Z77</f>
        <v>0</v>
      </c>
      <c r="L23" s="63">
        <f>利润表!AA77-利润表!Z77</f>
        <v>0</v>
      </c>
      <c r="M23" s="63">
        <f>利润表!AB77-利润表!AA77</f>
        <v>0</v>
      </c>
      <c r="N23" s="63">
        <f>利润表!AC77-利润表!AB77</f>
        <v>0</v>
      </c>
      <c r="O23" s="63">
        <f>利润表!AD77</f>
        <v>0</v>
      </c>
      <c r="P23" s="63">
        <f>利润表!AE77-利润表!AD77</f>
        <v>0</v>
      </c>
      <c r="Q23" s="63">
        <f>利润表!AF77-利润表!AE77</f>
        <v>0</v>
      </c>
      <c r="R23" s="63">
        <f>利润表!AG77-利润表!AF77</f>
        <v>0</v>
      </c>
      <c r="S23" s="86" t="str">
        <f>IF(销售预测!AL42="","—",销售预测!AL42)</f>
        <v>—</v>
      </c>
      <c r="T23" s="86" t="str">
        <f>IF(销售预测!AM42="","—",销售预测!AM42)</f>
        <v>—</v>
      </c>
      <c r="U23" s="63" t="str">
        <f>IF(销售预测!AN42="","—",销售预测!AN42)</f>
        <v>—</v>
      </c>
      <c r="V23" s="86" t="str">
        <f>IF(销售预测!AO42="","—",销售预测!AO42)</f>
        <v>—</v>
      </c>
      <c r="W23" s="86" t="str">
        <f>IF(销售预测!AP42="","—",销售预测!AP42)</f>
        <v>—</v>
      </c>
      <c r="X23" s="86" t="str">
        <f>IF(销售预测!AQ42="","—",销售预测!AQ42)</f>
        <v>—</v>
      </c>
      <c r="Y23" s="86" t="str">
        <f>IF(销售预测!AR42="","—",销售预测!AR42)</f>
        <v>—</v>
      </c>
      <c r="Z23" s="86" t="str">
        <f>IF(销售预测!AS42="","—",销售预测!AS42)</f>
        <v>—</v>
      </c>
      <c r="AA23" s="86" t="str">
        <f>IF(销售预测!AT42="","—",销售预测!AT42)</f>
        <v>—</v>
      </c>
      <c r="AB23" s="86" t="str">
        <f>IF(销售预测!AU42="","—",销售预测!AU42)</f>
        <v>—</v>
      </c>
      <c r="AC23" s="86" t="str">
        <f>IF(销售预测!AV42="","—",销售预测!AV42)</f>
        <v>—</v>
      </c>
      <c r="AD23" s="86" t="str">
        <f>IF(销售预测!AW42="","—",销售预测!AW42)</f>
        <v>—</v>
      </c>
    </row>
    <row r="24" spans="1:31" ht="17.25">
      <c r="A24" s="65"/>
      <c r="B24" s="65" t="s">
        <v>92</v>
      </c>
      <c r="C24" s="66">
        <f>利润表!R79</f>
        <v>0</v>
      </c>
      <c r="D24" s="63">
        <f>利润表!S79-利润表!R79</f>
        <v>0</v>
      </c>
      <c r="E24" s="63">
        <f>利润表!T79-利润表!S79</f>
        <v>0</v>
      </c>
      <c r="F24" s="63">
        <f>利润表!U79-利润表!T79</f>
        <v>0</v>
      </c>
      <c r="G24" s="66">
        <f>利润表!V79</f>
        <v>0</v>
      </c>
      <c r="H24" s="63">
        <f>利润表!W79-利润表!V79</f>
        <v>0</v>
      </c>
      <c r="I24" s="63">
        <f>利润表!X79-利润表!W79</f>
        <v>0</v>
      </c>
      <c r="J24" s="63">
        <f>利润表!Y79-利润表!X79</f>
        <v>0</v>
      </c>
      <c r="K24" s="63">
        <f>利润表!Z79</f>
        <v>0</v>
      </c>
      <c r="L24" s="63">
        <f>利润表!AA79-利润表!Z79</f>
        <v>0</v>
      </c>
      <c r="M24" s="63">
        <f>利润表!AB79-利润表!AA79</f>
        <v>0</v>
      </c>
      <c r="N24" s="63">
        <f>利润表!AC79-利润表!AB79</f>
        <v>0</v>
      </c>
      <c r="O24" s="63">
        <f>利润表!AD79</f>
        <v>0</v>
      </c>
      <c r="P24" s="63">
        <f>利润表!AE79-利润表!AD79</f>
        <v>0</v>
      </c>
      <c r="Q24" s="63">
        <f>利润表!AF79-利润表!AE79</f>
        <v>0</v>
      </c>
      <c r="R24" s="63">
        <f>利润表!AG79-利润表!AF79</f>
        <v>0</v>
      </c>
      <c r="S24" s="86" t="str">
        <f>IF(销售预测!AL43="","—",销售预测!AL43)</f>
        <v>—</v>
      </c>
      <c r="T24" s="86" t="str">
        <f>IF(销售预测!AM43="","—",销售预测!AM43)</f>
        <v>—</v>
      </c>
      <c r="U24" s="63" t="str">
        <f>IF(销售预测!AN43="","—",销售预测!AN43)</f>
        <v>—</v>
      </c>
      <c r="V24" s="86" t="str">
        <f>IF(销售预测!AO43="","—",销售预测!AO43)</f>
        <v>—</v>
      </c>
      <c r="W24" s="86" t="str">
        <f>IF(销售预测!AP43="","—",销售预测!AP43)</f>
        <v>—</v>
      </c>
      <c r="X24" s="86" t="str">
        <f>IF(销售预测!AQ43="","—",销售预测!AQ43)</f>
        <v>—</v>
      </c>
      <c r="Y24" s="86" t="str">
        <f>IF(销售预测!AR43="","—",销售预测!AR43)</f>
        <v>—</v>
      </c>
      <c r="Z24" s="86" t="str">
        <f>IF(销售预测!AS43="","—",销售预测!AS43)</f>
        <v>—</v>
      </c>
      <c r="AA24" s="86" t="str">
        <f>IF(销售预测!AT43="","—",销售预测!AT43)</f>
        <v>—</v>
      </c>
      <c r="AB24" s="86" t="str">
        <f>IF(销售预测!AU43="","—",销售预测!AU43)</f>
        <v>—</v>
      </c>
      <c r="AC24" s="86" t="str">
        <f>IF(销售预测!AV43="","—",销售预测!AV43)</f>
        <v>—</v>
      </c>
      <c r="AD24" s="86" t="str">
        <f>IF(销售预测!AW43="","—",销售预测!AW43)</f>
        <v>—</v>
      </c>
    </row>
    <row r="25" spans="1:31" ht="17.25">
      <c r="A25" s="65"/>
      <c r="B25" s="65" t="s">
        <v>93</v>
      </c>
      <c r="C25" s="66">
        <f>利润表!R81</f>
        <v>0</v>
      </c>
      <c r="D25" s="63">
        <f>利润表!S81-利润表!R81</f>
        <v>0</v>
      </c>
      <c r="E25" s="63">
        <f>利润表!T81-利润表!S81</f>
        <v>0</v>
      </c>
      <c r="F25" s="63">
        <f>利润表!U81-利润表!T81</f>
        <v>0</v>
      </c>
      <c r="G25" s="66">
        <f>利润表!V81</f>
        <v>0</v>
      </c>
      <c r="H25" s="63">
        <f>利润表!W81-利润表!V81</f>
        <v>0</v>
      </c>
      <c r="I25" s="63">
        <f>利润表!X81-利润表!W81</f>
        <v>0</v>
      </c>
      <c r="J25" s="63">
        <f>利润表!Y81-利润表!X81</f>
        <v>0</v>
      </c>
      <c r="K25" s="63">
        <f>利润表!Z81</f>
        <v>0</v>
      </c>
      <c r="L25" s="63">
        <f>利润表!AA81-利润表!Z81</f>
        <v>0</v>
      </c>
      <c r="M25" s="63">
        <f>利润表!AB81-利润表!AA81</f>
        <v>0</v>
      </c>
      <c r="N25" s="63">
        <f>利润表!AC81-利润表!AB81</f>
        <v>0</v>
      </c>
      <c r="O25" s="63">
        <f>利润表!AD81</f>
        <v>0</v>
      </c>
      <c r="P25" s="63">
        <f>利润表!AE81-利润表!AD81</f>
        <v>0</v>
      </c>
      <c r="Q25" s="63">
        <f>利润表!AF81-利润表!AE81</f>
        <v>0</v>
      </c>
      <c r="R25" s="63">
        <f>利润表!AG81-利润表!AF81</f>
        <v>0</v>
      </c>
      <c r="S25" s="86" t="str">
        <f>IF(ISERROR(S23-S24),"—",S23-S24)</f>
        <v>—</v>
      </c>
      <c r="T25" s="86" t="str">
        <f>IF(ISERROR(T23-T24),"—",T23-T24)</f>
        <v>—</v>
      </c>
      <c r="U25" s="63" t="str">
        <f>IF(ISERROR(U23-U24),"—",U23-U24)</f>
        <v>—</v>
      </c>
      <c r="V25" s="86" t="str">
        <f t="shared" ref="V25:AD25" si="3">IF(ISERROR(V23-V24),"—",V23-V24)</f>
        <v>—</v>
      </c>
      <c r="W25" s="86" t="str">
        <f t="shared" si="3"/>
        <v>—</v>
      </c>
      <c r="X25" s="86" t="str">
        <f t="shared" si="3"/>
        <v>—</v>
      </c>
      <c r="Y25" s="86" t="str">
        <f t="shared" si="3"/>
        <v>—</v>
      </c>
      <c r="Z25" s="86" t="str">
        <f t="shared" si="3"/>
        <v>—</v>
      </c>
      <c r="AA25" s="86" t="str">
        <f t="shared" si="3"/>
        <v>—</v>
      </c>
      <c r="AB25" s="86" t="str">
        <f t="shared" si="3"/>
        <v>—</v>
      </c>
      <c r="AC25" s="86" t="str">
        <f t="shared" si="3"/>
        <v>—</v>
      </c>
      <c r="AD25" s="86" t="str">
        <f t="shared" si="3"/>
        <v>—</v>
      </c>
    </row>
    <row r="26" spans="1:31" s="52" customFormat="1" ht="15.75">
      <c r="A26" s="70"/>
      <c r="B26" s="67" t="s">
        <v>348</v>
      </c>
      <c r="C26" s="68">
        <f>利润表!R84</f>
        <v>0</v>
      </c>
      <c r="D26" s="69">
        <f>利润表!S84-利润表!R84</f>
        <v>0</v>
      </c>
      <c r="E26" s="69">
        <f>利润表!T84-利润表!S84</f>
        <v>0</v>
      </c>
      <c r="F26" s="69">
        <f>利润表!U84-利润表!T84</f>
        <v>0</v>
      </c>
      <c r="G26" s="68">
        <f>利润表!V84</f>
        <v>0</v>
      </c>
      <c r="H26" s="69">
        <f>利润表!W84-利润表!V84</f>
        <v>0</v>
      </c>
      <c r="I26" s="69">
        <f>利润表!X84-利润表!W84</f>
        <v>0</v>
      </c>
      <c r="J26" s="69">
        <f>利润表!Y84-利润表!X84</f>
        <v>0</v>
      </c>
      <c r="K26" s="69">
        <f>利润表!Z84</f>
        <v>0</v>
      </c>
      <c r="L26" s="69">
        <f>利润表!AA84-利润表!Z84</f>
        <v>0</v>
      </c>
      <c r="M26" s="69">
        <f>利润表!AB84-利润表!AA84</f>
        <v>0</v>
      </c>
      <c r="N26" s="69">
        <f>利润表!AC84-利润表!AB84</f>
        <v>0</v>
      </c>
      <c r="O26" s="69">
        <f>利润表!AD84</f>
        <v>0</v>
      </c>
      <c r="P26" s="69">
        <f>利润表!AE84-利润表!AD84</f>
        <v>0</v>
      </c>
      <c r="Q26" s="69">
        <f>利润表!AF84-利润表!AE84</f>
        <v>0</v>
      </c>
      <c r="R26" s="69">
        <f>利润表!AG84-利润表!AF84</f>
        <v>0</v>
      </c>
      <c r="S26" s="87" t="str">
        <f>IF(ISERROR(S22+S25),"—",S22+S25)</f>
        <v>—</v>
      </c>
      <c r="T26" s="87" t="str">
        <f>IF(ISERROR(T22+T25),"—",T22+T25)</f>
        <v>—</v>
      </c>
      <c r="U26" s="87" t="str">
        <f>IF(ISERROR(U22+U25),"—",U22+U25)</f>
        <v>—</v>
      </c>
      <c r="V26" s="87" t="str">
        <f>IF(ISERROR(V22+V25),"—",V22+V25)</f>
        <v>—</v>
      </c>
      <c r="W26" s="87" t="str">
        <f t="shared" ref="W26:AD26" si="4">IF(ISERROR(W22+W25),"—",W22+W25)</f>
        <v>—</v>
      </c>
      <c r="X26" s="87" t="str">
        <f t="shared" si="4"/>
        <v>—</v>
      </c>
      <c r="Y26" s="87" t="str">
        <f t="shared" si="4"/>
        <v>—</v>
      </c>
      <c r="Z26" s="87" t="str">
        <f t="shared" si="4"/>
        <v>—</v>
      </c>
      <c r="AA26" s="87" t="str">
        <f t="shared" si="4"/>
        <v>—</v>
      </c>
      <c r="AB26" s="87" t="str">
        <f t="shared" si="4"/>
        <v>—</v>
      </c>
      <c r="AC26" s="87" t="str">
        <f t="shared" si="4"/>
        <v>—</v>
      </c>
      <c r="AD26" s="87" t="str">
        <f t="shared" si="4"/>
        <v>—</v>
      </c>
    </row>
    <row r="27" spans="1:31" ht="17.25">
      <c r="A27" s="65"/>
      <c r="B27" s="65" t="s">
        <v>95</v>
      </c>
      <c r="C27" s="66">
        <f>利润表!R86</f>
        <v>0</v>
      </c>
      <c r="D27" s="63">
        <f>利润表!S86-利润表!R86</f>
        <v>0</v>
      </c>
      <c r="E27" s="63">
        <f>利润表!T86-利润表!S86</f>
        <v>0</v>
      </c>
      <c r="F27" s="63">
        <f>利润表!U86-利润表!T86</f>
        <v>0</v>
      </c>
      <c r="G27" s="66">
        <f>利润表!V86</f>
        <v>0</v>
      </c>
      <c r="H27" s="63">
        <f>利润表!W86-利润表!V86</f>
        <v>0</v>
      </c>
      <c r="I27" s="63">
        <f>利润表!X86-利润表!W86</f>
        <v>0</v>
      </c>
      <c r="J27" s="63">
        <f>利润表!Y86-利润表!X86</f>
        <v>0</v>
      </c>
      <c r="K27" s="63">
        <f>利润表!Z86</f>
        <v>0</v>
      </c>
      <c r="L27" s="63">
        <f>利润表!AA86-利润表!Z86</f>
        <v>0</v>
      </c>
      <c r="M27" s="63">
        <f>利润表!AB86-利润表!AA86</f>
        <v>0</v>
      </c>
      <c r="N27" s="63">
        <f>利润表!AC86-利润表!AB86</f>
        <v>0</v>
      </c>
      <c r="O27" s="63">
        <f>利润表!AD86</f>
        <v>0</v>
      </c>
      <c r="P27" s="63">
        <f>利润表!AE86-利润表!AD86</f>
        <v>0</v>
      </c>
      <c r="Q27" s="63">
        <f>利润表!AF86-利润表!AE86</f>
        <v>0</v>
      </c>
      <c r="R27" s="63">
        <f>利润表!AG86-利润表!AF86</f>
        <v>0</v>
      </c>
      <c r="S27" s="86" t="str">
        <f>IF(销售预测!AL47="","—",销售预测!AL47)</f>
        <v>—</v>
      </c>
      <c r="T27" s="86" t="str">
        <f>IF(销售预测!AM47="","—",销售预测!AM47)</f>
        <v>—</v>
      </c>
      <c r="U27" s="86" t="str">
        <f>IF(销售预测!AN47="","—",销售预测!AN47)</f>
        <v>—</v>
      </c>
      <c r="V27" s="86" t="str">
        <f>IF(销售预测!AO47="","—",销售预测!AO47)</f>
        <v>—</v>
      </c>
      <c r="W27" s="86" t="str">
        <f>IF(销售预测!AP47="","—",销售预测!AP47)</f>
        <v>—</v>
      </c>
      <c r="X27" s="86" t="str">
        <f>IF(销售预测!AQ47="","—",销售预测!AQ47)</f>
        <v>—</v>
      </c>
      <c r="Y27" s="86" t="str">
        <f>IF(销售预测!AR47="","—",销售预测!AR47)</f>
        <v>—</v>
      </c>
      <c r="Z27" s="86" t="str">
        <f>IF(销售预测!AS47="","—",销售预测!AS47)</f>
        <v>—</v>
      </c>
      <c r="AA27" s="86" t="str">
        <f>IF(销售预测!AT47="","—",销售预测!AT47)</f>
        <v>—</v>
      </c>
      <c r="AB27" s="86" t="str">
        <f>IF(销售预测!AU47="","—",销售预测!AU47)</f>
        <v>—</v>
      </c>
      <c r="AC27" s="86" t="str">
        <f>IF(销售预测!AV47="","—",销售预测!AV47)</f>
        <v>—</v>
      </c>
      <c r="AD27" s="86" t="str">
        <f>IF(销售预测!AW47="","—",销售预测!AW47)</f>
        <v>—</v>
      </c>
    </row>
    <row r="28" spans="1:31" ht="17.25">
      <c r="A28" s="65"/>
      <c r="B28" s="65" t="s">
        <v>97</v>
      </c>
      <c r="C28" s="66">
        <f>利润表!R91</f>
        <v>0</v>
      </c>
      <c r="D28" s="63">
        <f>利润表!S91-利润表!R91</f>
        <v>0</v>
      </c>
      <c r="E28" s="63">
        <f>利润表!T91-利润表!S91</f>
        <v>0</v>
      </c>
      <c r="F28" s="63">
        <f>利润表!U91-利润表!T91</f>
        <v>0</v>
      </c>
      <c r="G28" s="66">
        <f>利润表!V91</f>
        <v>0</v>
      </c>
      <c r="H28" s="63">
        <f>利润表!W91-利润表!V91</f>
        <v>0</v>
      </c>
      <c r="I28" s="63">
        <f>利润表!X91-利润表!W91</f>
        <v>0</v>
      </c>
      <c r="J28" s="63">
        <f>利润表!Y91-利润表!X91</f>
        <v>0</v>
      </c>
      <c r="K28" s="63">
        <f>利润表!Z91</f>
        <v>0</v>
      </c>
      <c r="L28" s="63">
        <f>利润表!AA91-利润表!Z91</f>
        <v>0</v>
      </c>
      <c r="M28" s="63">
        <f>利润表!AB91-利润表!AA91</f>
        <v>0</v>
      </c>
      <c r="N28" s="63">
        <f>利润表!AC91-利润表!AB91</f>
        <v>0</v>
      </c>
      <c r="O28" s="63">
        <f>利润表!AD91</f>
        <v>0</v>
      </c>
      <c r="P28" s="63">
        <f>利润表!AE91-利润表!AD91</f>
        <v>0</v>
      </c>
      <c r="Q28" s="63">
        <f>利润表!AF91-利润表!AE91</f>
        <v>0</v>
      </c>
      <c r="R28" s="63">
        <f>利润表!AG91-利润表!AF91</f>
        <v>0</v>
      </c>
      <c r="S28" s="86" t="str">
        <f>IF(销售预测!AL50="","—",销售预测!AL50)</f>
        <v>—</v>
      </c>
      <c r="T28" s="86" t="str">
        <f>IF(销售预测!AM50="","—",销售预测!AM50)</f>
        <v>—</v>
      </c>
      <c r="U28" s="86" t="str">
        <f>IF(销售预测!AN50="","—",销售预测!AN50)</f>
        <v>—</v>
      </c>
      <c r="V28" s="86" t="str">
        <f>IF(销售预测!AO50="","—",销售预测!AO50)</f>
        <v>—</v>
      </c>
      <c r="W28" s="86" t="str">
        <f>IF(销售预测!AP50="","—",销售预测!AP50)</f>
        <v>—</v>
      </c>
      <c r="X28" s="86" t="str">
        <f>IF(销售预测!AQ50="","—",销售预测!AQ50)</f>
        <v>—</v>
      </c>
      <c r="Y28" s="86" t="str">
        <f>IF(销售预测!AR50="","—",销售预测!AR50)</f>
        <v>—</v>
      </c>
      <c r="Z28" s="86" t="str">
        <f>IF(销售预测!AS50="","—",销售预测!AS50)</f>
        <v>—</v>
      </c>
      <c r="AA28" s="86" t="str">
        <f>IF(销售预测!AT50="","—",销售预测!AT50)</f>
        <v>—</v>
      </c>
      <c r="AB28" s="86" t="str">
        <f>IF(销售预测!AU50="","—",销售预测!AU50)</f>
        <v>—</v>
      </c>
      <c r="AC28" s="86" t="str">
        <f>IF(销售预测!AV50="","—",销售预测!AV50)</f>
        <v>—</v>
      </c>
      <c r="AD28" s="86" t="str">
        <f>IF(销售预测!AW50="","—",销售预测!AW50)</f>
        <v>—</v>
      </c>
    </row>
    <row r="29" spans="1:31" s="52" customFormat="1" ht="15.75">
      <c r="A29" s="71"/>
      <c r="B29" s="70" t="s">
        <v>356</v>
      </c>
      <c r="C29" s="72">
        <f>利润表!R94</f>
        <v>0</v>
      </c>
      <c r="D29" s="61">
        <f>利润表!S94-利润表!R94</f>
        <v>0</v>
      </c>
      <c r="E29" s="61">
        <f>利润表!T94-利润表!S94</f>
        <v>0</v>
      </c>
      <c r="F29" s="61">
        <f>利润表!U94-利润表!T94</f>
        <v>0</v>
      </c>
      <c r="G29" s="72">
        <f>利润表!V94</f>
        <v>0</v>
      </c>
      <c r="H29" s="61">
        <f>利润表!W94-利润表!V94</f>
        <v>0</v>
      </c>
      <c r="I29" s="61">
        <f>利润表!X94-利润表!W94</f>
        <v>0</v>
      </c>
      <c r="J29" s="61">
        <f>利润表!Y94-利润表!X94</f>
        <v>0</v>
      </c>
      <c r="K29" s="61">
        <f>利润表!Z94</f>
        <v>0</v>
      </c>
      <c r="L29" s="61">
        <f>利润表!AA94-利润表!Z94</f>
        <v>0</v>
      </c>
      <c r="M29" s="61">
        <f>利润表!AB94-利润表!AA94</f>
        <v>0</v>
      </c>
      <c r="N29" s="61">
        <f>利润表!AC94-利润表!AB94</f>
        <v>0</v>
      </c>
      <c r="O29" s="61">
        <f>利润表!AD94</f>
        <v>0</v>
      </c>
      <c r="P29" s="61">
        <f>利润表!AE94-利润表!AD94</f>
        <v>0</v>
      </c>
      <c r="Q29" s="61">
        <f>利润表!AF94-利润表!AE94</f>
        <v>0</v>
      </c>
      <c r="R29" s="61">
        <f>利润表!AG94-利润表!AF94</f>
        <v>0</v>
      </c>
      <c r="S29" s="88" t="str">
        <f t="shared" ref="S29:AD29" si="5">IF(ISERROR(S26-S27-S28),"—",S26-S27-S28)</f>
        <v>—</v>
      </c>
      <c r="T29" s="88" t="str">
        <f t="shared" si="5"/>
        <v>—</v>
      </c>
      <c r="U29" s="88" t="str">
        <f t="shared" si="5"/>
        <v>—</v>
      </c>
      <c r="V29" s="88" t="str">
        <f>IF(ISERROR(V26-V27-V28),"—",V26-V27-V28)</f>
        <v>—</v>
      </c>
      <c r="W29" s="88" t="str">
        <f t="shared" si="5"/>
        <v>—</v>
      </c>
      <c r="X29" s="88" t="str">
        <f t="shared" si="5"/>
        <v>—</v>
      </c>
      <c r="Y29" s="88" t="str">
        <f t="shared" si="5"/>
        <v>—</v>
      </c>
      <c r="Z29" s="88" t="str">
        <f t="shared" si="5"/>
        <v>—</v>
      </c>
      <c r="AA29" s="88" t="str">
        <f t="shared" si="5"/>
        <v>—</v>
      </c>
      <c r="AB29" s="88" t="str">
        <f t="shared" si="5"/>
        <v>—</v>
      </c>
      <c r="AC29" s="88" t="str">
        <f t="shared" si="5"/>
        <v>—</v>
      </c>
      <c r="AD29" s="88" t="str">
        <f t="shared" si="5"/>
        <v>—</v>
      </c>
    </row>
    <row r="30" spans="1:31" ht="17.25">
      <c r="B30" s="73" t="s">
        <v>726</v>
      </c>
      <c r="C30" s="74" t="str">
        <f>IF(ISERROR(C29/主要财务摘要!$F$4),"—",C29/主要财务摘要!$F$4)</f>
        <v>—</v>
      </c>
      <c r="D30" s="74" t="str">
        <f>IF(ISERROR(D29/主要财务摘要!$F$4),"—",D29/主要财务摘要!$F$4)</f>
        <v>—</v>
      </c>
      <c r="E30" s="74" t="str">
        <f>IF(ISERROR(E29/主要财务摘要!$F$4),"—",E29/主要财务摘要!$F$4)</f>
        <v>—</v>
      </c>
      <c r="F30" s="74" t="str">
        <f>IF(ISERROR(F29/主要财务摘要!$F$4),"—",F29/主要财务摘要!$F$4)</f>
        <v>—</v>
      </c>
      <c r="G30" s="74" t="str">
        <f>IF(ISERROR(G29/主要财务摘要!$F$4),"—",G29/主要财务摘要!$F$4)</f>
        <v>—</v>
      </c>
      <c r="H30" s="74" t="str">
        <f>IF(ISERROR(H29/主要财务摘要!$F$4),"—",H29/主要财务摘要!$F$4)</f>
        <v>—</v>
      </c>
      <c r="I30" s="74" t="str">
        <f>IF(ISERROR(I29/主要财务摘要!$F$4),"—",I29/主要财务摘要!$F$4)</f>
        <v>—</v>
      </c>
      <c r="J30" s="74" t="str">
        <f>IF(ISERROR(J29/主要财务摘要!$F$4),"—",J29/主要财务摘要!$F$4)</f>
        <v>—</v>
      </c>
      <c r="K30" s="74" t="str">
        <f>IF(ISERROR(K29/主要财务摘要!$F$4),"—",K29/主要财务摘要!$F$4)</f>
        <v>—</v>
      </c>
      <c r="L30" s="74" t="str">
        <f>IF(ISERROR(L29/主要财务摘要!$F$4),"—",L29/主要财务摘要!$F$4)</f>
        <v>—</v>
      </c>
      <c r="M30" s="74" t="str">
        <f>IF(ISERROR(M29/主要财务摘要!$F$4),"—",M29/主要财务摘要!$F$4)</f>
        <v>—</v>
      </c>
      <c r="N30" s="74" t="str">
        <f>IF(ISERROR(N29/主要财务摘要!$F$4),"—",N29/主要财务摘要!$F$4)</f>
        <v>—</v>
      </c>
      <c r="O30" s="74" t="str">
        <f>IF(ISERROR(O29/主要财务摘要!$F$4),"—",O29/主要财务摘要!$F$4)</f>
        <v>—</v>
      </c>
      <c r="P30" s="74" t="str">
        <f>IF(ISERROR(P29/主要财务摘要!$F$4),"—",P29/主要财务摘要!$F$4)</f>
        <v>—</v>
      </c>
      <c r="Q30" s="74" t="str">
        <f>IF(ISERROR(Q29/主要财务摘要!$F$4),"—",Q29/主要财务摘要!$F$4)</f>
        <v>—</v>
      </c>
      <c r="R30" s="74" t="str">
        <f>IF(ISERROR(R29/主要财务摘要!$F$4),"—",R29/主要财务摘要!$F$4)</f>
        <v>—</v>
      </c>
      <c r="S30" s="74" t="str">
        <f>IF(ISERROR(S29/主要财务摘要!$F$4),"—",S29/主要财务摘要!$F$4)</f>
        <v>—</v>
      </c>
      <c r="T30" s="74" t="str">
        <f>IF(ISERROR(T29/主要财务摘要!$F$4),"—",T29/主要财务摘要!$F$4)</f>
        <v>—</v>
      </c>
      <c r="U30" s="89" t="str">
        <f>IF(ISERROR(U29/主要财务摘要!$F$4),"—",U29/主要财务摘要!$F$4)</f>
        <v>—</v>
      </c>
      <c r="V30" s="74" t="str">
        <f>IF(ISERROR(V29/主要财务摘要!$F$4),"—",V29/主要财务摘要!$F$4)</f>
        <v>—</v>
      </c>
      <c r="W30" s="74" t="str">
        <f>IF(ISERROR(W29/主要财务摘要!$F$4),"—",W29/主要财务摘要!$F$4)</f>
        <v>—</v>
      </c>
      <c r="X30" s="74" t="str">
        <f>IF(ISERROR(X29/主要财务摘要!$F$4),"—",X29/主要财务摘要!$F$4)</f>
        <v>—</v>
      </c>
      <c r="Y30" s="74" t="str">
        <f>IF(ISERROR(Y29/主要财务摘要!$F$4),"—",Y29/主要财务摘要!$F$4)</f>
        <v>—</v>
      </c>
      <c r="Z30" s="74" t="str">
        <f>IF(ISERROR(Z29/主要财务摘要!$F$4),"—",Z29/主要财务摘要!$F$4)</f>
        <v>—</v>
      </c>
      <c r="AA30" s="74" t="str">
        <f>IF(ISERROR(AA29/主要财务摘要!$F$4),"—",AA29/主要财务摘要!$F$4)</f>
        <v>—</v>
      </c>
      <c r="AB30" s="74" t="str">
        <f>IF(ISERROR(AB29/主要财务摘要!$F$4),"—",AB29/主要财务摘要!$F$4)</f>
        <v>—</v>
      </c>
      <c r="AC30" s="74" t="str">
        <f>IF(ISERROR(AC29/主要财务摘要!$F$4),"—",AC29/主要财务摘要!$F$4)</f>
        <v>—</v>
      </c>
      <c r="AD30" s="74" t="str">
        <f>IF(ISERROR(AD29/主要财务摘要!$F$4),"—",AD29/主要财务摘要!$F$4)</f>
        <v>—</v>
      </c>
    </row>
    <row r="32" spans="1:31" ht="22.5" customHeight="1">
      <c r="A32" s="54"/>
      <c r="B32" s="55" t="s">
        <v>727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54"/>
    </row>
    <row r="33" spans="1:31" ht="18" customHeight="1">
      <c r="A33" s="57"/>
      <c r="B33" s="58"/>
      <c r="C33" s="59" t="str">
        <f>C2</f>
        <v>1Q2020</v>
      </c>
      <c r="D33" s="59" t="str">
        <f t="shared" ref="D33:AD33" si="6">D2</f>
        <v>2Q2020</v>
      </c>
      <c r="E33" s="59" t="str">
        <f t="shared" si="6"/>
        <v>3Q2020</v>
      </c>
      <c r="F33" s="59" t="str">
        <f t="shared" si="6"/>
        <v>4Q2020</v>
      </c>
      <c r="G33" s="59" t="str">
        <f t="shared" si="6"/>
        <v>1Q2021</v>
      </c>
      <c r="H33" s="59" t="str">
        <f t="shared" si="6"/>
        <v>2Q2021</v>
      </c>
      <c r="I33" s="59" t="str">
        <f t="shared" si="6"/>
        <v>3Q2021</v>
      </c>
      <c r="J33" s="59" t="str">
        <f t="shared" si="6"/>
        <v>4Q2021</v>
      </c>
      <c r="K33" s="59" t="str">
        <f t="shared" si="6"/>
        <v>1Q2022</v>
      </c>
      <c r="L33" s="59" t="str">
        <f t="shared" si="6"/>
        <v>2Q2022</v>
      </c>
      <c r="M33" s="59" t="str">
        <f t="shared" si="6"/>
        <v>3Q2022</v>
      </c>
      <c r="N33" s="59" t="str">
        <f t="shared" si="6"/>
        <v>4Q2022</v>
      </c>
      <c r="O33" s="59" t="str">
        <f t="shared" si="6"/>
        <v>1Q2023</v>
      </c>
      <c r="P33" s="59" t="str">
        <f t="shared" si="6"/>
        <v>2Q2023</v>
      </c>
      <c r="Q33" s="59" t="str">
        <f t="shared" si="6"/>
        <v>3Q2023</v>
      </c>
      <c r="R33" s="59" t="str">
        <f t="shared" si="6"/>
        <v>4Q2023</v>
      </c>
      <c r="S33" s="83" t="str">
        <f t="shared" si="6"/>
        <v>1Q2024</v>
      </c>
      <c r="T33" s="84" t="str">
        <f t="shared" si="6"/>
        <v>2Q2024</v>
      </c>
      <c r="U33" s="84" t="str">
        <f t="shared" si="6"/>
        <v>3Q2024</v>
      </c>
      <c r="V33" s="83" t="str">
        <f t="shared" si="6"/>
        <v>4Q2024</v>
      </c>
      <c r="W33" s="84" t="str">
        <f t="shared" si="6"/>
        <v>1Q2025</v>
      </c>
      <c r="X33" s="84" t="str">
        <f t="shared" si="6"/>
        <v>2Q2025</v>
      </c>
      <c r="Y33" s="83" t="str">
        <f t="shared" si="6"/>
        <v>3Q2025</v>
      </c>
      <c r="Z33" s="84" t="str">
        <f t="shared" si="6"/>
        <v>4Q2025</v>
      </c>
      <c r="AA33" s="84" t="str">
        <f t="shared" si="6"/>
        <v>1Q2026</v>
      </c>
      <c r="AB33" s="83" t="str">
        <f t="shared" si="6"/>
        <v>2Q2026</v>
      </c>
      <c r="AC33" s="84" t="str">
        <f t="shared" si="6"/>
        <v>3Q2026</v>
      </c>
      <c r="AD33" s="84" t="str">
        <f t="shared" si="6"/>
        <v>4Q2026</v>
      </c>
      <c r="AE33" s="57"/>
    </row>
    <row r="34" spans="1:31" ht="15.75">
      <c r="B34" s="70" t="s">
        <v>728</v>
      </c>
    </row>
    <row r="35" spans="1:31" ht="17.25">
      <c r="A35" s="75"/>
      <c r="B35" s="65" t="s">
        <v>66</v>
      </c>
      <c r="C35" s="76" t="str">
        <f>IF(ISERROR((C4-C7)/C4),"—",(C4-C7)/C4)</f>
        <v>—</v>
      </c>
      <c r="D35" s="76" t="str">
        <f t="shared" ref="D35:AD35" si="7">IF(ISERROR((D4-D7)/D4),"—",(D4-D7)/D4)</f>
        <v>—</v>
      </c>
      <c r="E35" s="76" t="str">
        <f t="shared" si="7"/>
        <v>—</v>
      </c>
      <c r="F35" s="76" t="str">
        <f t="shared" si="7"/>
        <v>—</v>
      </c>
      <c r="G35" s="76" t="str">
        <f t="shared" si="7"/>
        <v>—</v>
      </c>
      <c r="H35" s="76" t="str">
        <f t="shared" si="7"/>
        <v>—</v>
      </c>
      <c r="I35" s="76" t="str">
        <f t="shared" si="7"/>
        <v>—</v>
      </c>
      <c r="J35" s="76" t="str">
        <f t="shared" si="7"/>
        <v>—</v>
      </c>
      <c r="K35" s="76" t="str">
        <f t="shared" si="7"/>
        <v>—</v>
      </c>
      <c r="L35" s="76" t="str">
        <f t="shared" si="7"/>
        <v>—</v>
      </c>
      <c r="M35" s="76" t="str">
        <f t="shared" si="7"/>
        <v>—</v>
      </c>
      <c r="N35" s="76" t="str">
        <f t="shared" si="7"/>
        <v>—</v>
      </c>
      <c r="O35" s="76" t="str">
        <f t="shared" si="7"/>
        <v>—</v>
      </c>
      <c r="P35" s="76" t="str">
        <f t="shared" si="7"/>
        <v>—</v>
      </c>
      <c r="Q35" s="76" t="str">
        <f t="shared" si="7"/>
        <v>—</v>
      </c>
      <c r="R35" s="76" t="str">
        <f t="shared" si="7"/>
        <v>—</v>
      </c>
      <c r="S35" s="76" t="str">
        <f t="shared" si="7"/>
        <v>—</v>
      </c>
      <c r="T35" s="76" t="str">
        <f t="shared" si="7"/>
        <v>—</v>
      </c>
      <c r="U35" s="76" t="str">
        <f t="shared" si="7"/>
        <v>—</v>
      </c>
      <c r="V35" s="76" t="str">
        <f t="shared" si="7"/>
        <v>—</v>
      </c>
      <c r="W35" s="76" t="str">
        <f t="shared" si="7"/>
        <v>—</v>
      </c>
      <c r="X35" s="76" t="str">
        <f t="shared" si="7"/>
        <v>—</v>
      </c>
      <c r="Y35" s="76" t="str">
        <f t="shared" si="7"/>
        <v>—</v>
      </c>
      <c r="Z35" s="76" t="str">
        <f t="shared" si="7"/>
        <v>—</v>
      </c>
      <c r="AA35" s="76" t="str">
        <f t="shared" si="7"/>
        <v>—</v>
      </c>
      <c r="AB35" s="76" t="str">
        <f t="shared" si="7"/>
        <v>—</v>
      </c>
      <c r="AC35" s="76" t="str">
        <f t="shared" si="7"/>
        <v>—</v>
      </c>
      <c r="AD35" s="76" t="str">
        <f t="shared" si="7"/>
        <v>—</v>
      </c>
      <c r="AE35" s="90"/>
    </row>
    <row r="36" spans="1:31" ht="17.25">
      <c r="A36" s="75"/>
      <c r="B36" s="65" t="s">
        <v>78</v>
      </c>
      <c r="C36" s="76" t="str">
        <f>IF(ISERROR(C9/C4),"—",C9/C4)</f>
        <v>—</v>
      </c>
      <c r="D36" s="76" t="str">
        <f t="shared" ref="D36:AD36" si="8">IF(ISERROR(D9/D4),"—",D9/D4)</f>
        <v>—</v>
      </c>
      <c r="E36" s="76" t="str">
        <f t="shared" si="8"/>
        <v>—</v>
      </c>
      <c r="F36" s="76" t="str">
        <f t="shared" si="8"/>
        <v>—</v>
      </c>
      <c r="G36" s="76" t="str">
        <f t="shared" si="8"/>
        <v>—</v>
      </c>
      <c r="H36" s="76" t="str">
        <f t="shared" si="8"/>
        <v>—</v>
      </c>
      <c r="I36" s="76" t="str">
        <f t="shared" si="8"/>
        <v>—</v>
      </c>
      <c r="J36" s="76" t="str">
        <f t="shared" si="8"/>
        <v>—</v>
      </c>
      <c r="K36" s="76" t="str">
        <f t="shared" si="8"/>
        <v>—</v>
      </c>
      <c r="L36" s="76" t="str">
        <f t="shared" si="8"/>
        <v>—</v>
      </c>
      <c r="M36" s="76" t="str">
        <f t="shared" si="8"/>
        <v>—</v>
      </c>
      <c r="N36" s="76" t="str">
        <f t="shared" si="8"/>
        <v>—</v>
      </c>
      <c r="O36" s="76" t="str">
        <f t="shared" si="8"/>
        <v>—</v>
      </c>
      <c r="P36" s="76" t="str">
        <f t="shared" si="8"/>
        <v>—</v>
      </c>
      <c r="Q36" s="76" t="str">
        <f t="shared" si="8"/>
        <v>—</v>
      </c>
      <c r="R36" s="76" t="str">
        <f t="shared" si="8"/>
        <v>—</v>
      </c>
      <c r="S36" s="76" t="str">
        <f t="shared" si="8"/>
        <v>—</v>
      </c>
      <c r="T36" s="76" t="str">
        <f t="shared" si="8"/>
        <v>—</v>
      </c>
      <c r="U36" s="76" t="str">
        <f t="shared" si="8"/>
        <v>—</v>
      </c>
      <c r="V36" s="76" t="str">
        <f t="shared" si="8"/>
        <v>—</v>
      </c>
      <c r="W36" s="76" t="str">
        <f t="shared" si="8"/>
        <v>—</v>
      </c>
      <c r="X36" s="76" t="str">
        <f t="shared" si="8"/>
        <v>—</v>
      </c>
      <c r="Y36" s="76" t="str">
        <f t="shared" si="8"/>
        <v>—</v>
      </c>
      <c r="Z36" s="76" t="str">
        <f t="shared" si="8"/>
        <v>—</v>
      </c>
      <c r="AA36" s="76" t="str">
        <f t="shared" si="8"/>
        <v>—</v>
      </c>
      <c r="AB36" s="76" t="str">
        <f t="shared" si="8"/>
        <v>—</v>
      </c>
      <c r="AC36" s="76" t="str">
        <f t="shared" si="8"/>
        <v>—</v>
      </c>
      <c r="AD36" s="76" t="str">
        <f t="shared" si="8"/>
        <v>—</v>
      </c>
      <c r="AE36" s="90"/>
    </row>
    <row r="37" spans="1:31" ht="17.25">
      <c r="A37" s="75"/>
      <c r="B37" s="65" t="s">
        <v>80</v>
      </c>
      <c r="C37" s="76" t="str">
        <f>IF(ISERROR(C10/C4),"—",C10/C4)</f>
        <v>—</v>
      </c>
      <c r="D37" s="76" t="str">
        <f t="shared" ref="D37:AD37" si="9">IF(ISERROR(D10/D4),"—",D10/D4)</f>
        <v>—</v>
      </c>
      <c r="E37" s="76" t="str">
        <f t="shared" si="9"/>
        <v>—</v>
      </c>
      <c r="F37" s="76" t="str">
        <f t="shared" si="9"/>
        <v>—</v>
      </c>
      <c r="G37" s="76" t="str">
        <f t="shared" si="9"/>
        <v>—</v>
      </c>
      <c r="H37" s="76" t="str">
        <f t="shared" si="9"/>
        <v>—</v>
      </c>
      <c r="I37" s="76" t="str">
        <f t="shared" si="9"/>
        <v>—</v>
      </c>
      <c r="J37" s="76" t="str">
        <f t="shared" si="9"/>
        <v>—</v>
      </c>
      <c r="K37" s="76" t="str">
        <f t="shared" si="9"/>
        <v>—</v>
      </c>
      <c r="L37" s="76" t="str">
        <f t="shared" si="9"/>
        <v>—</v>
      </c>
      <c r="M37" s="76" t="str">
        <f t="shared" si="9"/>
        <v>—</v>
      </c>
      <c r="N37" s="76" t="str">
        <f t="shared" si="9"/>
        <v>—</v>
      </c>
      <c r="O37" s="76" t="str">
        <f t="shared" si="9"/>
        <v>—</v>
      </c>
      <c r="P37" s="76" t="str">
        <f t="shared" si="9"/>
        <v>—</v>
      </c>
      <c r="Q37" s="76" t="str">
        <f t="shared" si="9"/>
        <v>—</v>
      </c>
      <c r="R37" s="76" t="str">
        <f t="shared" si="9"/>
        <v>—</v>
      </c>
      <c r="S37" s="76" t="str">
        <f t="shared" si="9"/>
        <v>—</v>
      </c>
      <c r="T37" s="76" t="str">
        <f t="shared" si="9"/>
        <v>—</v>
      </c>
      <c r="U37" s="76" t="str">
        <f t="shared" si="9"/>
        <v>—</v>
      </c>
      <c r="V37" s="76" t="str">
        <f t="shared" si="9"/>
        <v>—</v>
      </c>
      <c r="W37" s="76" t="str">
        <f t="shared" si="9"/>
        <v>—</v>
      </c>
      <c r="X37" s="76" t="str">
        <f t="shared" si="9"/>
        <v>—</v>
      </c>
      <c r="Y37" s="76" t="str">
        <f t="shared" si="9"/>
        <v>—</v>
      </c>
      <c r="Z37" s="76" t="str">
        <f t="shared" si="9"/>
        <v>—</v>
      </c>
      <c r="AA37" s="76" t="str">
        <f t="shared" si="9"/>
        <v>—</v>
      </c>
      <c r="AB37" s="76" t="str">
        <f t="shared" si="9"/>
        <v>—</v>
      </c>
      <c r="AC37" s="76" t="str">
        <f t="shared" si="9"/>
        <v>—</v>
      </c>
      <c r="AD37" s="76" t="str">
        <f t="shared" si="9"/>
        <v>—</v>
      </c>
      <c r="AE37" s="90"/>
    </row>
    <row r="38" spans="1:31" ht="17.25">
      <c r="A38" s="75"/>
      <c r="B38" s="65" t="s">
        <v>82</v>
      </c>
      <c r="C38" s="76" t="str">
        <f>IF(ISERROR(C11/C4),"—",C11/C4)</f>
        <v>—</v>
      </c>
      <c r="D38" s="76" t="str">
        <f t="shared" ref="D38:AD38" si="10">IF(ISERROR(D11/D4),"—",D11/D4)</f>
        <v>—</v>
      </c>
      <c r="E38" s="76" t="str">
        <f t="shared" si="10"/>
        <v>—</v>
      </c>
      <c r="F38" s="76" t="str">
        <f t="shared" si="10"/>
        <v>—</v>
      </c>
      <c r="G38" s="76" t="str">
        <f t="shared" si="10"/>
        <v>—</v>
      </c>
      <c r="H38" s="76" t="str">
        <f t="shared" si="10"/>
        <v>—</v>
      </c>
      <c r="I38" s="76" t="str">
        <f t="shared" si="10"/>
        <v>—</v>
      </c>
      <c r="J38" s="76" t="str">
        <f t="shared" si="10"/>
        <v>—</v>
      </c>
      <c r="K38" s="76" t="str">
        <f t="shared" si="10"/>
        <v>—</v>
      </c>
      <c r="L38" s="76" t="str">
        <f t="shared" si="10"/>
        <v>—</v>
      </c>
      <c r="M38" s="76" t="str">
        <f t="shared" si="10"/>
        <v>—</v>
      </c>
      <c r="N38" s="76" t="str">
        <f t="shared" si="10"/>
        <v>—</v>
      </c>
      <c r="O38" s="76" t="str">
        <f t="shared" si="10"/>
        <v>—</v>
      </c>
      <c r="P38" s="76" t="str">
        <f t="shared" si="10"/>
        <v>—</v>
      </c>
      <c r="Q38" s="76" t="str">
        <f t="shared" si="10"/>
        <v>—</v>
      </c>
      <c r="R38" s="76" t="str">
        <f t="shared" si="10"/>
        <v>—</v>
      </c>
      <c r="S38" s="76" t="str">
        <f t="shared" si="10"/>
        <v>—</v>
      </c>
      <c r="T38" s="76" t="str">
        <f t="shared" si="10"/>
        <v>—</v>
      </c>
      <c r="U38" s="76" t="str">
        <f t="shared" si="10"/>
        <v>—</v>
      </c>
      <c r="V38" s="76" t="str">
        <f t="shared" si="10"/>
        <v>—</v>
      </c>
      <c r="W38" s="76" t="str">
        <f t="shared" si="10"/>
        <v>—</v>
      </c>
      <c r="X38" s="76" t="str">
        <f t="shared" si="10"/>
        <v>—</v>
      </c>
      <c r="Y38" s="76" t="str">
        <f t="shared" si="10"/>
        <v>—</v>
      </c>
      <c r="Z38" s="76" t="str">
        <f t="shared" si="10"/>
        <v>—</v>
      </c>
      <c r="AA38" s="76" t="str">
        <f t="shared" si="10"/>
        <v>—</v>
      </c>
      <c r="AB38" s="76" t="str">
        <f t="shared" si="10"/>
        <v>—</v>
      </c>
      <c r="AC38" s="76" t="str">
        <f t="shared" si="10"/>
        <v>—</v>
      </c>
      <c r="AD38" s="76" t="str">
        <f t="shared" si="10"/>
        <v>—</v>
      </c>
      <c r="AE38" s="90"/>
    </row>
    <row r="39" spans="1:31" ht="17.25">
      <c r="A39" s="75"/>
      <c r="B39" s="65" t="s">
        <v>84</v>
      </c>
      <c r="C39" s="76" t="str">
        <f>IF(ISERROR(C12/C4),"—",C12/C4)</f>
        <v>—</v>
      </c>
      <c r="D39" s="76" t="str">
        <f t="shared" ref="D39:AD39" si="11">IF(ISERROR(D12/D4),"—",D12/D4)</f>
        <v>—</v>
      </c>
      <c r="E39" s="76" t="str">
        <f t="shared" si="11"/>
        <v>—</v>
      </c>
      <c r="F39" s="76" t="str">
        <f t="shared" si="11"/>
        <v>—</v>
      </c>
      <c r="G39" s="76" t="str">
        <f t="shared" si="11"/>
        <v>—</v>
      </c>
      <c r="H39" s="76" t="str">
        <f t="shared" si="11"/>
        <v>—</v>
      </c>
      <c r="I39" s="76" t="str">
        <f t="shared" si="11"/>
        <v>—</v>
      </c>
      <c r="J39" s="76" t="str">
        <f t="shared" si="11"/>
        <v>—</v>
      </c>
      <c r="K39" s="76" t="str">
        <f t="shared" si="11"/>
        <v>—</v>
      </c>
      <c r="L39" s="76" t="str">
        <f t="shared" si="11"/>
        <v>—</v>
      </c>
      <c r="M39" s="76" t="str">
        <f t="shared" si="11"/>
        <v>—</v>
      </c>
      <c r="N39" s="76" t="str">
        <f t="shared" si="11"/>
        <v>—</v>
      </c>
      <c r="O39" s="76" t="str">
        <f t="shared" si="11"/>
        <v>—</v>
      </c>
      <c r="P39" s="76" t="str">
        <f t="shared" si="11"/>
        <v>—</v>
      </c>
      <c r="Q39" s="76" t="str">
        <f t="shared" si="11"/>
        <v>—</v>
      </c>
      <c r="R39" s="76" t="str">
        <f t="shared" si="11"/>
        <v>—</v>
      </c>
      <c r="S39" s="76" t="str">
        <f t="shared" si="11"/>
        <v>—</v>
      </c>
      <c r="T39" s="76" t="str">
        <f t="shared" si="11"/>
        <v>—</v>
      </c>
      <c r="U39" s="76" t="str">
        <f t="shared" si="11"/>
        <v>—</v>
      </c>
      <c r="V39" s="76" t="str">
        <f t="shared" si="11"/>
        <v>—</v>
      </c>
      <c r="W39" s="76" t="str">
        <f t="shared" si="11"/>
        <v>—</v>
      </c>
      <c r="X39" s="76" t="str">
        <f t="shared" si="11"/>
        <v>—</v>
      </c>
      <c r="Y39" s="76" t="str">
        <f t="shared" si="11"/>
        <v>—</v>
      </c>
      <c r="Z39" s="76" t="str">
        <f t="shared" si="11"/>
        <v>—</v>
      </c>
      <c r="AA39" s="76" t="str">
        <f t="shared" si="11"/>
        <v>—</v>
      </c>
      <c r="AB39" s="76" t="str">
        <f t="shared" si="11"/>
        <v>—</v>
      </c>
      <c r="AC39" s="76" t="str">
        <f t="shared" si="11"/>
        <v>—</v>
      </c>
      <c r="AD39" s="76" t="str">
        <f t="shared" si="11"/>
        <v>—</v>
      </c>
      <c r="AE39" s="90"/>
    </row>
    <row r="40" spans="1:31" ht="17.25">
      <c r="A40" s="75"/>
      <c r="B40" s="65" t="s">
        <v>729</v>
      </c>
      <c r="C40" s="76" t="str">
        <f>IF(ISERROR(C13/C4),"—",C13/C4)</f>
        <v>—</v>
      </c>
      <c r="D40" s="76" t="str">
        <f t="shared" ref="D40:AD40" si="12">IF(ISERROR(D13/D4),"—",D13/D4)</f>
        <v>—</v>
      </c>
      <c r="E40" s="76" t="str">
        <f t="shared" si="12"/>
        <v>—</v>
      </c>
      <c r="F40" s="76" t="str">
        <f t="shared" si="12"/>
        <v>—</v>
      </c>
      <c r="G40" s="76" t="str">
        <f t="shared" si="12"/>
        <v>—</v>
      </c>
      <c r="H40" s="76" t="str">
        <f t="shared" si="12"/>
        <v>—</v>
      </c>
      <c r="I40" s="76" t="str">
        <f t="shared" si="12"/>
        <v>—</v>
      </c>
      <c r="J40" s="76" t="str">
        <f t="shared" si="12"/>
        <v>—</v>
      </c>
      <c r="K40" s="76" t="str">
        <f t="shared" si="12"/>
        <v>—</v>
      </c>
      <c r="L40" s="76" t="str">
        <f t="shared" si="12"/>
        <v>—</v>
      </c>
      <c r="M40" s="76" t="str">
        <f t="shared" si="12"/>
        <v>—</v>
      </c>
      <c r="N40" s="76" t="str">
        <f t="shared" si="12"/>
        <v>—</v>
      </c>
      <c r="O40" s="76" t="str">
        <f t="shared" si="12"/>
        <v>—</v>
      </c>
      <c r="P40" s="76" t="str">
        <f t="shared" si="12"/>
        <v>—</v>
      </c>
      <c r="Q40" s="76" t="str">
        <f t="shared" si="12"/>
        <v>—</v>
      </c>
      <c r="R40" s="76" t="str">
        <f t="shared" si="12"/>
        <v>—</v>
      </c>
      <c r="S40" s="76" t="str">
        <f t="shared" si="12"/>
        <v>—</v>
      </c>
      <c r="T40" s="76" t="str">
        <f t="shared" si="12"/>
        <v>—</v>
      </c>
      <c r="U40" s="76" t="str">
        <f t="shared" si="12"/>
        <v>—</v>
      </c>
      <c r="V40" s="76" t="str">
        <f t="shared" si="12"/>
        <v>—</v>
      </c>
      <c r="W40" s="76" t="str">
        <f t="shared" si="12"/>
        <v>—</v>
      </c>
      <c r="X40" s="76" t="str">
        <f t="shared" si="12"/>
        <v>—</v>
      </c>
      <c r="Y40" s="76" t="str">
        <f t="shared" si="12"/>
        <v>—</v>
      </c>
      <c r="Z40" s="76" t="str">
        <f t="shared" si="12"/>
        <v>—</v>
      </c>
      <c r="AA40" s="76" t="str">
        <f t="shared" si="12"/>
        <v>—</v>
      </c>
      <c r="AB40" s="76" t="str">
        <f t="shared" si="12"/>
        <v>—</v>
      </c>
      <c r="AC40" s="76" t="str">
        <f t="shared" si="12"/>
        <v>—</v>
      </c>
      <c r="AD40" s="76" t="str">
        <f t="shared" si="12"/>
        <v>—</v>
      </c>
      <c r="AE40" s="90"/>
    </row>
    <row r="41" spans="1:31" ht="17.25">
      <c r="A41" s="75"/>
      <c r="B41" s="65" t="s">
        <v>96</v>
      </c>
      <c r="C41" s="76" t="str">
        <f>IF(C27&lt;=0,"—",C27/C26)</f>
        <v>—</v>
      </c>
      <c r="D41" s="76" t="str">
        <f t="shared" ref="D41:R41" si="13">IF(D27&lt;=0,"—",D27/D26)</f>
        <v>—</v>
      </c>
      <c r="E41" s="76" t="str">
        <f t="shared" si="13"/>
        <v>—</v>
      </c>
      <c r="F41" s="76" t="str">
        <f t="shared" si="13"/>
        <v>—</v>
      </c>
      <c r="G41" s="76" t="str">
        <f t="shared" si="13"/>
        <v>—</v>
      </c>
      <c r="H41" s="76" t="str">
        <f t="shared" si="13"/>
        <v>—</v>
      </c>
      <c r="I41" s="76" t="str">
        <f t="shared" si="13"/>
        <v>—</v>
      </c>
      <c r="J41" s="76" t="str">
        <f t="shared" si="13"/>
        <v>—</v>
      </c>
      <c r="K41" s="76" t="str">
        <f t="shared" si="13"/>
        <v>—</v>
      </c>
      <c r="L41" s="76" t="str">
        <f t="shared" si="13"/>
        <v>—</v>
      </c>
      <c r="M41" s="76" t="str">
        <f t="shared" si="13"/>
        <v>—</v>
      </c>
      <c r="N41" s="76" t="str">
        <f t="shared" si="13"/>
        <v>—</v>
      </c>
      <c r="O41" s="76" t="str">
        <f t="shared" si="13"/>
        <v>—</v>
      </c>
      <c r="P41" s="76" t="str">
        <f t="shared" si="13"/>
        <v>—</v>
      </c>
      <c r="Q41" s="76" t="str">
        <f t="shared" si="13"/>
        <v>—</v>
      </c>
      <c r="R41" s="76" t="str">
        <f t="shared" si="13"/>
        <v>—</v>
      </c>
      <c r="S41" s="76" t="str">
        <f t="shared" ref="S41:AD41" si="14">IF(ISERROR(S27/S26),"—",S27/S26)</f>
        <v>—</v>
      </c>
      <c r="T41" s="76" t="str">
        <f t="shared" si="14"/>
        <v>—</v>
      </c>
      <c r="U41" s="76" t="str">
        <f t="shared" si="14"/>
        <v>—</v>
      </c>
      <c r="V41" s="76" t="str">
        <f t="shared" si="14"/>
        <v>—</v>
      </c>
      <c r="W41" s="76" t="str">
        <f t="shared" si="14"/>
        <v>—</v>
      </c>
      <c r="X41" s="76" t="str">
        <f t="shared" si="14"/>
        <v>—</v>
      </c>
      <c r="Y41" s="76" t="str">
        <f t="shared" si="14"/>
        <v>—</v>
      </c>
      <c r="Z41" s="76" t="str">
        <f t="shared" si="14"/>
        <v>—</v>
      </c>
      <c r="AA41" s="76" t="str">
        <f t="shared" si="14"/>
        <v>—</v>
      </c>
      <c r="AB41" s="76" t="str">
        <f t="shared" si="14"/>
        <v>—</v>
      </c>
      <c r="AC41" s="76" t="str">
        <f t="shared" si="14"/>
        <v>—</v>
      </c>
      <c r="AD41" s="76" t="str">
        <f t="shared" si="14"/>
        <v>—</v>
      </c>
      <c r="AE41" s="90"/>
    </row>
    <row r="42" spans="1:31" ht="17.25">
      <c r="A42" s="75"/>
      <c r="B42" s="65" t="s">
        <v>695</v>
      </c>
      <c r="C42" s="76" t="str">
        <f>IF(ISERROR(C22/C4),"—",C22/C4)</f>
        <v>—</v>
      </c>
      <c r="D42" s="76" t="str">
        <f t="shared" ref="D42:AD42" si="15">IF(ISERROR(D22/D4),"—",D22/D4)</f>
        <v>—</v>
      </c>
      <c r="E42" s="76" t="str">
        <f t="shared" si="15"/>
        <v>—</v>
      </c>
      <c r="F42" s="76" t="str">
        <f t="shared" si="15"/>
        <v>—</v>
      </c>
      <c r="G42" s="76" t="str">
        <f t="shared" si="15"/>
        <v>—</v>
      </c>
      <c r="H42" s="76" t="str">
        <f t="shared" si="15"/>
        <v>—</v>
      </c>
      <c r="I42" s="76" t="str">
        <f t="shared" si="15"/>
        <v>—</v>
      </c>
      <c r="J42" s="76" t="str">
        <f t="shared" si="15"/>
        <v>—</v>
      </c>
      <c r="K42" s="76" t="str">
        <f t="shared" si="15"/>
        <v>—</v>
      </c>
      <c r="L42" s="76" t="str">
        <f t="shared" si="15"/>
        <v>—</v>
      </c>
      <c r="M42" s="76" t="str">
        <f t="shared" si="15"/>
        <v>—</v>
      </c>
      <c r="N42" s="76" t="str">
        <f t="shared" si="15"/>
        <v>—</v>
      </c>
      <c r="O42" s="76" t="str">
        <f t="shared" si="15"/>
        <v>—</v>
      </c>
      <c r="P42" s="76" t="str">
        <f t="shared" si="15"/>
        <v>—</v>
      </c>
      <c r="Q42" s="76" t="str">
        <f t="shared" si="15"/>
        <v>—</v>
      </c>
      <c r="R42" s="76" t="str">
        <f t="shared" si="15"/>
        <v>—</v>
      </c>
      <c r="S42" s="76" t="str">
        <f t="shared" si="15"/>
        <v>—</v>
      </c>
      <c r="T42" s="76" t="str">
        <f t="shared" si="15"/>
        <v>—</v>
      </c>
      <c r="U42" s="76" t="str">
        <f t="shared" si="15"/>
        <v>—</v>
      </c>
      <c r="V42" s="76" t="str">
        <f t="shared" si="15"/>
        <v>—</v>
      </c>
      <c r="W42" s="76" t="str">
        <f t="shared" si="15"/>
        <v>—</v>
      </c>
      <c r="X42" s="76" t="str">
        <f t="shared" si="15"/>
        <v>—</v>
      </c>
      <c r="Y42" s="76" t="str">
        <f t="shared" si="15"/>
        <v>—</v>
      </c>
      <c r="Z42" s="76" t="str">
        <f t="shared" si="15"/>
        <v>—</v>
      </c>
      <c r="AA42" s="76" t="str">
        <f t="shared" si="15"/>
        <v>—</v>
      </c>
      <c r="AB42" s="76" t="str">
        <f t="shared" si="15"/>
        <v>—</v>
      </c>
      <c r="AC42" s="76" t="str">
        <f t="shared" si="15"/>
        <v>—</v>
      </c>
      <c r="AD42" s="76" t="str">
        <f t="shared" si="15"/>
        <v>—</v>
      </c>
      <c r="AE42" s="90"/>
    </row>
    <row r="43" spans="1:31" ht="17.25">
      <c r="A43" s="75"/>
      <c r="B43" s="77" t="s">
        <v>696</v>
      </c>
      <c r="C43" s="78" t="str">
        <f>IF(ISERROR(C29/C4),"—",C29/C4)</f>
        <v>—</v>
      </c>
      <c r="D43" s="78" t="str">
        <f t="shared" ref="D43:AD43" si="16">IF(ISERROR(D29/D4),"—",D29/D4)</f>
        <v>—</v>
      </c>
      <c r="E43" s="78" t="str">
        <f t="shared" si="16"/>
        <v>—</v>
      </c>
      <c r="F43" s="78" t="str">
        <f t="shared" si="16"/>
        <v>—</v>
      </c>
      <c r="G43" s="78" t="str">
        <f t="shared" si="16"/>
        <v>—</v>
      </c>
      <c r="H43" s="78" t="str">
        <f t="shared" si="16"/>
        <v>—</v>
      </c>
      <c r="I43" s="78" t="str">
        <f t="shared" si="16"/>
        <v>—</v>
      </c>
      <c r="J43" s="78" t="str">
        <f t="shared" si="16"/>
        <v>—</v>
      </c>
      <c r="K43" s="78" t="str">
        <f t="shared" si="16"/>
        <v>—</v>
      </c>
      <c r="L43" s="78" t="str">
        <f t="shared" si="16"/>
        <v>—</v>
      </c>
      <c r="M43" s="78" t="str">
        <f t="shared" si="16"/>
        <v>—</v>
      </c>
      <c r="N43" s="78" t="str">
        <f t="shared" si="16"/>
        <v>—</v>
      </c>
      <c r="O43" s="78" t="str">
        <f t="shared" si="16"/>
        <v>—</v>
      </c>
      <c r="P43" s="78" t="str">
        <f t="shared" si="16"/>
        <v>—</v>
      </c>
      <c r="Q43" s="78" t="str">
        <f t="shared" si="16"/>
        <v>—</v>
      </c>
      <c r="R43" s="78" t="str">
        <f t="shared" si="16"/>
        <v>—</v>
      </c>
      <c r="S43" s="78" t="str">
        <f t="shared" si="16"/>
        <v>—</v>
      </c>
      <c r="T43" s="78" t="str">
        <f t="shared" si="16"/>
        <v>—</v>
      </c>
      <c r="U43" s="78" t="str">
        <f t="shared" si="16"/>
        <v>—</v>
      </c>
      <c r="V43" s="78" t="str">
        <f t="shared" si="16"/>
        <v>—</v>
      </c>
      <c r="W43" s="78" t="str">
        <f t="shared" si="16"/>
        <v>—</v>
      </c>
      <c r="X43" s="78" t="str">
        <f t="shared" si="16"/>
        <v>—</v>
      </c>
      <c r="Y43" s="78" t="str">
        <f t="shared" si="16"/>
        <v>—</v>
      </c>
      <c r="Z43" s="78" t="str">
        <f t="shared" si="16"/>
        <v>—</v>
      </c>
      <c r="AA43" s="78" t="str">
        <f t="shared" si="16"/>
        <v>—</v>
      </c>
      <c r="AB43" s="78" t="str">
        <f t="shared" si="16"/>
        <v>—</v>
      </c>
      <c r="AC43" s="78" t="str">
        <f t="shared" si="16"/>
        <v>—</v>
      </c>
      <c r="AD43" s="78" t="str">
        <f t="shared" si="16"/>
        <v>—</v>
      </c>
      <c r="AE43" s="90"/>
    </row>
    <row r="44" spans="1:31" ht="15.75">
      <c r="B44" s="70" t="s">
        <v>730</v>
      </c>
    </row>
    <row r="45" spans="1:31" ht="17.25">
      <c r="A45" s="75"/>
      <c r="B45" s="65" t="s">
        <v>71</v>
      </c>
      <c r="C45" s="76"/>
      <c r="D45" s="76"/>
      <c r="E45" s="76"/>
      <c r="F45" s="76"/>
      <c r="G45" s="76" t="str">
        <f>IF(ISERROR((G3-C3)/ABS(C3)),"—",(G3-C3)/ABS(C3))</f>
        <v>—</v>
      </c>
      <c r="H45" s="76" t="str">
        <f t="shared" ref="H45:AD45" si="17">IF(ISERROR((H3-D3)/ABS(D3)),"—",(H3-D3)/ABS(D3))</f>
        <v>—</v>
      </c>
      <c r="I45" s="76" t="str">
        <f t="shared" si="17"/>
        <v>—</v>
      </c>
      <c r="J45" s="76" t="str">
        <f t="shared" si="17"/>
        <v>—</v>
      </c>
      <c r="K45" s="76" t="str">
        <f t="shared" si="17"/>
        <v>—</v>
      </c>
      <c r="L45" s="76" t="str">
        <f t="shared" si="17"/>
        <v>—</v>
      </c>
      <c r="M45" s="76" t="str">
        <f t="shared" si="17"/>
        <v>—</v>
      </c>
      <c r="N45" s="76" t="str">
        <f t="shared" si="17"/>
        <v>—</v>
      </c>
      <c r="O45" s="76" t="str">
        <f t="shared" si="17"/>
        <v>—</v>
      </c>
      <c r="P45" s="76" t="str">
        <f t="shared" si="17"/>
        <v>—</v>
      </c>
      <c r="Q45" s="76" t="str">
        <f t="shared" si="17"/>
        <v>—</v>
      </c>
      <c r="R45" s="76" t="str">
        <f t="shared" si="17"/>
        <v>—</v>
      </c>
      <c r="S45" s="76" t="str">
        <f t="shared" si="17"/>
        <v>—</v>
      </c>
      <c r="T45" s="76" t="str">
        <f t="shared" si="17"/>
        <v>—</v>
      </c>
      <c r="U45" s="76" t="str">
        <f t="shared" si="17"/>
        <v>—</v>
      </c>
      <c r="V45" s="76" t="str">
        <f t="shared" si="17"/>
        <v>—</v>
      </c>
      <c r="W45" s="76" t="str">
        <f t="shared" si="17"/>
        <v>—</v>
      </c>
      <c r="X45" s="76" t="str">
        <f t="shared" si="17"/>
        <v>—</v>
      </c>
      <c r="Y45" s="76" t="str">
        <f t="shared" si="17"/>
        <v>—</v>
      </c>
      <c r="Z45" s="76" t="str">
        <f t="shared" si="17"/>
        <v>—</v>
      </c>
      <c r="AA45" s="76" t="str">
        <f t="shared" si="17"/>
        <v>—</v>
      </c>
      <c r="AB45" s="76" t="str">
        <f t="shared" si="17"/>
        <v>—</v>
      </c>
      <c r="AC45" s="76" t="str">
        <f t="shared" si="17"/>
        <v>—</v>
      </c>
      <c r="AD45" s="76" t="str">
        <f t="shared" si="17"/>
        <v>—</v>
      </c>
      <c r="AE45" s="90"/>
    </row>
    <row r="46" spans="1:31" ht="17.25">
      <c r="A46" s="75"/>
      <c r="B46" s="65" t="s">
        <v>62</v>
      </c>
      <c r="C46" s="76"/>
      <c r="D46" s="76"/>
      <c r="E46" s="76"/>
      <c r="F46" s="76"/>
      <c r="G46" s="76" t="str">
        <f>IF(ISERROR((G4-C4)/ABS(C4)),"—",(G4-C4)/ABS(C4))</f>
        <v>—</v>
      </c>
      <c r="H46" s="76" t="str">
        <f t="shared" ref="H46:AD46" si="18">IF(ISERROR((H4-D4)/ABS(D4)),"—",(H4-D4)/ABS(D4))</f>
        <v>—</v>
      </c>
      <c r="I46" s="76" t="str">
        <f t="shared" si="18"/>
        <v>—</v>
      </c>
      <c r="J46" s="76" t="str">
        <f t="shared" si="18"/>
        <v>—</v>
      </c>
      <c r="K46" s="76" t="str">
        <f t="shared" si="18"/>
        <v>—</v>
      </c>
      <c r="L46" s="76" t="str">
        <f t="shared" si="18"/>
        <v>—</v>
      </c>
      <c r="M46" s="76" t="str">
        <f t="shared" si="18"/>
        <v>—</v>
      </c>
      <c r="N46" s="76" t="str">
        <f t="shared" si="18"/>
        <v>—</v>
      </c>
      <c r="O46" s="76" t="str">
        <f t="shared" si="18"/>
        <v>—</v>
      </c>
      <c r="P46" s="76" t="str">
        <f t="shared" si="18"/>
        <v>—</v>
      </c>
      <c r="Q46" s="76" t="str">
        <f t="shared" si="18"/>
        <v>—</v>
      </c>
      <c r="R46" s="76" t="str">
        <f t="shared" si="18"/>
        <v>—</v>
      </c>
      <c r="S46" s="76" t="str">
        <f t="shared" si="18"/>
        <v>—</v>
      </c>
      <c r="T46" s="76" t="str">
        <f t="shared" si="18"/>
        <v>—</v>
      </c>
      <c r="U46" s="76" t="str">
        <f t="shared" si="18"/>
        <v>—</v>
      </c>
      <c r="V46" s="76" t="str">
        <f t="shared" si="18"/>
        <v>—</v>
      </c>
      <c r="W46" s="76" t="str">
        <f t="shared" si="18"/>
        <v>—</v>
      </c>
      <c r="X46" s="76" t="str">
        <f t="shared" si="18"/>
        <v>—</v>
      </c>
      <c r="Y46" s="76" t="str">
        <f t="shared" si="18"/>
        <v>—</v>
      </c>
      <c r="Z46" s="76" t="str">
        <f t="shared" si="18"/>
        <v>—</v>
      </c>
      <c r="AA46" s="76" t="str">
        <f t="shared" si="18"/>
        <v>—</v>
      </c>
      <c r="AB46" s="76" t="str">
        <f t="shared" si="18"/>
        <v>—</v>
      </c>
      <c r="AC46" s="76" t="str">
        <f t="shared" si="18"/>
        <v>—</v>
      </c>
      <c r="AD46" s="76" t="str">
        <f t="shared" si="18"/>
        <v>—</v>
      </c>
      <c r="AE46" s="90"/>
    </row>
    <row r="47" spans="1:31" ht="17.25">
      <c r="A47" s="75"/>
      <c r="B47" s="65" t="s">
        <v>64</v>
      </c>
      <c r="C47" s="76"/>
      <c r="D47" s="76"/>
      <c r="E47" s="76"/>
      <c r="F47" s="76"/>
      <c r="G47" s="76" t="str">
        <f>IF(ISERROR((G7-C7)/ABS(C7)),"—",(G7-C7)/ABS(C7))</f>
        <v>—</v>
      </c>
      <c r="H47" s="76" t="str">
        <f t="shared" ref="H47:AD47" si="19">IF(ISERROR((H7-D7)/ABS(D7)),"—",(H7-D7)/ABS(D7))</f>
        <v>—</v>
      </c>
      <c r="I47" s="76" t="str">
        <f t="shared" si="19"/>
        <v>—</v>
      </c>
      <c r="J47" s="76" t="str">
        <f t="shared" si="19"/>
        <v>—</v>
      </c>
      <c r="K47" s="76" t="str">
        <f t="shared" si="19"/>
        <v>—</v>
      </c>
      <c r="L47" s="76" t="str">
        <f t="shared" si="19"/>
        <v>—</v>
      </c>
      <c r="M47" s="76" t="str">
        <f t="shared" si="19"/>
        <v>—</v>
      </c>
      <c r="N47" s="76" t="str">
        <f t="shared" si="19"/>
        <v>—</v>
      </c>
      <c r="O47" s="76" t="str">
        <f t="shared" si="19"/>
        <v>—</v>
      </c>
      <c r="P47" s="76" t="str">
        <f t="shared" si="19"/>
        <v>—</v>
      </c>
      <c r="Q47" s="76" t="str">
        <f t="shared" si="19"/>
        <v>—</v>
      </c>
      <c r="R47" s="76" t="str">
        <f t="shared" si="19"/>
        <v>—</v>
      </c>
      <c r="S47" s="76" t="str">
        <f t="shared" si="19"/>
        <v>—</v>
      </c>
      <c r="T47" s="76" t="str">
        <f t="shared" si="19"/>
        <v>—</v>
      </c>
      <c r="U47" s="76" t="str">
        <f t="shared" si="19"/>
        <v>—</v>
      </c>
      <c r="V47" s="76" t="str">
        <f t="shared" si="19"/>
        <v>—</v>
      </c>
      <c r="W47" s="76" t="str">
        <f t="shared" si="19"/>
        <v>—</v>
      </c>
      <c r="X47" s="76" t="str">
        <f t="shared" si="19"/>
        <v>—</v>
      </c>
      <c r="Y47" s="76" t="str">
        <f t="shared" si="19"/>
        <v>—</v>
      </c>
      <c r="Z47" s="76" t="str">
        <f t="shared" si="19"/>
        <v>—</v>
      </c>
      <c r="AA47" s="76" t="str">
        <f t="shared" si="19"/>
        <v>—</v>
      </c>
      <c r="AB47" s="76" t="str">
        <f t="shared" si="19"/>
        <v>—</v>
      </c>
      <c r="AC47" s="76" t="str">
        <f t="shared" si="19"/>
        <v>—</v>
      </c>
      <c r="AD47" s="76" t="str">
        <f t="shared" si="19"/>
        <v>—</v>
      </c>
      <c r="AE47" s="90"/>
    </row>
    <row r="48" spans="1:31" ht="17.25">
      <c r="A48" s="75"/>
      <c r="B48" s="65" t="s">
        <v>344</v>
      </c>
      <c r="C48" s="76"/>
      <c r="D48" s="76"/>
      <c r="E48" s="76"/>
      <c r="F48" s="76"/>
      <c r="G48" s="76" t="str">
        <f>IF(ISERROR((G22-C22)/ABS(C22)),"—",(G22-C22)/ABS(C22))</f>
        <v>—</v>
      </c>
      <c r="H48" s="76" t="str">
        <f t="shared" ref="H48:AD48" si="20">IF(ISERROR((H22-D22)/ABS(D22)),"—",(H22-D22)/ABS(D22))</f>
        <v>—</v>
      </c>
      <c r="I48" s="76" t="str">
        <f t="shared" si="20"/>
        <v>—</v>
      </c>
      <c r="J48" s="76" t="str">
        <f t="shared" si="20"/>
        <v>—</v>
      </c>
      <c r="K48" s="76" t="str">
        <f t="shared" si="20"/>
        <v>—</v>
      </c>
      <c r="L48" s="76" t="str">
        <f t="shared" si="20"/>
        <v>—</v>
      </c>
      <c r="M48" s="76" t="str">
        <f t="shared" si="20"/>
        <v>—</v>
      </c>
      <c r="N48" s="76" t="str">
        <f t="shared" si="20"/>
        <v>—</v>
      </c>
      <c r="O48" s="76" t="str">
        <f t="shared" si="20"/>
        <v>—</v>
      </c>
      <c r="P48" s="76" t="str">
        <f t="shared" si="20"/>
        <v>—</v>
      </c>
      <c r="Q48" s="76" t="str">
        <f t="shared" si="20"/>
        <v>—</v>
      </c>
      <c r="R48" s="76" t="str">
        <f t="shared" si="20"/>
        <v>—</v>
      </c>
      <c r="S48" s="76" t="str">
        <f t="shared" si="20"/>
        <v>—</v>
      </c>
      <c r="T48" s="76" t="str">
        <f t="shared" si="20"/>
        <v>—</v>
      </c>
      <c r="U48" s="76" t="str">
        <f t="shared" si="20"/>
        <v>—</v>
      </c>
      <c r="V48" s="76" t="str">
        <f t="shared" si="20"/>
        <v>—</v>
      </c>
      <c r="W48" s="76" t="str">
        <f t="shared" si="20"/>
        <v>—</v>
      </c>
      <c r="X48" s="76" t="str">
        <f t="shared" si="20"/>
        <v>—</v>
      </c>
      <c r="Y48" s="76" t="str">
        <f t="shared" si="20"/>
        <v>—</v>
      </c>
      <c r="Z48" s="76" t="str">
        <f t="shared" si="20"/>
        <v>—</v>
      </c>
      <c r="AA48" s="76" t="str">
        <f t="shared" si="20"/>
        <v>—</v>
      </c>
      <c r="AB48" s="76" t="str">
        <f t="shared" si="20"/>
        <v>—</v>
      </c>
      <c r="AC48" s="76" t="str">
        <f t="shared" si="20"/>
        <v>—</v>
      </c>
      <c r="AD48" s="76" t="str">
        <f t="shared" si="20"/>
        <v>—</v>
      </c>
      <c r="AE48" s="90"/>
    </row>
    <row r="49" spans="1:31" ht="17.25">
      <c r="B49" s="77" t="s">
        <v>731</v>
      </c>
      <c r="C49" s="79"/>
      <c r="D49" s="79"/>
      <c r="E49" s="79"/>
      <c r="F49" s="79"/>
      <c r="G49" s="78" t="str">
        <f>IF(ISERROR((G29-C29)/ABS(C29)),"—",(G29-C29)/ABS(C29))</f>
        <v>—</v>
      </c>
      <c r="H49" s="78" t="str">
        <f t="shared" ref="H49:AD49" si="21">IF(ISERROR((H29-D29)/ABS(D29)),"—",(H29-D29)/ABS(D29))</f>
        <v>—</v>
      </c>
      <c r="I49" s="78" t="str">
        <f t="shared" si="21"/>
        <v>—</v>
      </c>
      <c r="J49" s="78" t="str">
        <f t="shared" si="21"/>
        <v>—</v>
      </c>
      <c r="K49" s="78" t="str">
        <f t="shared" si="21"/>
        <v>—</v>
      </c>
      <c r="L49" s="78" t="str">
        <f t="shared" si="21"/>
        <v>—</v>
      </c>
      <c r="M49" s="78" t="str">
        <f t="shared" si="21"/>
        <v>—</v>
      </c>
      <c r="N49" s="78" t="str">
        <f t="shared" si="21"/>
        <v>—</v>
      </c>
      <c r="O49" s="78" t="str">
        <f t="shared" si="21"/>
        <v>—</v>
      </c>
      <c r="P49" s="78" t="str">
        <f t="shared" si="21"/>
        <v>—</v>
      </c>
      <c r="Q49" s="78" t="str">
        <f t="shared" si="21"/>
        <v>—</v>
      </c>
      <c r="R49" s="78" t="str">
        <f t="shared" si="21"/>
        <v>—</v>
      </c>
      <c r="S49" s="78" t="str">
        <f t="shared" si="21"/>
        <v>—</v>
      </c>
      <c r="T49" s="78" t="str">
        <f t="shared" si="21"/>
        <v>—</v>
      </c>
      <c r="U49" s="78" t="str">
        <f t="shared" si="21"/>
        <v>—</v>
      </c>
      <c r="V49" s="78" t="str">
        <f t="shared" si="21"/>
        <v>—</v>
      </c>
      <c r="W49" s="78" t="str">
        <f t="shared" si="21"/>
        <v>—</v>
      </c>
      <c r="X49" s="78" t="str">
        <f t="shared" si="21"/>
        <v>—</v>
      </c>
      <c r="Y49" s="78" t="str">
        <f t="shared" si="21"/>
        <v>—</v>
      </c>
      <c r="Z49" s="78" t="str">
        <f t="shared" si="21"/>
        <v>—</v>
      </c>
      <c r="AA49" s="78" t="str">
        <f t="shared" si="21"/>
        <v>—</v>
      </c>
      <c r="AB49" s="78" t="str">
        <f t="shared" si="21"/>
        <v>—</v>
      </c>
      <c r="AC49" s="78" t="str">
        <f t="shared" si="21"/>
        <v>—</v>
      </c>
      <c r="AD49" s="78" t="str">
        <f t="shared" si="21"/>
        <v>—</v>
      </c>
    </row>
    <row r="50" spans="1:31" ht="15.75">
      <c r="B50" s="70" t="s">
        <v>732</v>
      </c>
    </row>
    <row r="51" spans="1:31" ht="17.25">
      <c r="A51" s="75"/>
      <c r="B51" s="65" t="s">
        <v>71</v>
      </c>
      <c r="C51" s="76"/>
      <c r="D51" s="76" t="str">
        <f>IF(ISERROR((D3-C3)/ABS(C3)),"—",(D3-C3)/ABS(C3))</f>
        <v>—</v>
      </c>
      <c r="E51" s="76" t="str">
        <f t="shared" ref="E51:AD51" si="22">IF(ISERROR((E3-D3)/ABS(D3)),"—",(E3-D3)/ABS(D3))</f>
        <v>—</v>
      </c>
      <c r="F51" s="76" t="str">
        <f t="shared" si="22"/>
        <v>—</v>
      </c>
      <c r="G51" s="76" t="str">
        <f t="shared" si="22"/>
        <v>—</v>
      </c>
      <c r="H51" s="76" t="str">
        <f t="shared" si="22"/>
        <v>—</v>
      </c>
      <c r="I51" s="76" t="str">
        <f t="shared" si="22"/>
        <v>—</v>
      </c>
      <c r="J51" s="76" t="str">
        <f t="shared" si="22"/>
        <v>—</v>
      </c>
      <c r="K51" s="76" t="str">
        <f t="shared" si="22"/>
        <v>—</v>
      </c>
      <c r="L51" s="76" t="str">
        <f t="shared" si="22"/>
        <v>—</v>
      </c>
      <c r="M51" s="76" t="str">
        <f t="shared" si="22"/>
        <v>—</v>
      </c>
      <c r="N51" s="76" t="str">
        <f t="shared" si="22"/>
        <v>—</v>
      </c>
      <c r="O51" s="76" t="str">
        <f t="shared" si="22"/>
        <v>—</v>
      </c>
      <c r="P51" s="76" t="str">
        <f t="shared" si="22"/>
        <v>—</v>
      </c>
      <c r="Q51" s="76" t="str">
        <f t="shared" si="22"/>
        <v>—</v>
      </c>
      <c r="R51" s="76" t="str">
        <f t="shared" si="22"/>
        <v>—</v>
      </c>
      <c r="S51" s="76" t="str">
        <f t="shared" si="22"/>
        <v>—</v>
      </c>
      <c r="T51" s="76" t="str">
        <f t="shared" si="22"/>
        <v>—</v>
      </c>
      <c r="U51" s="76" t="str">
        <f t="shared" si="22"/>
        <v>—</v>
      </c>
      <c r="V51" s="76" t="str">
        <f t="shared" si="22"/>
        <v>—</v>
      </c>
      <c r="W51" s="76" t="str">
        <f t="shared" si="22"/>
        <v>—</v>
      </c>
      <c r="X51" s="76" t="str">
        <f t="shared" si="22"/>
        <v>—</v>
      </c>
      <c r="Y51" s="76" t="str">
        <f t="shared" si="22"/>
        <v>—</v>
      </c>
      <c r="Z51" s="76" t="str">
        <f t="shared" si="22"/>
        <v>—</v>
      </c>
      <c r="AA51" s="76" t="str">
        <f t="shared" si="22"/>
        <v>—</v>
      </c>
      <c r="AB51" s="76" t="str">
        <f t="shared" si="22"/>
        <v>—</v>
      </c>
      <c r="AC51" s="76" t="str">
        <f t="shared" si="22"/>
        <v>—</v>
      </c>
      <c r="AD51" s="76" t="str">
        <f t="shared" si="22"/>
        <v>—</v>
      </c>
      <c r="AE51" s="90"/>
    </row>
    <row r="52" spans="1:31" ht="17.25">
      <c r="A52" s="75"/>
      <c r="B52" s="65" t="s">
        <v>62</v>
      </c>
      <c r="C52" s="76"/>
      <c r="D52" s="76" t="str">
        <f>IF(ISERROR((D4-C4)/ABS(C4)),"—",(D4-C4)/ABS(C4))</f>
        <v>—</v>
      </c>
      <c r="E52" s="76" t="str">
        <f t="shared" ref="E52:AD52" si="23">IF(ISERROR((E4-D4)/ABS(D4)),"—",(E4-D4)/ABS(D4))</f>
        <v>—</v>
      </c>
      <c r="F52" s="76" t="str">
        <f t="shared" si="23"/>
        <v>—</v>
      </c>
      <c r="G52" s="76" t="str">
        <f t="shared" si="23"/>
        <v>—</v>
      </c>
      <c r="H52" s="76" t="str">
        <f t="shared" si="23"/>
        <v>—</v>
      </c>
      <c r="I52" s="76" t="str">
        <f t="shared" si="23"/>
        <v>—</v>
      </c>
      <c r="J52" s="76" t="str">
        <f t="shared" si="23"/>
        <v>—</v>
      </c>
      <c r="K52" s="76" t="str">
        <f t="shared" si="23"/>
        <v>—</v>
      </c>
      <c r="L52" s="76" t="str">
        <f t="shared" si="23"/>
        <v>—</v>
      </c>
      <c r="M52" s="76" t="str">
        <f t="shared" si="23"/>
        <v>—</v>
      </c>
      <c r="N52" s="76" t="str">
        <f t="shared" si="23"/>
        <v>—</v>
      </c>
      <c r="O52" s="76" t="str">
        <f t="shared" si="23"/>
        <v>—</v>
      </c>
      <c r="P52" s="76" t="str">
        <f t="shared" si="23"/>
        <v>—</v>
      </c>
      <c r="Q52" s="76" t="str">
        <f t="shared" si="23"/>
        <v>—</v>
      </c>
      <c r="R52" s="76" t="str">
        <f t="shared" si="23"/>
        <v>—</v>
      </c>
      <c r="S52" s="76" t="str">
        <f t="shared" si="23"/>
        <v>—</v>
      </c>
      <c r="T52" s="76" t="str">
        <f t="shared" si="23"/>
        <v>—</v>
      </c>
      <c r="U52" s="76" t="str">
        <f t="shared" si="23"/>
        <v>—</v>
      </c>
      <c r="V52" s="76" t="str">
        <f t="shared" si="23"/>
        <v>—</v>
      </c>
      <c r="W52" s="76" t="str">
        <f t="shared" si="23"/>
        <v>—</v>
      </c>
      <c r="X52" s="76" t="str">
        <f t="shared" si="23"/>
        <v>—</v>
      </c>
      <c r="Y52" s="76" t="str">
        <f t="shared" si="23"/>
        <v>—</v>
      </c>
      <c r="Z52" s="76" t="str">
        <f t="shared" si="23"/>
        <v>—</v>
      </c>
      <c r="AA52" s="76" t="str">
        <f t="shared" si="23"/>
        <v>—</v>
      </c>
      <c r="AB52" s="76" t="str">
        <f t="shared" si="23"/>
        <v>—</v>
      </c>
      <c r="AC52" s="76" t="str">
        <f t="shared" si="23"/>
        <v>—</v>
      </c>
      <c r="AD52" s="76" t="str">
        <f t="shared" si="23"/>
        <v>—</v>
      </c>
      <c r="AE52" s="90"/>
    </row>
    <row r="53" spans="1:31" ht="17.25">
      <c r="A53" s="75"/>
      <c r="B53" s="65" t="s">
        <v>64</v>
      </c>
      <c r="C53" s="76"/>
      <c r="D53" s="76" t="str">
        <f>IF(ISERROR((D7-C7)/ABS(C7)),"—",(D7-C7)/ABS(C7))</f>
        <v>—</v>
      </c>
      <c r="E53" s="76" t="str">
        <f t="shared" ref="E53:AD53" si="24">IF(ISERROR((E7-D7)/ABS(D7)),"—",(E7-D7)/ABS(D7))</f>
        <v>—</v>
      </c>
      <c r="F53" s="76" t="str">
        <f t="shared" si="24"/>
        <v>—</v>
      </c>
      <c r="G53" s="76" t="str">
        <f t="shared" si="24"/>
        <v>—</v>
      </c>
      <c r="H53" s="76" t="str">
        <f t="shared" si="24"/>
        <v>—</v>
      </c>
      <c r="I53" s="76" t="str">
        <f t="shared" si="24"/>
        <v>—</v>
      </c>
      <c r="J53" s="76" t="str">
        <f t="shared" si="24"/>
        <v>—</v>
      </c>
      <c r="K53" s="76" t="str">
        <f t="shared" si="24"/>
        <v>—</v>
      </c>
      <c r="L53" s="76" t="str">
        <f t="shared" si="24"/>
        <v>—</v>
      </c>
      <c r="M53" s="76" t="str">
        <f t="shared" si="24"/>
        <v>—</v>
      </c>
      <c r="N53" s="76" t="str">
        <f t="shared" si="24"/>
        <v>—</v>
      </c>
      <c r="O53" s="76" t="str">
        <f t="shared" si="24"/>
        <v>—</v>
      </c>
      <c r="P53" s="76" t="str">
        <f t="shared" si="24"/>
        <v>—</v>
      </c>
      <c r="Q53" s="76" t="str">
        <f t="shared" si="24"/>
        <v>—</v>
      </c>
      <c r="R53" s="76" t="str">
        <f t="shared" si="24"/>
        <v>—</v>
      </c>
      <c r="S53" s="76" t="str">
        <f t="shared" si="24"/>
        <v>—</v>
      </c>
      <c r="T53" s="76" t="str">
        <f t="shared" si="24"/>
        <v>—</v>
      </c>
      <c r="U53" s="76" t="str">
        <f t="shared" si="24"/>
        <v>—</v>
      </c>
      <c r="V53" s="76" t="str">
        <f t="shared" si="24"/>
        <v>—</v>
      </c>
      <c r="W53" s="76" t="str">
        <f t="shared" si="24"/>
        <v>—</v>
      </c>
      <c r="X53" s="76" t="str">
        <f t="shared" si="24"/>
        <v>—</v>
      </c>
      <c r="Y53" s="76" t="str">
        <f t="shared" si="24"/>
        <v>—</v>
      </c>
      <c r="Z53" s="76" t="str">
        <f t="shared" si="24"/>
        <v>—</v>
      </c>
      <c r="AA53" s="76" t="str">
        <f t="shared" si="24"/>
        <v>—</v>
      </c>
      <c r="AB53" s="76" t="str">
        <f t="shared" si="24"/>
        <v>—</v>
      </c>
      <c r="AC53" s="76" t="str">
        <f t="shared" si="24"/>
        <v>—</v>
      </c>
      <c r="AD53" s="76" t="str">
        <f t="shared" si="24"/>
        <v>—</v>
      </c>
      <c r="AE53" s="91"/>
    </row>
    <row r="54" spans="1:31" ht="17.25">
      <c r="B54" s="65" t="s">
        <v>344</v>
      </c>
      <c r="D54" s="76" t="str">
        <f>IF(ISERROR((D22-C22)/ABS(C22)),"—",(D22-C22)/ABS(C22))</f>
        <v>—</v>
      </c>
      <c r="E54" s="76" t="str">
        <f t="shared" ref="E54:AD54" si="25">IF(ISERROR((E22-D22)/ABS(D22)),"—",(E22-D22)/ABS(D22))</f>
        <v>—</v>
      </c>
      <c r="F54" s="76" t="str">
        <f t="shared" si="25"/>
        <v>—</v>
      </c>
      <c r="G54" s="76" t="str">
        <f t="shared" si="25"/>
        <v>—</v>
      </c>
      <c r="H54" s="76" t="str">
        <f t="shared" si="25"/>
        <v>—</v>
      </c>
      <c r="I54" s="76" t="str">
        <f t="shared" si="25"/>
        <v>—</v>
      </c>
      <c r="J54" s="76" t="str">
        <f t="shared" si="25"/>
        <v>—</v>
      </c>
      <c r="K54" s="76" t="str">
        <f t="shared" si="25"/>
        <v>—</v>
      </c>
      <c r="L54" s="76" t="str">
        <f t="shared" si="25"/>
        <v>—</v>
      </c>
      <c r="M54" s="76" t="str">
        <f t="shared" si="25"/>
        <v>—</v>
      </c>
      <c r="N54" s="76" t="str">
        <f t="shared" si="25"/>
        <v>—</v>
      </c>
      <c r="O54" s="76" t="str">
        <f t="shared" si="25"/>
        <v>—</v>
      </c>
      <c r="P54" s="76" t="str">
        <f t="shared" si="25"/>
        <v>—</v>
      </c>
      <c r="Q54" s="76" t="str">
        <f t="shared" si="25"/>
        <v>—</v>
      </c>
      <c r="R54" s="76" t="str">
        <f t="shared" si="25"/>
        <v>—</v>
      </c>
      <c r="S54" s="76" t="str">
        <f t="shared" si="25"/>
        <v>—</v>
      </c>
      <c r="T54" s="76" t="str">
        <f t="shared" si="25"/>
        <v>—</v>
      </c>
      <c r="U54" s="76" t="str">
        <f t="shared" si="25"/>
        <v>—</v>
      </c>
      <c r="V54" s="76" t="str">
        <f t="shared" si="25"/>
        <v>—</v>
      </c>
      <c r="W54" s="76" t="str">
        <f t="shared" si="25"/>
        <v>—</v>
      </c>
      <c r="X54" s="76" t="str">
        <f t="shared" si="25"/>
        <v>—</v>
      </c>
      <c r="Y54" s="76" t="str">
        <f t="shared" si="25"/>
        <v>—</v>
      </c>
      <c r="Z54" s="76" t="str">
        <f t="shared" si="25"/>
        <v>—</v>
      </c>
      <c r="AA54" s="76" t="str">
        <f t="shared" si="25"/>
        <v>—</v>
      </c>
      <c r="AB54" s="76" t="str">
        <f t="shared" si="25"/>
        <v>—</v>
      </c>
      <c r="AC54" s="76" t="str">
        <f t="shared" si="25"/>
        <v>—</v>
      </c>
      <c r="AD54" s="76" t="str">
        <f t="shared" si="25"/>
        <v>—</v>
      </c>
    </row>
    <row r="55" spans="1:31" ht="17.25">
      <c r="B55" s="73" t="s">
        <v>731</v>
      </c>
      <c r="C55" s="80"/>
      <c r="D55" s="81" t="str">
        <f>IF(ISERROR((D29-C29)/ABS(C29)),"—",(D29-C29)/ABS(C29))</f>
        <v>—</v>
      </c>
      <c r="E55" s="81" t="str">
        <f t="shared" ref="E55:AD55" si="26">IF(ISERROR((E29-D29)/ABS(D29)),"—",(E29-D29)/ABS(D29))</f>
        <v>—</v>
      </c>
      <c r="F55" s="81" t="str">
        <f t="shared" si="26"/>
        <v>—</v>
      </c>
      <c r="G55" s="81" t="str">
        <f t="shared" si="26"/>
        <v>—</v>
      </c>
      <c r="H55" s="81" t="str">
        <f t="shared" si="26"/>
        <v>—</v>
      </c>
      <c r="I55" s="81" t="str">
        <f t="shared" si="26"/>
        <v>—</v>
      </c>
      <c r="J55" s="81" t="str">
        <f t="shared" si="26"/>
        <v>—</v>
      </c>
      <c r="K55" s="81" t="str">
        <f t="shared" si="26"/>
        <v>—</v>
      </c>
      <c r="L55" s="81" t="str">
        <f t="shared" si="26"/>
        <v>—</v>
      </c>
      <c r="M55" s="81" t="str">
        <f t="shared" si="26"/>
        <v>—</v>
      </c>
      <c r="N55" s="81" t="str">
        <f t="shared" si="26"/>
        <v>—</v>
      </c>
      <c r="O55" s="81" t="str">
        <f t="shared" si="26"/>
        <v>—</v>
      </c>
      <c r="P55" s="81" t="str">
        <f t="shared" si="26"/>
        <v>—</v>
      </c>
      <c r="Q55" s="81" t="str">
        <f t="shared" si="26"/>
        <v>—</v>
      </c>
      <c r="R55" s="81" t="str">
        <f t="shared" si="26"/>
        <v>—</v>
      </c>
      <c r="S55" s="81" t="str">
        <f t="shared" si="26"/>
        <v>—</v>
      </c>
      <c r="T55" s="81" t="str">
        <f t="shared" si="26"/>
        <v>—</v>
      </c>
      <c r="U55" s="81" t="str">
        <f t="shared" si="26"/>
        <v>—</v>
      </c>
      <c r="V55" s="81" t="str">
        <f t="shared" si="26"/>
        <v>—</v>
      </c>
      <c r="W55" s="81" t="str">
        <f t="shared" si="26"/>
        <v>—</v>
      </c>
      <c r="X55" s="81" t="str">
        <f t="shared" si="26"/>
        <v>—</v>
      </c>
      <c r="Y55" s="81" t="str">
        <f t="shared" si="26"/>
        <v>—</v>
      </c>
      <c r="Z55" s="81" t="str">
        <f t="shared" si="26"/>
        <v>—</v>
      </c>
      <c r="AA55" s="81" t="str">
        <f t="shared" si="26"/>
        <v>—</v>
      </c>
      <c r="AB55" s="81" t="str">
        <f t="shared" si="26"/>
        <v>—</v>
      </c>
      <c r="AC55" s="81" t="str">
        <f t="shared" si="26"/>
        <v>—</v>
      </c>
      <c r="AD55" s="81" t="str">
        <f t="shared" si="26"/>
        <v>—</v>
      </c>
    </row>
    <row r="56" spans="1:31" ht="17.25">
      <c r="B56" s="65"/>
    </row>
    <row r="57" spans="1:31" ht="17.25">
      <c r="B57" s="65"/>
    </row>
    <row r="58" spans="1:31" ht="17.25">
      <c r="B58" s="65"/>
    </row>
    <row r="59" spans="1:31" ht="17.25">
      <c r="B59" s="65"/>
    </row>
    <row r="60" spans="1:31" ht="17.25">
      <c r="B60" s="65"/>
    </row>
  </sheetData>
  <mergeCells count="1">
    <mergeCell ref="AE3:AE4"/>
  </mergeCells>
  <phoneticPr fontId="140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Q335"/>
  <sheetViews>
    <sheetView workbookViewId="0">
      <pane xSplit="3" ySplit="5" topLeftCell="AE6" activePane="bottomRight" state="frozen"/>
      <selection pane="topRight"/>
      <selection pane="bottomLeft"/>
      <selection pane="bottomRight" activeCell="AP4" sqref="AP4"/>
    </sheetView>
  </sheetViews>
  <sheetFormatPr defaultColWidth="9" defaultRowHeight="14.25" customHeight="1"/>
  <cols>
    <col min="1" max="1" width="9" style="29" customWidth="1"/>
    <col min="2" max="2" width="30.125" style="29" hidden="1" customWidth="1"/>
    <col min="3" max="3" width="27.125" style="29" customWidth="1"/>
    <col min="4" max="4" width="16.75" style="30" hidden="1" customWidth="1"/>
    <col min="5" max="5" width="16.125" style="30" hidden="1" customWidth="1"/>
    <col min="6" max="6" width="14.375" style="31" hidden="1" customWidth="1"/>
    <col min="7" max="21" width="15.625" style="31" hidden="1" customWidth="1"/>
    <col min="22" max="39" width="15.625" style="31" customWidth="1"/>
    <col min="40" max="40" width="15.75" style="31" customWidth="1"/>
    <col min="41" max="41" width="16" style="31" customWidth="1"/>
    <col min="42" max="42" width="15.625" style="31" customWidth="1"/>
    <col min="43" max="43" width="15" style="30" customWidth="1"/>
    <col min="44" max="44" width="14.25" style="30" customWidth="1"/>
    <col min="45" max="16384" width="9" style="30"/>
  </cols>
  <sheetData>
    <row r="1" spans="1:42" ht="14.25" hidden="1" customHeight="1">
      <c r="C1" s="32"/>
      <c r="D1" s="33"/>
      <c r="E1" s="33"/>
    </row>
    <row r="2" spans="1:42" ht="14.25" hidden="1" customHeight="1"/>
    <row r="3" spans="1:42" s="1" customFormat="1" ht="17.25" customHeight="1">
      <c r="A3" s="10" t="s">
        <v>733</v>
      </c>
      <c r="B3" s="11"/>
      <c r="C3" s="11"/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spans="1:42" s="28" customFormat="1" ht="17.25" customHeight="1">
      <c r="A4" s="34" t="s">
        <v>2</v>
      </c>
      <c r="B4" s="34"/>
      <c r="C4" s="34" t="s">
        <v>2</v>
      </c>
      <c r="D4" s="34"/>
      <c r="E4" s="34"/>
      <c r="F4" s="34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42">
        <v>0</v>
      </c>
      <c r="AN4" s="35"/>
      <c r="AO4" s="35"/>
      <c r="AP4" s="35"/>
    </row>
    <row r="5" spans="1:42" ht="14.25" customHeight="1">
      <c r="A5" s="36" t="s">
        <v>734</v>
      </c>
      <c r="B5" s="36"/>
      <c r="C5" s="36" t="s">
        <v>303</v>
      </c>
      <c r="D5" s="37"/>
      <c r="E5" s="37"/>
      <c r="F5" s="38"/>
      <c r="G5" s="38" t="s">
        <v>735</v>
      </c>
      <c r="H5" s="38" t="s">
        <v>736</v>
      </c>
      <c r="I5" s="38" t="s">
        <v>737</v>
      </c>
      <c r="J5" s="38">
        <v>2016</v>
      </c>
      <c r="K5" s="38" t="s">
        <v>738</v>
      </c>
      <c r="L5" s="38" t="s">
        <v>739</v>
      </c>
      <c r="M5" s="38" t="s">
        <v>740</v>
      </c>
      <c r="N5" s="38">
        <v>2017</v>
      </c>
      <c r="O5" s="38" t="s">
        <v>741</v>
      </c>
      <c r="P5" s="38" t="s">
        <v>742</v>
      </c>
      <c r="Q5" s="38" t="s">
        <v>743</v>
      </c>
      <c r="R5" s="38">
        <v>2018</v>
      </c>
      <c r="S5" s="38" t="s">
        <v>744</v>
      </c>
      <c r="T5" s="38" t="s">
        <v>745</v>
      </c>
      <c r="U5" s="38" t="s">
        <v>746</v>
      </c>
      <c r="V5" s="38">
        <v>2019</v>
      </c>
      <c r="W5" s="38" t="s">
        <v>747</v>
      </c>
      <c r="X5" s="38" t="s">
        <v>748</v>
      </c>
      <c r="Y5" s="38" t="s">
        <v>749</v>
      </c>
      <c r="Z5" s="38">
        <v>2020</v>
      </c>
      <c r="AA5" s="38" t="s">
        <v>750</v>
      </c>
      <c r="AB5" s="38" t="s">
        <v>751</v>
      </c>
      <c r="AC5" s="38" t="s">
        <v>752</v>
      </c>
      <c r="AD5" s="38">
        <v>2021</v>
      </c>
      <c r="AE5" s="38" t="s">
        <v>753</v>
      </c>
      <c r="AF5" s="38" t="s">
        <v>754</v>
      </c>
      <c r="AG5" s="38" t="s">
        <v>755</v>
      </c>
      <c r="AH5" s="38">
        <v>2022</v>
      </c>
      <c r="AI5" s="38" t="s">
        <v>756</v>
      </c>
      <c r="AJ5" s="38" t="s">
        <v>757</v>
      </c>
      <c r="AK5" s="38" t="s">
        <v>758</v>
      </c>
      <c r="AL5" s="38">
        <v>2023</v>
      </c>
      <c r="AM5" s="38" t="s">
        <v>759</v>
      </c>
      <c r="AN5" s="38" t="s">
        <v>681</v>
      </c>
      <c r="AO5" s="38" t="s">
        <v>760</v>
      </c>
      <c r="AP5" s="38">
        <v>2024</v>
      </c>
    </row>
    <row r="6" spans="1:42" s="1" customFormat="1" ht="14.25" customHeight="1">
      <c r="A6" s="36">
        <v>1</v>
      </c>
      <c r="B6" s="39" t="s">
        <v>761</v>
      </c>
      <c r="C6" s="40" t="s">
        <v>71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s="1" customFormat="1" ht="14.25" customHeight="1">
      <c r="A7" s="36">
        <v>2</v>
      </c>
      <c r="B7" s="39" t="s">
        <v>762</v>
      </c>
      <c r="C7" s="40" t="s">
        <v>62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s="1" customFormat="1" ht="14.25" customHeight="1">
      <c r="A8" s="36">
        <v>3</v>
      </c>
      <c r="B8" s="39" t="s">
        <v>763</v>
      </c>
      <c r="C8" s="40" t="s">
        <v>73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s="1" customFormat="1" ht="14.25" customHeight="1">
      <c r="A9" s="36">
        <v>4</v>
      </c>
      <c r="B9" s="39" t="s">
        <v>764</v>
      </c>
      <c r="C9" s="40" t="s">
        <v>445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s="1" customFormat="1" ht="14.25" customHeight="1">
      <c r="A10" s="36">
        <v>5</v>
      </c>
      <c r="B10" s="39" t="s">
        <v>765</v>
      </c>
      <c r="C10" s="40" t="s">
        <v>64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s="1" customFormat="1" ht="14.25" customHeight="1">
      <c r="A11" s="36">
        <v>6</v>
      </c>
      <c r="B11" s="39" t="s">
        <v>766</v>
      </c>
      <c r="C11" s="40" t="s">
        <v>77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1" customFormat="1" ht="14.25" customHeight="1">
      <c r="A12" s="36">
        <v>7</v>
      </c>
      <c r="B12" s="39" t="s">
        <v>767</v>
      </c>
      <c r="C12" s="40" t="s">
        <v>79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s="1" customFormat="1" ht="14.25" customHeight="1">
      <c r="A13" s="36">
        <v>8</v>
      </c>
      <c r="B13" s="39" t="s">
        <v>768</v>
      </c>
      <c r="C13" s="40" t="s">
        <v>81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s="1" customFormat="1" ht="14.25" customHeight="1">
      <c r="A14" s="36">
        <v>9</v>
      </c>
      <c r="B14" s="39" t="s">
        <v>769</v>
      </c>
      <c r="C14" s="40" t="s">
        <v>83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s="1" customFormat="1" ht="14.25" customHeight="1">
      <c r="A15" s="36">
        <v>10</v>
      </c>
      <c r="B15" s="39" t="s">
        <v>770</v>
      </c>
      <c r="C15" s="40" t="s">
        <v>330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s="1" customFormat="1" ht="14.25" customHeight="1">
      <c r="A16" s="36">
        <v>11</v>
      </c>
      <c r="B16" s="39" t="s">
        <v>771</v>
      </c>
      <c r="C16" s="40" t="s">
        <v>772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s="1" customFormat="1" ht="14.25" customHeight="1">
      <c r="A17" s="36">
        <v>12</v>
      </c>
      <c r="B17" s="39" t="s">
        <v>773</v>
      </c>
      <c r="C17" s="40" t="s">
        <v>774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s="1" customFormat="1" ht="14.25" customHeight="1">
      <c r="A18" s="36">
        <v>13</v>
      </c>
      <c r="B18" s="39" t="s">
        <v>775</v>
      </c>
      <c r="C18" s="40" t="s">
        <v>74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s="1" customFormat="1" ht="14.25" customHeight="1">
      <c r="A19" s="36">
        <v>14</v>
      </c>
      <c r="B19" s="39" t="s">
        <v>776</v>
      </c>
      <c r="C19" s="40" t="s">
        <v>339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s="1" customFormat="1" ht="14.25" customHeight="1">
      <c r="A20" s="36">
        <v>15</v>
      </c>
      <c r="B20" s="39" t="s">
        <v>777</v>
      </c>
      <c r="C20" s="40" t="s">
        <v>778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s="1" customFormat="1" ht="14.25" customHeight="1">
      <c r="A21" s="36">
        <v>16</v>
      </c>
      <c r="B21" s="39" t="s">
        <v>779</v>
      </c>
      <c r="C21" s="40" t="s">
        <v>780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9"/>
    </row>
    <row r="22" spans="1:42" s="1" customFormat="1" ht="14.25" customHeight="1">
      <c r="A22" s="36">
        <v>17</v>
      </c>
      <c r="B22" s="39" t="s">
        <v>781</v>
      </c>
      <c r="C22" s="40" t="s">
        <v>782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s="1" customFormat="1" ht="14.25" customHeight="1">
      <c r="A23" s="36">
        <v>18</v>
      </c>
      <c r="B23" s="39" t="s">
        <v>783</v>
      </c>
      <c r="C23" s="40" t="s">
        <v>85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s="1" customFormat="1" ht="14.25" customHeight="1">
      <c r="A24" s="36">
        <v>19</v>
      </c>
      <c r="B24" s="39" t="s">
        <v>784</v>
      </c>
      <c r="C24" s="40" t="s">
        <v>89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s="1" customFormat="1" ht="14.25" customHeight="1">
      <c r="A25" s="36">
        <v>20</v>
      </c>
      <c r="B25" s="39" t="s">
        <v>785</v>
      </c>
      <c r="C25" s="40" t="s">
        <v>337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s="1" customFormat="1" ht="14.25" customHeight="1">
      <c r="A26" s="36">
        <v>21</v>
      </c>
      <c r="B26" s="39" t="s">
        <v>786</v>
      </c>
      <c r="C26" s="40" t="s">
        <v>334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s="1" customFormat="1" ht="14.25" customHeight="1">
      <c r="A27" s="36">
        <v>22</v>
      </c>
      <c r="B27" s="39" t="s">
        <v>787</v>
      </c>
      <c r="C27" s="40" t="s">
        <v>342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4.25" customHeight="1">
      <c r="A28" s="36">
        <v>23</v>
      </c>
      <c r="B28" s="39" t="s">
        <v>788</v>
      </c>
      <c r="C28" s="29" t="s">
        <v>789</v>
      </c>
    </row>
    <row r="29" spans="1:42" s="1" customFormat="1" ht="14.25" customHeight="1">
      <c r="A29" s="36">
        <v>24</v>
      </c>
      <c r="B29" s="39" t="s">
        <v>790</v>
      </c>
      <c r="C29" s="40" t="s">
        <v>344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s="1" customFormat="1" ht="14.25" customHeight="1">
      <c r="A30" s="36">
        <v>25</v>
      </c>
      <c r="B30" s="39" t="s">
        <v>791</v>
      </c>
      <c r="C30" s="40" t="s">
        <v>91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s="1" customFormat="1" ht="14.25" customHeight="1">
      <c r="A31" s="36">
        <v>26</v>
      </c>
      <c r="B31" s="39" t="s">
        <v>792</v>
      </c>
      <c r="C31" s="40" t="s">
        <v>92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4.25" customHeight="1">
      <c r="A32" s="36">
        <v>27</v>
      </c>
      <c r="B32" s="39" t="s">
        <v>793</v>
      </c>
      <c r="C32" s="29" t="s">
        <v>794</v>
      </c>
    </row>
    <row r="33" spans="1:42" s="1" customFormat="1" ht="14.25" customHeight="1">
      <c r="A33" s="36">
        <v>28</v>
      </c>
      <c r="B33" s="39" t="s">
        <v>795</v>
      </c>
      <c r="C33" s="40" t="s">
        <v>348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9"/>
    </row>
    <row r="34" spans="1:42" s="1" customFormat="1" ht="14.25" customHeight="1">
      <c r="A34" s="36">
        <v>29</v>
      </c>
      <c r="B34" s="39" t="s">
        <v>796</v>
      </c>
      <c r="C34" s="40" t="s">
        <v>797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s="1" customFormat="1" ht="14.25" customHeight="1">
      <c r="A35" s="36">
        <v>30</v>
      </c>
      <c r="B35" s="39" t="s">
        <v>798</v>
      </c>
      <c r="C35" s="40" t="s">
        <v>364</v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4.25" customHeight="1">
      <c r="A36" s="36">
        <v>31</v>
      </c>
      <c r="B36" s="39" t="s">
        <v>799</v>
      </c>
      <c r="C36" s="40" t="s">
        <v>800</v>
      </c>
    </row>
    <row r="37" spans="1:42" ht="14.25" customHeight="1">
      <c r="A37" s="36">
        <v>32</v>
      </c>
      <c r="B37" s="39" t="s">
        <v>801</v>
      </c>
      <c r="C37" s="40" t="s">
        <v>802</v>
      </c>
    </row>
    <row r="38" spans="1:42" s="1" customFormat="1" ht="14.25" customHeight="1">
      <c r="A38" s="36">
        <v>33</v>
      </c>
      <c r="B38" s="39" t="s">
        <v>803</v>
      </c>
      <c r="C38" s="40" t="s">
        <v>463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s="1" customFormat="1" ht="14.25" customHeight="1">
      <c r="A39" s="36">
        <v>34</v>
      </c>
      <c r="B39" s="39" t="s">
        <v>804</v>
      </c>
      <c r="C39" s="40" t="s">
        <v>805</v>
      </c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s="1" customFormat="1" ht="14.25" customHeight="1">
      <c r="A40" s="36">
        <v>35</v>
      </c>
      <c r="B40" s="39" t="s">
        <v>806</v>
      </c>
      <c r="C40" s="40" t="s">
        <v>466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s="1" customFormat="1" ht="14.25" customHeight="1">
      <c r="A41" s="36">
        <v>36</v>
      </c>
      <c r="B41" s="39" t="s">
        <v>807</v>
      </c>
      <c r="C41" s="40" t="s">
        <v>808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s="1" customFormat="1" ht="14.25" customHeight="1">
      <c r="A42" s="36">
        <v>37</v>
      </c>
      <c r="B42" s="39" t="s">
        <v>809</v>
      </c>
      <c r="C42" s="40" t="s">
        <v>810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s="1" customFormat="1" ht="14.25" customHeight="1">
      <c r="A43" s="36">
        <v>38</v>
      </c>
      <c r="B43" s="39" t="s">
        <v>811</v>
      </c>
      <c r="C43" s="40" t="s">
        <v>812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s="1" customFormat="1" ht="14.25" customHeight="1">
      <c r="A44" s="36">
        <v>39</v>
      </c>
      <c r="B44" s="39" t="s">
        <v>813</v>
      </c>
      <c r="C44" s="40" t="s">
        <v>456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s="1" customFormat="1" ht="14.25" customHeight="1">
      <c r="A45" s="36">
        <v>40</v>
      </c>
      <c r="B45" s="39" t="s">
        <v>814</v>
      </c>
      <c r="C45" s="40" t="s">
        <v>455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hidden="1" customHeight="1"/>
    <row r="47" spans="1:42" ht="14.25" hidden="1" customHeight="1"/>
    <row r="48" spans="1:42" ht="14.25" hidden="1" customHeight="1"/>
    <row r="49" spans="1:42" ht="14.25" hidden="1" customHeight="1"/>
    <row r="50" spans="1:42" ht="14.25" hidden="1" customHeight="1"/>
    <row r="51" spans="1:42" s="1" customFormat="1" ht="14.25" customHeight="1">
      <c r="A51" s="36"/>
      <c r="B51" s="39"/>
      <c r="C51" s="40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s="1" customFormat="1" ht="14.25" customHeight="1">
      <c r="A52" s="36"/>
      <c r="B52" s="39"/>
      <c r="C52" s="40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s="1" customFormat="1" ht="14.25" customHeight="1">
      <c r="A53" s="36"/>
      <c r="B53" s="39"/>
      <c r="C53" s="40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s="1" customFormat="1" ht="14.25" customHeight="1">
      <c r="A54" s="36"/>
      <c r="B54" s="39"/>
      <c r="C54" s="40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s="1" customFormat="1" ht="14.25" customHeight="1">
      <c r="A55" s="36"/>
      <c r="B55" s="39"/>
      <c r="C55" s="40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s="1" customFormat="1" ht="14.25" customHeight="1">
      <c r="A56" s="36"/>
      <c r="B56" s="29"/>
      <c r="C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s="1" customFormat="1" ht="14.25" customHeight="1">
      <c r="A57" s="29"/>
      <c r="B57" s="29"/>
      <c r="C57" s="4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s="1" customFormat="1" ht="14.25" customHeight="1">
      <c r="A58" s="29"/>
      <c r="B58" s="29"/>
      <c r="C58" s="4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s="1" customFormat="1" ht="14.25" customHeight="1">
      <c r="A59" s="29"/>
      <c r="B59" s="29"/>
      <c r="C59" s="4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s="1" customFormat="1" ht="17.25" customHeight="1">
      <c r="A60" s="10" t="s">
        <v>815</v>
      </c>
      <c r="B60" s="11"/>
      <c r="C60" s="11"/>
      <c r="D60" s="11"/>
      <c r="E60" s="11"/>
      <c r="F60" s="1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</row>
    <row r="61" spans="1:42" s="28" customFormat="1" ht="17.25" customHeight="1">
      <c r="A61" s="34" t="str">
        <f>A4</f>
        <v>XXXX</v>
      </c>
      <c r="B61" s="34"/>
      <c r="C61" s="34" t="str">
        <f>C4</f>
        <v>XXXX</v>
      </c>
      <c r="D61" s="34"/>
      <c r="E61" s="34"/>
      <c r="F61" s="34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43"/>
      <c r="AN61" s="35"/>
      <c r="AO61" s="35"/>
      <c r="AP61" s="35"/>
    </row>
    <row r="62" spans="1:42" ht="14.25" customHeight="1">
      <c r="A62" s="36" t="s">
        <v>734</v>
      </c>
      <c r="B62" s="36"/>
      <c r="C62" s="36" t="s">
        <v>303</v>
      </c>
      <c r="D62" s="37"/>
      <c r="E62" s="37"/>
      <c r="F62" s="38"/>
      <c r="G62" s="38" t="str">
        <f t="shared" ref="G62:AP62" si="0">G5</f>
        <v>1Q16</v>
      </c>
      <c r="H62" s="38" t="str">
        <f t="shared" si="0"/>
        <v>1H16</v>
      </c>
      <c r="I62" s="38" t="str">
        <f t="shared" si="0"/>
        <v>3Q16</v>
      </c>
      <c r="J62" s="38">
        <f t="shared" si="0"/>
        <v>2016</v>
      </c>
      <c r="K62" s="38" t="str">
        <f t="shared" si="0"/>
        <v>1Q17</v>
      </c>
      <c r="L62" s="38" t="str">
        <f t="shared" si="0"/>
        <v>1H17</v>
      </c>
      <c r="M62" s="38" t="str">
        <f t="shared" si="0"/>
        <v>3Q17</v>
      </c>
      <c r="N62" s="38">
        <f t="shared" si="0"/>
        <v>2017</v>
      </c>
      <c r="O62" s="38" t="str">
        <f t="shared" si="0"/>
        <v>1Q18</v>
      </c>
      <c r="P62" s="38" t="str">
        <f t="shared" si="0"/>
        <v>1H18</v>
      </c>
      <c r="Q62" s="38" t="str">
        <f t="shared" si="0"/>
        <v>3Q18</v>
      </c>
      <c r="R62" s="38">
        <f t="shared" si="0"/>
        <v>2018</v>
      </c>
      <c r="S62" s="38" t="str">
        <f t="shared" si="0"/>
        <v>1Q19</v>
      </c>
      <c r="T62" s="38" t="str">
        <f t="shared" si="0"/>
        <v>1H19</v>
      </c>
      <c r="U62" s="38" t="str">
        <f t="shared" si="0"/>
        <v>3Q19</v>
      </c>
      <c r="V62" s="38">
        <f t="shared" si="0"/>
        <v>2019</v>
      </c>
      <c r="W62" s="38" t="str">
        <f t="shared" si="0"/>
        <v>1Q20</v>
      </c>
      <c r="X62" s="38" t="str">
        <f t="shared" si="0"/>
        <v>1H20</v>
      </c>
      <c r="Y62" s="38" t="str">
        <f t="shared" si="0"/>
        <v>3Q20</v>
      </c>
      <c r="Z62" s="38">
        <f t="shared" si="0"/>
        <v>2020</v>
      </c>
      <c r="AA62" s="38" t="str">
        <f t="shared" si="0"/>
        <v>1Q21</v>
      </c>
      <c r="AB62" s="38" t="str">
        <f t="shared" si="0"/>
        <v>1H21</v>
      </c>
      <c r="AC62" s="38" t="str">
        <f t="shared" si="0"/>
        <v>3Q21</v>
      </c>
      <c r="AD62" s="38">
        <f t="shared" si="0"/>
        <v>2021</v>
      </c>
      <c r="AE62" s="38" t="str">
        <f t="shared" si="0"/>
        <v>1Q22</v>
      </c>
      <c r="AF62" s="38" t="str">
        <f t="shared" si="0"/>
        <v>1H22</v>
      </c>
      <c r="AG62" s="38" t="str">
        <f t="shared" si="0"/>
        <v>3Q22</v>
      </c>
      <c r="AH62" s="38">
        <f t="shared" si="0"/>
        <v>2022</v>
      </c>
      <c r="AI62" s="38" t="str">
        <f t="shared" si="0"/>
        <v>1Q23</v>
      </c>
      <c r="AJ62" s="38" t="str">
        <f t="shared" si="0"/>
        <v>1H23</v>
      </c>
      <c r="AK62" s="38" t="str">
        <f t="shared" si="0"/>
        <v>3Q23</v>
      </c>
      <c r="AL62" s="38">
        <f t="shared" si="0"/>
        <v>2023</v>
      </c>
      <c r="AM62" s="38" t="str">
        <f t="shared" si="0"/>
        <v>1Q24</v>
      </c>
      <c r="AN62" s="38" t="str">
        <f t="shared" si="0"/>
        <v>1H24</v>
      </c>
      <c r="AO62" s="38" t="str">
        <f t="shared" si="0"/>
        <v>3Q24</v>
      </c>
      <c r="AP62" s="38">
        <f t="shared" si="0"/>
        <v>2024</v>
      </c>
    </row>
    <row r="63" spans="1:42" s="1" customFormat="1" ht="14.25" customHeight="1">
      <c r="A63" s="36">
        <v>1</v>
      </c>
      <c r="B63" s="29" t="s">
        <v>816</v>
      </c>
      <c r="C63" s="40" t="s">
        <v>320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s="1" customFormat="1" ht="14.25" customHeight="1">
      <c r="A64" s="36">
        <f t="shared" ref="A64:A74" si="1">A63+1</f>
        <v>2</v>
      </c>
      <c r="B64" s="29" t="s">
        <v>817</v>
      </c>
      <c r="C64" s="40" t="s">
        <v>132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s="1" customFormat="1" ht="14.25" customHeight="1">
      <c r="A65" s="36">
        <v>3</v>
      </c>
      <c r="B65" s="29" t="s">
        <v>818</v>
      </c>
      <c r="C65" s="40" t="s">
        <v>819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s="1" customFormat="1" ht="14.25" customHeight="1">
      <c r="A66" s="36">
        <f t="shared" si="1"/>
        <v>4</v>
      </c>
      <c r="B66" s="29" t="s">
        <v>820</v>
      </c>
      <c r="C66" s="40" t="s">
        <v>104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s="1" customFormat="1" ht="14.25" customHeight="1">
      <c r="A67" s="36">
        <v>5</v>
      </c>
      <c r="B67" s="29" t="s">
        <v>821</v>
      </c>
      <c r="C67" s="40" t="s">
        <v>107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s="1" customFormat="1" ht="14.25" customHeight="1">
      <c r="A68" s="36">
        <f t="shared" si="1"/>
        <v>6</v>
      </c>
      <c r="B68" s="29" t="s">
        <v>822</v>
      </c>
      <c r="C68" s="40" t="s">
        <v>113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s="1" customFormat="1" ht="14.25" customHeight="1">
      <c r="A69" s="36">
        <v>7</v>
      </c>
      <c r="B69" s="29" t="s">
        <v>823</v>
      </c>
      <c r="C69" s="40" t="s">
        <v>111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s="1" customFormat="1" ht="14.25" customHeight="1">
      <c r="A70" s="36">
        <v>8</v>
      </c>
      <c r="B70" s="29" t="s">
        <v>824</v>
      </c>
      <c r="C70" s="40" t="s">
        <v>825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s="1" customFormat="1" ht="14.25" customHeight="1">
      <c r="A71" s="36">
        <v>9</v>
      </c>
      <c r="B71" s="29" t="s">
        <v>826</v>
      </c>
      <c r="C71" s="40" t="s">
        <v>398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s="1" customFormat="1" ht="14.25" customHeight="1">
      <c r="A72" s="36">
        <f t="shared" si="1"/>
        <v>10</v>
      </c>
      <c r="B72" s="29" t="s">
        <v>827</v>
      </c>
      <c r="C72" s="40" t="s">
        <v>828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s="1" customFormat="1" ht="14.25" customHeight="1">
      <c r="A73" s="36">
        <f t="shared" si="1"/>
        <v>11</v>
      </c>
      <c r="B73" s="29" t="s">
        <v>829</v>
      </c>
      <c r="C73" s="40" t="s">
        <v>137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s="1" customFormat="1" ht="14.25" customHeight="1">
      <c r="A74" s="36">
        <f t="shared" si="1"/>
        <v>12</v>
      </c>
      <c r="B74" s="29" t="s">
        <v>830</v>
      </c>
      <c r="C74" s="40" t="s">
        <v>831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s="1" customFormat="1" ht="14.25" customHeight="1">
      <c r="A75" s="36">
        <v>13</v>
      </c>
      <c r="B75" s="29" t="s">
        <v>832</v>
      </c>
      <c r="C75" s="44" t="s">
        <v>833</v>
      </c>
      <c r="D75" s="45"/>
      <c r="E75" s="45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s="1" customFormat="1" ht="14.25" customHeight="1">
      <c r="A76" s="36">
        <v>14</v>
      </c>
      <c r="B76" s="29" t="s">
        <v>834</v>
      </c>
      <c r="C76" s="44" t="s">
        <v>835</v>
      </c>
      <c r="D76" s="45"/>
      <c r="E76" s="45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s="1" customFormat="1" ht="14.25" customHeight="1">
      <c r="A77" s="36">
        <f>A76+1</f>
        <v>15</v>
      </c>
      <c r="B77" s="29" t="s">
        <v>836</v>
      </c>
      <c r="C77" s="40" t="s">
        <v>148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s="1" customFormat="1" ht="14.25" customHeight="1">
      <c r="A78" s="36">
        <v>16</v>
      </c>
      <c r="B78" s="29" t="s">
        <v>837</v>
      </c>
      <c r="C78" s="44" t="s">
        <v>838</v>
      </c>
      <c r="D78" s="45"/>
      <c r="E78" s="45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s="1" customFormat="1" ht="14.25" customHeight="1">
      <c r="A79" s="36">
        <v>17</v>
      </c>
      <c r="B79" s="29" t="s">
        <v>839</v>
      </c>
      <c r="C79" s="40" t="s">
        <v>840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s="1" customFormat="1" ht="14.25" customHeight="1">
      <c r="A80" s="36">
        <f>A79+1</f>
        <v>18</v>
      </c>
      <c r="B80" s="29" t="s">
        <v>841</v>
      </c>
      <c r="C80" s="40" t="s">
        <v>842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s="1" customFormat="1" ht="14.25" customHeight="1">
      <c r="A81" s="36">
        <v>19</v>
      </c>
      <c r="B81" s="29" t="s">
        <v>843</v>
      </c>
      <c r="C81" s="40" t="s">
        <v>844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s="1" customFormat="1" ht="14.25" customHeight="1">
      <c r="A82" s="36">
        <v>20</v>
      </c>
      <c r="B82" s="29" t="s">
        <v>845</v>
      </c>
      <c r="C82" s="40" t="s">
        <v>400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s="1" customFormat="1" ht="14.25" customHeight="1">
      <c r="A83" s="36">
        <v>21</v>
      </c>
      <c r="B83" s="29" t="s">
        <v>846</v>
      </c>
      <c r="C83" s="40" t="s">
        <v>847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s="1" customFormat="1" ht="14.25" customHeight="1">
      <c r="A84" s="36">
        <f>A83+1</f>
        <v>22</v>
      </c>
      <c r="B84" s="29" t="s">
        <v>848</v>
      </c>
      <c r="C84" s="40" t="s">
        <v>849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s="1" customFormat="1" ht="14.25" customHeight="1">
      <c r="A85" s="36">
        <v>23</v>
      </c>
      <c r="B85" s="29" t="s">
        <v>850</v>
      </c>
      <c r="C85" s="40" t="s">
        <v>851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s="1" customFormat="1" ht="14.25" customHeight="1">
      <c r="A86" s="36">
        <v>24</v>
      </c>
      <c r="B86" s="29" t="s">
        <v>852</v>
      </c>
      <c r="C86" s="40" t="s">
        <v>853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s="1" customFormat="1" ht="14.25" customHeight="1">
      <c r="A87" s="36">
        <v>25</v>
      </c>
      <c r="B87" s="29" t="s">
        <v>854</v>
      </c>
      <c r="C87" s="40" t="s">
        <v>855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s="1" customFormat="1" ht="14.25" customHeight="1">
      <c r="A88" s="36">
        <f t="shared" ref="A88:A103" si="2">A87+1</f>
        <v>26</v>
      </c>
      <c r="B88" s="29" t="s">
        <v>856</v>
      </c>
      <c r="C88" s="40" t="s">
        <v>404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s="1" customFormat="1" ht="14.25" customHeight="1">
      <c r="A89" s="36">
        <f t="shared" si="2"/>
        <v>27</v>
      </c>
      <c r="B89" s="29" t="s">
        <v>857</v>
      </c>
      <c r="C89" s="40" t="s">
        <v>327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s="1" customFormat="1" ht="14.25" customHeight="1">
      <c r="A90" s="36">
        <v>28</v>
      </c>
      <c r="B90" s="29" t="s">
        <v>858</v>
      </c>
      <c r="C90" s="40" t="s">
        <v>151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s="1" customFormat="1" ht="14.25" customHeight="1">
      <c r="A91" s="36">
        <f t="shared" si="2"/>
        <v>29</v>
      </c>
      <c r="B91" s="29" t="s">
        <v>859</v>
      </c>
      <c r="C91" s="40" t="s">
        <v>860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s="1" customFormat="1" ht="14.25" customHeight="1">
      <c r="A92" s="36">
        <v>30</v>
      </c>
      <c r="B92" s="29" t="s">
        <v>861</v>
      </c>
      <c r="C92" s="40" t="s">
        <v>405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s="1" customFormat="1" ht="14.25" customHeight="1">
      <c r="A93" s="36">
        <v>31</v>
      </c>
      <c r="B93" s="29" t="s">
        <v>862</v>
      </c>
      <c r="C93" s="40" t="s">
        <v>328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spans="1:42" s="1" customFormat="1" ht="14.25" customHeight="1">
      <c r="A94" s="36">
        <f t="shared" si="2"/>
        <v>32</v>
      </c>
      <c r="B94" s="29" t="s">
        <v>863</v>
      </c>
      <c r="C94" s="40" t="s">
        <v>864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spans="1:42" s="1" customFormat="1" ht="14.25" customHeight="1">
      <c r="A95" s="36">
        <f t="shared" si="2"/>
        <v>33</v>
      </c>
      <c r="B95" s="29" t="s">
        <v>865</v>
      </c>
      <c r="C95" s="40" t="s">
        <v>866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</row>
    <row r="96" spans="1:42" s="1" customFormat="1" ht="14.25" customHeight="1">
      <c r="A96" s="36">
        <f t="shared" si="2"/>
        <v>34</v>
      </c>
      <c r="B96" s="29" t="s">
        <v>867</v>
      </c>
      <c r="C96" s="40" t="s">
        <v>331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</row>
    <row r="97" spans="1:42" s="1" customFormat="1" ht="14.25" customHeight="1">
      <c r="A97" s="36">
        <f t="shared" si="2"/>
        <v>35</v>
      </c>
      <c r="B97" s="29" t="s">
        <v>868</v>
      </c>
      <c r="C97" s="40" t="s">
        <v>332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</row>
    <row r="98" spans="1:42" s="1" customFormat="1" ht="14.25" customHeight="1">
      <c r="A98" s="36">
        <f t="shared" si="2"/>
        <v>36</v>
      </c>
      <c r="B98" s="29" t="s">
        <v>869</v>
      </c>
      <c r="C98" s="40" t="s">
        <v>140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</row>
    <row r="99" spans="1:42" s="1" customFormat="1" ht="14.25" customHeight="1">
      <c r="A99" s="36">
        <f t="shared" si="2"/>
        <v>37</v>
      </c>
      <c r="B99" s="29" t="s">
        <v>870</v>
      </c>
      <c r="C99" s="40" t="s">
        <v>120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</row>
    <row r="100" spans="1:42" s="1" customFormat="1" ht="14.25" customHeight="1">
      <c r="A100" s="36">
        <f t="shared" si="2"/>
        <v>38</v>
      </c>
      <c r="B100" s="29" t="s">
        <v>871</v>
      </c>
      <c r="C100" s="40" t="s">
        <v>122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</row>
    <row r="101" spans="1:42" s="1" customFormat="1" ht="14.25" customHeight="1">
      <c r="A101" s="36">
        <f t="shared" si="2"/>
        <v>39</v>
      </c>
      <c r="B101" s="29" t="s">
        <v>872</v>
      </c>
      <c r="C101" s="40" t="s">
        <v>873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</row>
    <row r="102" spans="1:42" s="1" customFormat="1" ht="14.25" customHeight="1">
      <c r="A102" s="36">
        <v>40</v>
      </c>
      <c r="B102" s="29" t="s">
        <v>874</v>
      </c>
      <c r="C102" s="40" t="s">
        <v>126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</row>
    <row r="103" spans="1:42" s="1" customFormat="1" ht="14.25" customHeight="1">
      <c r="A103" s="36">
        <f t="shared" si="2"/>
        <v>41</v>
      </c>
      <c r="B103" s="29" t="s">
        <v>875</v>
      </c>
      <c r="C103" s="40" t="s">
        <v>876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</row>
    <row r="104" spans="1:42" s="1" customFormat="1" ht="14.25" customHeight="1">
      <c r="A104" s="36">
        <v>42</v>
      </c>
      <c r="B104" s="29" t="s">
        <v>877</v>
      </c>
      <c r="C104" s="40" t="s">
        <v>127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</row>
    <row r="105" spans="1:42" s="1" customFormat="1" ht="14.25" customHeight="1">
      <c r="A105" s="36">
        <v>43</v>
      </c>
      <c r="B105" s="29" t="s">
        <v>878</v>
      </c>
      <c r="C105" s="40" t="s">
        <v>128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</row>
    <row r="106" spans="1:42" s="1" customFormat="1" ht="14.25" customHeight="1">
      <c r="A106" s="36">
        <v>44</v>
      </c>
      <c r="B106" s="29" t="s">
        <v>879</v>
      </c>
      <c r="C106" s="40" t="s">
        <v>414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</row>
    <row r="107" spans="1:42" s="1" customFormat="1" ht="14.25" customHeight="1">
      <c r="A107" s="36">
        <f t="shared" ref="A107:A127" si="3">A106+1</f>
        <v>45</v>
      </c>
      <c r="B107" s="29" t="s">
        <v>880</v>
      </c>
      <c r="C107" s="40" t="s">
        <v>881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</row>
    <row r="108" spans="1:42" s="1" customFormat="1" ht="14.25" customHeight="1">
      <c r="A108" s="36">
        <f t="shared" si="3"/>
        <v>46</v>
      </c>
      <c r="B108" s="29" t="s">
        <v>882</v>
      </c>
      <c r="C108" s="40" t="s">
        <v>411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</row>
    <row r="109" spans="1:42" s="1" customFormat="1" ht="14.25" customHeight="1">
      <c r="A109" s="36">
        <f t="shared" si="3"/>
        <v>47</v>
      </c>
      <c r="B109" s="29" t="s">
        <v>883</v>
      </c>
      <c r="C109" s="40" t="s">
        <v>142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</row>
    <row r="110" spans="1:42" s="1" customFormat="1" ht="14.25" customHeight="1">
      <c r="A110" s="36">
        <f t="shared" si="3"/>
        <v>48</v>
      </c>
      <c r="B110" s="29" t="s">
        <v>884</v>
      </c>
      <c r="C110" s="40" t="s">
        <v>885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</row>
    <row r="111" spans="1:42" s="1" customFormat="1" ht="14.25" customHeight="1">
      <c r="A111" s="36">
        <f t="shared" si="3"/>
        <v>49</v>
      </c>
      <c r="B111" s="29" t="s">
        <v>886</v>
      </c>
      <c r="C111" s="40" t="s">
        <v>336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</row>
    <row r="112" spans="1:42" s="1" customFormat="1" ht="14.25" customHeight="1">
      <c r="A112" s="36">
        <f t="shared" si="3"/>
        <v>50</v>
      </c>
      <c r="B112" s="29" t="s">
        <v>887</v>
      </c>
      <c r="C112" s="40" t="s">
        <v>338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</row>
    <row r="113" spans="1:42" s="1" customFormat="1" ht="14.25" customHeight="1">
      <c r="A113" s="36">
        <f t="shared" si="3"/>
        <v>51</v>
      </c>
      <c r="B113" s="29" t="s">
        <v>888</v>
      </c>
      <c r="C113" s="40" t="s">
        <v>340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</row>
    <row r="114" spans="1:42" s="1" customFormat="1" ht="14.25" customHeight="1">
      <c r="A114" s="36">
        <f t="shared" si="3"/>
        <v>52</v>
      </c>
      <c r="B114" s="29" t="s">
        <v>889</v>
      </c>
      <c r="C114" s="40" t="s">
        <v>890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</row>
    <row r="115" spans="1:42" s="1" customFormat="1" ht="14.25" customHeight="1">
      <c r="A115" s="36">
        <f t="shared" si="3"/>
        <v>53</v>
      </c>
      <c r="B115" s="29" t="s">
        <v>891</v>
      </c>
      <c r="C115" s="40" t="s">
        <v>892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</row>
    <row r="116" spans="1:42" s="1" customFormat="1" ht="14.25" customHeight="1">
      <c r="A116" s="36">
        <v>54</v>
      </c>
      <c r="B116" s="29" t="s">
        <v>893</v>
      </c>
      <c r="C116" s="40" t="s">
        <v>417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</row>
    <row r="117" spans="1:42" s="1" customFormat="1" ht="14.25" customHeight="1">
      <c r="A117" s="36">
        <f t="shared" si="3"/>
        <v>55</v>
      </c>
      <c r="B117" s="29" t="s">
        <v>894</v>
      </c>
      <c r="C117" s="40" t="s">
        <v>416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</row>
    <row r="118" spans="1:42" s="1" customFormat="1" ht="14.25" customHeight="1">
      <c r="A118" s="36">
        <f t="shared" si="3"/>
        <v>56</v>
      </c>
      <c r="B118" s="29" t="s">
        <v>895</v>
      </c>
      <c r="C118" s="40" t="s">
        <v>418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</row>
    <row r="119" spans="1:42" s="1" customFormat="1" ht="14.25" customHeight="1">
      <c r="A119" s="36">
        <v>57</v>
      </c>
      <c r="B119" s="29" t="s">
        <v>896</v>
      </c>
      <c r="C119" s="40" t="s">
        <v>897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</row>
    <row r="120" spans="1:42" s="1" customFormat="1" ht="14.25" customHeight="1">
      <c r="A120" s="36">
        <f t="shared" si="3"/>
        <v>58</v>
      </c>
      <c r="B120" s="29" t="s">
        <v>898</v>
      </c>
      <c r="C120" s="40" t="s">
        <v>419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</row>
    <row r="121" spans="1:42" s="1" customFormat="1" ht="14.25" customHeight="1">
      <c r="A121" s="36">
        <v>59</v>
      </c>
      <c r="B121" s="29" t="s">
        <v>899</v>
      </c>
      <c r="C121" s="40" t="s">
        <v>900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</row>
    <row r="122" spans="1:42" s="1" customFormat="1" ht="14.25" customHeight="1">
      <c r="A122" s="36">
        <v>60</v>
      </c>
      <c r="B122" s="29" t="s">
        <v>901</v>
      </c>
      <c r="C122" s="40" t="s">
        <v>902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</row>
    <row r="123" spans="1:42" s="1" customFormat="1" ht="14.25" customHeight="1">
      <c r="A123" s="36">
        <v>61</v>
      </c>
      <c r="B123" s="29" t="s">
        <v>903</v>
      </c>
      <c r="C123" s="40" t="s">
        <v>424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</row>
    <row r="124" spans="1:42" s="1" customFormat="1" ht="14.25" customHeight="1">
      <c r="A124" s="36">
        <f t="shared" si="3"/>
        <v>62</v>
      </c>
      <c r="B124" s="29" t="s">
        <v>904</v>
      </c>
      <c r="C124" s="40" t="s">
        <v>905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</row>
    <row r="125" spans="1:42" s="1" customFormat="1" ht="14.25" customHeight="1">
      <c r="A125" s="36">
        <v>63</v>
      </c>
      <c r="B125" s="29" t="s">
        <v>906</v>
      </c>
      <c r="C125" s="40" t="s">
        <v>907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</row>
    <row r="126" spans="1:42" s="1" customFormat="1" ht="14.25" customHeight="1">
      <c r="A126" s="36">
        <f t="shared" si="3"/>
        <v>64</v>
      </c>
      <c r="B126" s="29" t="s">
        <v>908</v>
      </c>
      <c r="C126" s="40" t="s">
        <v>428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</row>
    <row r="127" spans="1:42" s="1" customFormat="1" ht="14.25" customHeight="1">
      <c r="A127" s="36">
        <f t="shared" si="3"/>
        <v>65</v>
      </c>
      <c r="B127" s="29" t="s">
        <v>909</v>
      </c>
      <c r="C127" s="40" t="s">
        <v>429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</row>
    <row r="128" spans="1:42" s="1" customFormat="1" ht="14.25" customHeight="1">
      <c r="A128" s="36">
        <v>66</v>
      </c>
      <c r="B128" s="29" t="s">
        <v>910</v>
      </c>
      <c r="C128" s="40" t="s">
        <v>911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</row>
    <row r="129" spans="1:42" s="1" customFormat="1" ht="14.25" customHeight="1">
      <c r="A129" s="36">
        <f>A128+1</f>
        <v>67</v>
      </c>
      <c r="B129" s="29" t="s">
        <v>912</v>
      </c>
      <c r="C129" s="40" t="s">
        <v>430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</row>
    <row r="130" spans="1:42" s="1" customFormat="1" ht="14.25" customHeight="1">
      <c r="A130" s="36">
        <f>A129+1</f>
        <v>68</v>
      </c>
      <c r="B130" s="29" t="s">
        <v>913</v>
      </c>
      <c r="C130" s="40" t="s">
        <v>350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</row>
    <row r="131" spans="1:42" s="1" customFormat="1" ht="14.25" customHeight="1">
      <c r="A131" s="36">
        <f>A130+1</f>
        <v>69</v>
      </c>
      <c r="B131" s="29" t="s">
        <v>914</v>
      </c>
      <c r="C131" s="40" t="s">
        <v>431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</row>
    <row r="132" spans="1:42" s="1" customFormat="1" ht="14.25" customHeight="1">
      <c r="A132" s="36">
        <f>A131+1</f>
        <v>70</v>
      </c>
      <c r="B132" s="29" t="s">
        <v>915</v>
      </c>
      <c r="C132" s="40" t="s">
        <v>916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</row>
    <row r="133" spans="1:42" s="1" customFormat="1" ht="14.25" customHeight="1">
      <c r="A133" s="36">
        <f>A132+1</f>
        <v>71</v>
      </c>
      <c r="B133" s="29" t="s">
        <v>917</v>
      </c>
      <c r="C133" s="40" t="s">
        <v>918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</row>
    <row r="134" spans="1:42" s="1" customFormat="1" ht="14.25" customHeight="1">
      <c r="A134" s="36">
        <v>72</v>
      </c>
      <c r="B134" s="29" t="s">
        <v>919</v>
      </c>
      <c r="C134" s="40" t="s">
        <v>920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</row>
    <row r="135" spans="1:42" s="1" customFormat="1" ht="14.25" customHeight="1">
      <c r="A135" s="36">
        <v>73</v>
      </c>
      <c r="B135" s="29" t="s">
        <v>921</v>
      </c>
      <c r="C135" s="40" t="s">
        <v>922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</row>
    <row r="136" spans="1:42" s="1" customFormat="1" ht="14.25" customHeight="1">
      <c r="A136" s="36">
        <v>74</v>
      </c>
      <c r="B136" s="29" t="s">
        <v>923</v>
      </c>
      <c r="C136" s="40" t="s">
        <v>426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</row>
    <row r="137" spans="1:42" s="1" customFormat="1" ht="14.25" customHeight="1">
      <c r="A137" s="36">
        <v>75</v>
      </c>
      <c r="B137" s="29" t="s">
        <v>924</v>
      </c>
      <c r="C137" s="40" t="s">
        <v>925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</row>
    <row r="138" spans="1:42" s="1" customFormat="1" ht="14.25" customHeight="1">
      <c r="A138" s="36">
        <v>76</v>
      </c>
      <c r="B138" s="29" t="s">
        <v>926</v>
      </c>
      <c r="C138" s="40" t="s">
        <v>927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</row>
    <row r="139" spans="1:42" s="1" customFormat="1" ht="14.25" customHeight="1">
      <c r="A139" s="36">
        <v>77</v>
      </c>
      <c r="B139" s="29" t="s">
        <v>928</v>
      </c>
      <c r="C139" s="40" t="s">
        <v>425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</row>
    <row r="140" spans="1:42" s="1" customFormat="1" ht="14.25" customHeight="1">
      <c r="A140" s="36">
        <v>78</v>
      </c>
      <c r="B140" s="29" t="s">
        <v>929</v>
      </c>
      <c r="C140" s="40" t="s">
        <v>421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</row>
    <row r="141" spans="1:42" s="1" customFormat="1" ht="14.25" customHeight="1">
      <c r="A141" s="36">
        <v>79</v>
      </c>
      <c r="B141" s="29" t="s">
        <v>930</v>
      </c>
      <c r="C141" s="40" t="s">
        <v>397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</row>
    <row r="142" spans="1:42" s="1" customFormat="1" ht="14.25" customHeight="1">
      <c r="A142" s="36">
        <v>80</v>
      </c>
      <c r="B142" s="29" t="s">
        <v>931</v>
      </c>
      <c r="C142" s="40" t="s">
        <v>410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</row>
    <row r="143" spans="1:42" s="1" customFormat="1" ht="14.25" customHeight="1">
      <c r="A143" s="36">
        <v>81</v>
      </c>
      <c r="B143" s="29" t="s">
        <v>932</v>
      </c>
      <c r="C143" s="40" t="s">
        <v>933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</row>
    <row r="144" spans="1:42" s="1" customFormat="1" ht="14.25" customHeight="1">
      <c r="A144" s="36">
        <v>82</v>
      </c>
      <c r="B144" s="29" t="s">
        <v>934</v>
      </c>
      <c r="C144" s="40" t="s">
        <v>935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</row>
    <row r="145" spans="1:69" s="1" customFormat="1" ht="14.25" customHeight="1">
      <c r="A145" s="36">
        <v>83</v>
      </c>
      <c r="B145" s="29" t="s">
        <v>936</v>
      </c>
      <c r="C145" s="40" t="s">
        <v>118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</row>
    <row r="146" spans="1:69" s="1" customFormat="1" ht="14.25" customHeight="1">
      <c r="A146" s="36">
        <v>84</v>
      </c>
      <c r="B146" s="29" t="s">
        <v>937</v>
      </c>
      <c r="C146" s="40" t="s">
        <v>125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</row>
    <row r="147" spans="1:69" s="1" customFormat="1" ht="14.25" customHeight="1">
      <c r="A147" s="36">
        <v>85</v>
      </c>
      <c r="B147" s="29" t="s">
        <v>938</v>
      </c>
      <c r="C147" s="40" t="s">
        <v>939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</row>
    <row r="148" spans="1:69" s="1" customFormat="1" ht="14.25" customHeight="1">
      <c r="A148" s="36">
        <v>86</v>
      </c>
      <c r="B148" s="29" t="s">
        <v>940</v>
      </c>
      <c r="C148" s="40" t="s">
        <v>941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</row>
    <row r="149" spans="1:69" s="1" customFormat="1" ht="14.25" customHeight="1">
      <c r="A149" s="36">
        <v>87</v>
      </c>
      <c r="B149" s="29" t="s">
        <v>942</v>
      </c>
      <c r="C149" s="40" t="s">
        <v>415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</row>
    <row r="150" spans="1:69" s="1" customFormat="1" ht="14.25" customHeight="1">
      <c r="A150" s="36">
        <v>88</v>
      </c>
      <c r="B150" s="29" t="s">
        <v>943</v>
      </c>
      <c r="C150" s="40" t="s">
        <v>136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</row>
    <row r="151" spans="1:69" s="1" customFormat="1" ht="14.25" customHeight="1">
      <c r="A151" s="36">
        <v>89</v>
      </c>
      <c r="B151" s="29" t="s">
        <v>944</v>
      </c>
      <c r="C151" s="40" t="s">
        <v>945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</row>
    <row r="152" spans="1:69" s="1" customFormat="1" ht="14.25" customHeight="1">
      <c r="A152" s="36">
        <v>90</v>
      </c>
      <c r="B152" s="29" t="s">
        <v>946</v>
      </c>
      <c r="C152" s="40" t="s">
        <v>141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</row>
    <row r="153" spans="1:69" ht="14.25" customHeight="1">
      <c r="A153" s="36">
        <v>91</v>
      </c>
      <c r="B153" s="29" t="s">
        <v>947</v>
      </c>
      <c r="C153" s="40" t="s">
        <v>948</v>
      </c>
      <c r="D153" s="1"/>
      <c r="E153" s="1"/>
      <c r="F153" s="1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4.25" customHeight="1">
      <c r="A154" s="36">
        <v>92</v>
      </c>
      <c r="B154" s="29" t="s">
        <v>949</v>
      </c>
      <c r="C154" s="40" t="s">
        <v>950</v>
      </c>
      <c r="D154" s="1"/>
      <c r="E154" s="1"/>
      <c r="F154" s="1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4.25" customHeight="1">
      <c r="A155" s="36">
        <v>93</v>
      </c>
      <c r="B155" s="29" t="s">
        <v>951</v>
      </c>
      <c r="C155" s="40" t="s">
        <v>952</v>
      </c>
      <c r="D155" s="1"/>
      <c r="E155" s="1"/>
      <c r="F155" s="1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4.25" customHeight="1">
      <c r="A156" s="36">
        <v>94</v>
      </c>
      <c r="B156" s="29" t="s">
        <v>953</v>
      </c>
      <c r="C156" s="40" t="s">
        <v>954</v>
      </c>
      <c r="D156" s="1"/>
      <c r="E156" s="1"/>
      <c r="F156" s="1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4.25" customHeight="1">
      <c r="A157" s="36">
        <v>95</v>
      </c>
      <c r="B157" s="29" t="s">
        <v>955</v>
      </c>
      <c r="C157" s="40" t="s">
        <v>956</v>
      </c>
      <c r="D157" s="1"/>
      <c r="E157" s="1"/>
      <c r="F157" s="1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4.25" customHeight="1">
      <c r="A158" s="36">
        <v>96</v>
      </c>
      <c r="B158" s="29" t="s">
        <v>957</v>
      </c>
      <c r="C158" s="40" t="s">
        <v>145</v>
      </c>
      <c r="D158" s="1"/>
      <c r="E158" s="1"/>
      <c r="F158" s="1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4.25" customHeight="1">
      <c r="A159" s="36">
        <v>97</v>
      </c>
      <c r="B159" s="29" t="s">
        <v>958</v>
      </c>
      <c r="C159" s="40" t="s">
        <v>147</v>
      </c>
      <c r="D159" s="1"/>
      <c r="E159" s="1"/>
      <c r="F159" s="1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4.25" customHeight="1">
      <c r="A160" s="36">
        <v>98</v>
      </c>
      <c r="B160" s="29" t="s">
        <v>959</v>
      </c>
      <c r="C160" s="40" t="s">
        <v>149</v>
      </c>
      <c r="D160" s="1"/>
      <c r="E160" s="1"/>
      <c r="F160" s="1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4.25" customHeight="1">
      <c r="A161" s="36">
        <v>99</v>
      </c>
      <c r="B161" s="29" t="s">
        <v>960</v>
      </c>
      <c r="C161" s="40" t="s">
        <v>150</v>
      </c>
      <c r="D161" s="1"/>
      <c r="E161" s="1"/>
      <c r="F161" s="1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4.25" customHeight="1">
      <c r="A162" s="36">
        <v>100</v>
      </c>
      <c r="B162" s="29" t="s">
        <v>961</v>
      </c>
      <c r="C162" s="40" t="s">
        <v>962</v>
      </c>
      <c r="D162" s="1"/>
      <c r="E162" s="1"/>
      <c r="F162" s="1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4.25" customHeight="1">
      <c r="A163" s="36">
        <v>101</v>
      </c>
      <c r="B163" s="29" t="s">
        <v>963</v>
      </c>
      <c r="C163" s="40" t="s">
        <v>109</v>
      </c>
      <c r="D163" s="1"/>
      <c r="E163" s="1"/>
      <c r="F163" s="1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4.25" customHeight="1">
      <c r="A164" s="36">
        <v>102</v>
      </c>
      <c r="B164" s="29" t="s">
        <v>964</v>
      </c>
      <c r="C164" s="40" t="s">
        <v>403</v>
      </c>
      <c r="D164" s="1"/>
      <c r="E164" s="1"/>
      <c r="F164" s="1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4.25" customHeight="1">
      <c r="A165" s="36">
        <v>103</v>
      </c>
      <c r="B165" s="29" t="s">
        <v>965</v>
      </c>
      <c r="C165" s="40" t="s">
        <v>413</v>
      </c>
      <c r="D165" s="1"/>
      <c r="E165" s="1"/>
      <c r="F165" s="1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4.25" customHeight="1">
      <c r="A166" s="36"/>
      <c r="D166" s="1"/>
      <c r="E166" s="1"/>
      <c r="F166" s="1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4.25" customHeight="1">
      <c r="A167" s="36"/>
      <c r="D167" s="1"/>
      <c r="E167" s="1"/>
      <c r="F167" s="1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4.25" customHeight="1">
      <c r="A168" s="36"/>
      <c r="D168" s="1"/>
      <c r="E168" s="1"/>
      <c r="F168" s="1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4.25" customHeight="1">
      <c r="A169" s="36"/>
      <c r="D169" s="1"/>
      <c r="E169" s="1"/>
      <c r="F169" s="1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4.25" customHeight="1">
      <c r="A170" s="36"/>
      <c r="D170" s="1"/>
      <c r="E170" s="1"/>
      <c r="F170" s="1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4.25" customHeight="1">
      <c r="A171" s="36"/>
      <c r="D171" s="1"/>
      <c r="E171" s="1"/>
      <c r="F171" s="1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4.25" customHeight="1">
      <c r="A172" s="36"/>
      <c r="D172" s="1"/>
      <c r="E172" s="1"/>
      <c r="F172" s="1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4.25" customHeight="1">
      <c r="A173" s="36"/>
      <c r="D173" s="1"/>
      <c r="E173" s="1"/>
      <c r="F173" s="1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4.25" customHeight="1">
      <c r="A174" s="36"/>
      <c r="D174" s="1"/>
      <c r="E174" s="1"/>
      <c r="F174" s="1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s="1" customFormat="1" ht="14.25" customHeight="1">
      <c r="A175" s="36"/>
      <c r="B175" s="29"/>
      <c r="C175" s="2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</row>
    <row r="176" spans="1:69" s="1" customFormat="1" ht="17.25" customHeight="1">
      <c r="A176" s="10" t="s">
        <v>966</v>
      </c>
      <c r="B176" s="11"/>
      <c r="C176" s="11"/>
      <c r="D176" s="11"/>
      <c r="E176" s="11"/>
      <c r="F176" s="11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</row>
    <row r="177" spans="1:42" s="28" customFormat="1" ht="17.25" customHeight="1">
      <c r="A177" s="34" t="str">
        <f>A4</f>
        <v>XXXX</v>
      </c>
      <c r="B177" s="34"/>
      <c r="C177" s="34" t="str">
        <f>C4</f>
        <v>XXXX</v>
      </c>
      <c r="D177" s="34"/>
      <c r="E177" s="34"/>
      <c r="F177" s="34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43"/>
      <c r="AN177" s="35"/>
      <c r="AO177" s="35"/>
      <c r="AP177" s="35"/>
    </row>
    <row r="178" spans="1:42" ht="14.25" customHeight="1">
      <c r="A178" s="36" t="s">
        <v>734</v>
      </c>
      <c r="B178" s="36"/>
      <c r="C178" s="46" t="s">
        <v>303</v>
      </c>
      <c r="D178" s="47"/>
      <c r="E178" s="47"/>
      <c r="F178" s="38"/>
      <c r="G178" s="38" t="str">
        <f t="shared" ref="G178:AP178" si="4">G5</f>
        <v>1Q16</v>
      </c>
      <c r="H178" s="38" t="str">
        <f t="shared" si="4"/>
        <v>1H16</v>
      </c>
      <c r="I178" s="38" t="str">
        <f t="shared" si="4"/>
        <v>3Q16</v>
      </c>
      <c r="J178" s="38">
        <f t="shared" si="4"/>
        <v>2016</v>
      </c>
      <c r="K178" s="38" t="str">
        <f t="shared" si="4"/>
        <v>1Q17</v>
      </c>
      <c r="L178" s="38" t="str">
        <f t="shared" si="4"/>
        <v>1H17</v>
      </c>
      <c r="M178" s="38" t="str">
        <f t="shared" si="4"/>
        <v>3Q17</v>
      </c>
      <c r="N178" s="38">
        <f t="shared" si="4"/>
        <v>2017</v>
      </c>
      <c r="O178" s="38" t="str">
        <f t="shared" si="4"/>
        <v>1Q18</v>
      </c>
      <c r="P178" s="38" t="str">
        <f t="shared" si="4"/>
        <v>1H18</v>
      </c>
      <c r="Q178" s="38" t="str">
        <f t="shared" si="4"/>
        <v>3Q18</v>
      </c>
      <c r="R178" s="38">
        <f t="shared" si="4"/>
        <v>2018</v>
      </c>
      <c r="S178" s="38" t="str">
        <f t="shared" si="4"/>
        <v>1Q19</v>
      </c>
      <c r="T178" s="38" t="str">
        <f t="shared" si="4"/>
        <v>1H19</v>
      </c>
      <c r="U178" s="38" t="str">
        <f t="shared" si="4"/>
        <v>3Q19</v>
      </c>
      <c r="V178" s="38">
        <f t="shared" si="4"/>
        <v>2019</v>
      </c>
      <c r="W178" s="38" t="str">
        <f t="shared" si="4"/>
        <v>1Q20</v>
      </c>
      <c r="X178" s="38" t="str">
        <f t="shared" si="4"/>
        <v>1H20</v>
      </c>
      <c r="Y178" s="38" t="str">
        <f t="shared" si="4"/>
        <v>3Q20</v>
      </c>
      <c r="Z178" s="38">
        <f t="shared" si="4"/>
        <v>2020</v>
      </c>
      <c r="AA178" s="38" t="str">
        <f t="shared" si="4"/>
        <v>1Q21</v>
      </c>
      <c r="AB178" s="38" t="str">
        <f t="shared" si="4"/>
        <v>1H21</v>
      </c>
      <c r="AC178" s="38" t="str">
        <f t="shared" si="4"/>
        <v>3Q21</v>
      </c>
      <c r="AD178" s="38">
        <f t="shared" si="4"/>
        <v>2021</v>
      </c>
      <c r="AE178" s="38" t="str">
        <f t="shared" si="4"/>
        <v>1Q22</v>
      </c>
      <c r="AF178" s="38" t="str">
        <f t="shared" si="4"/>
        <v>1H22</v>
      </c>
      <c r="AG178" s="38" t="str">
        <f t="shared" si="4"/>
        <v>3Q22</v>
      </c>
      <c r="AH178" s="38">
        <f t="shared" si="4"/>
        <v>2022</v>
      </c>
      <c r="AI178" s="38" t="str">
        <f t="shared" si="4"/>
        <v>1Q23</v>
      </c>
      <c r="AJ178" s="38" t="str">
        <f t="shared" si="4"/>
        <v>1H23</v>
      </c>
      <c r="AK178" s="38" t="str">
        <f t="shared" si="4"/>
        <v>3Q23</v>
      </c>
      <c r="AL178" s="38">
        <f t="shared" si="4"/>
        <v>2023</v>
      </c>
      <c r="AM178" s="38" t="str">
        <f t="shared" si="4"/>
        <v>1Q24</v>
      </c>
      <c r="AN178" s="38" t="str">
        <f t="shared" si="4"/>
        <v>1H24</v>
      </c>
      <c r="AO178" s="38" t="str">
        <f t="shared" si="4"/>
        <v>3Q24</v>
      </c>
      <c r="AP178" s="38">
        <f t="shared" si="4"/>
        <v>2024</v>
      </c>
    </row>
    <row r="179" spans="1:42" ht="14.25" customHeight="1">
      <c r="A179" s="36">
        <v>1</v>
      </c>
      <c r="B179" s="48" t="s">
        <v>967</v>
      </c>
      <c r="C179" s="40" t="s">
        <v>218</v>
      </c>
      <c r="D179" s="1"/>
      <c r="E179" s="1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</row>
    <row r="180" spans="1:42" s="1" customFormat="1" ht="14.25" customHeight="1">
      <c r="A180" s="36">
        <v>2</v>
      </c>
      <c r="B180" s="39" t="s">
        <v>968</v>
      </c>
      <c r="C180" s="40" t="s">
        <v>969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</row>
    <row r="181" spans="1:42" s="1" customFormat="1" ht="14.25" customHeight="1">
      <c r="A181" s="36">
        <v>3</v>
      </c>
      <c r="B181" s="39" t="s">
        <v>970</v>
      </c>
      <c r="C181" s="40" t="s">
        <v>971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</row>
    <row r="182" spans="1:42" s="1" customFormat="1" ht="14.25" customHeight="1">
      <c r="A182" s="36">
        <v>4</v>
      </c>
      <c r="B182" s="39" t="s">
        <v>972</v>
      </c>
      <c r="C182" s="40" t="s">
        <v>973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</row>
    <row r="183" spans="1:42" s="1" customFormat="1" ht="14.25" customHeight="1">
      <c r="A183" s="36">
        <v>5</v>
      </c>
      <c r="B183" s="39" t="s">
        <v>974</v>
      </c>
      <c r="C183" s="40" t="s">
        <v>975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</row>
    <row r="184" spans="1:42" s="1" customFormat="1" ht="14.25" customHeight="1">
      <c r="A184" s="36">
        <v>6</v>
      </c>
      <c r="B184" s="39" t="s">
        <v>976</v>
      </c>
      <c r="C184" s="40" t="s">
        <v>977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</row>
    <row r="185" spans="1:42" s="1" customFormat="1" ht="14.25" customHeight="1">
      <c r="A185" s="36">
        <v>7</v>
      </c>
      <c r="B185" s="39" t="s">
        <v>978</v>
      </c>
      <c r="C185" s="40" t="s">
        <v>979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</row>
    <row r="186" spans="1:42" s="1" customFormat="1" ht="14.25" customHeight="1">
      <c r="A186" s="36">
        <v>8</v>
      </c>
      <c r="B186" s="39" t="s">
        <v>980</v>
      </c>
      <c r="C186" s="40" t="s">
        <v>981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</row>
    <row r="187" spans="1:42" s="1" customFormat="1" ht="14.25" customHeight="1">
      <c r="A187" s="36">
        <v>9</v>
      </c>
      <c r="B187" s="39" t="s">
        <v>982</v>
      </c>
      <c r="C187" s="40" t="s">
        <v>983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</row>
    <row r="188" spans="1:42" s="1" customFormat="1" ht="14.25" customHeight="1">
      <c r="A188" s="36">
        <v>10</v>
      </c>
      <c r="B188" s="39" t="s">
        <v>984</v>
      </c>
      <c r="C188" s="40" t="s">
        <v>985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</row>
    <row r="189" spans="1:42" s="1" customFormat="1" ht="14.25" customHeight="1">
      <c r="A189" s="36">
        <v>11</v>
      </c>
      <c r="B189" s="39" t="s">
        <v>986</v>
      </c>
      <c r="C189" s="40" t="s">
        <v>987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</row>
    <row r="190" spans="1:42" s="1" customFormat="1" ht="14.25" customHeight="1">
      <c r="A190" s="36">
        <v>12</v>
      </c>
      <c r="B190" s="39" t="s">
        <v>988</v>
      </c>
      <c r="C190" s="40" t="s">
        <v>989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</row>
    <row r="191" spans="1:42" s="1" customFormat="1" ht="14.25" customHeight="1">
      <c r="A191" s="36">
        <v>13</v>
      </c>
      <c r="B191" s="39" t="s">
        <v>990</v>
      </c>
      <c r="C191" s="40" t="s">
        <v>991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</row>
    <row r="192" spans="1:42" s="1" customFormat="1" ht="14.25" customHeight="1">
      <c r="A192" s="36">
        <v>14</v>
      </c>
      <c r="B192" s="39" t="s">
        <v>992</v>
      </c>
      <c r="C192" s="40" t="s">
        <v>993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</row>
    <row r="193" spans="1:42" s="1" customFormat="1" ht="14.25" customHeight="1">
      <c r="A193" s="36">
        <v>15</v>
      </c>
      <c r="B193" s="39" t="s">
        <v>994</v>
      </c>
      <c r="C193" s="40" t="s">
        <v>995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</row>
    <row r="194" spans="1:42" s="1" customFormat="1" ht="14.25" customHeight="1">
      <c r="A194" s="36">
        <v>16</v>
      </c>
      <c r="B194" s="39" t="s">
        <v>996</v>
      </c>
      <c r="C194" s="40" t="s">
        <v>997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</row>
    <row r="195" spans="1:42" s="1" customFormat="1" ht="14.25" customHeight="1">
      <c r="A195" s="36">
        <v>17</v>
      </c>
      <c r="B195" s="39" t="s">
        <v>998</v>
      </c>
      <c r="C195" s="40" t="s">
        <v>999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</row>
    <row r="196" spans="1:42" s="1" customFormat="1" ht="14.25" customHeight="1">
      <c r="A196" s="36">
        <v>18</v>
      </c>
      <c r="B196" s="39" t="s">
        <v>1000</v>
      </c>
      <c r="C196" s="40" t="s">
        <v>499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</row>
    <row r="197" spans="1:42" s="1" customFormat="1" ht="14.25" customHeight="1">
      <c r="A197" s="36">
        <v>19</v>
      </c>
      <c r="B197" s="39"/>
      <c r="C197" s="40" t="s">
        <v>219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</row>
    <row r="198" spans="1:42" s="1" customFormat="1" ht="14.25" customHeight="1">
      <c r="A198" s="36">
        <v>20</v>
      </c>
      <c r="B198" s="39" t="s">
        <v>1001</v>
      </c>
      <c r="C198" s="40" t="s">
        <v>1002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</row>
    <row r="199" spans="1:42" s="1" customFormat="1" ht="14.25" customHeight="1">
      <c r="A199" s="36">
        <v>21</v>
      </c>
      <c r="B199" s="39" t="s">
        <v>1003</v>
      </c>
      <c r="C199" s="40" t="s">
        <v>1004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</row>
    <row r="200" spans="1:42" s="1" customFormat="1" ht="14.25" customHeight="1">
      <c r="A200" s="36">
        <v>22</v>
      </c>
      <c r="B200" s="39" t="s">
        <v>1005</v>
      </c>
      <c r="C200" s="40" t="s">
        <v>1006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</row>
    <row r="201" spans="1:42" s="1" customFormat="1" ht="14.25" customHeight="1">
      <c r="A201" s="36">
        <v>23</v>
      </c>
      <c r="B201" s="39" t="s">
        <v>1007</v>
      </c>
      <c r="C201" s="40" t="s">
        <v>1008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</row>
    <row r="202" spans="1:42" s="1" customFormat="1" ht="14.25" customHeight="1">
      <c r="A202" s="36">
        <v>24</v>
      </c>
      <c r="B202" s="39" t="s">
        <v>1009</v>
      </c>
      <c r="C202" s="40" t="s">
        <v>1010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</row>
    <row r="203" spans="1:42" s="1" customFormat="1" ht="14.25" customHeight="1">
      <c r="A203" s="36">
        <v>25</v>
      </c>
      <c r="B203" s="39" t="s">
        <v>1011</v>
      </c>
      <c r="C203" s="40" t="s">
        <v>1012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</row>
    <row r="204" spans="1:42" s="1" customFormat="1" ht="14.25" customHeight="1">
      <c r="A204" s="36">
        <v>26</v>
      </c>
      <c r="B204" s="39" t="s">
        <v>1013</v>
      </c>
      <c r="C204" s="40" t="s">
        <v>1014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</row>
    <row r="205" spans="1:42" s="1" customFormat="1" ht="14.25" customHeight="1">
      <c r="A205" s="36">
        <v>27</v>
      </c>
      <c r="B205" s="39" t="s">
        <v>1015</v>
      </c>
      <c r="C205" s="40" t="s">
        <v>1016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</row>
    <row r="206" spans="1:42" s="1" customFormat="1" ht="14.25" customHeight="1">
      <c r="A206" s="36">
        <v>28</v>
      </c>
      <c r="B206" s="39" t="s">
        <v>1017</v>
      </c>
      <c r="C206" s="40" t="s">
        <v>1018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</row>
    <row r="207" spans="1:42" s="1" customFormat="1" ht="14.25" customHeight="1">
      <c r="A207" s="36">
        <v>29</v>
      </c>
      <c r="B207" s="39" t="s">
        <v>1019</v>
      </c>
      <c r="C207" s="40" t="s">
        <v>1020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</row>
    <row r="208" spans="1:42" s="1" customFormat="1" ht="14.25" customHeight="1">
      <c r="A208" s="36">
        <v>30</v>
      </c>
      <c r="B208" s="39" t="s">
        <v>1021</v>
      </c>
      <c r="C208" s="40" t="s">
        <v>1022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</row>
    <row r="209" spans="1:42" s="1" customFormat="1" ht="14.25" customHeight="1">
      <c r="A209" s="36">
        <v>31</v>
      </c>
      <c r="B209" s="39" t="s">
        <v>1023</v>
      </c>
      <c r="C209" s="40" t="s">
        <v>1024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</row>
    <row r="210" spans="1:42" s="1" customFormat="1" ht="14.25" customHeight="1">
      <c r="A210" s="36">
        <v>32</v>
      </c>
      <c r="B210" s="39" t="s">
        <v>1025</v>
      </c>
      <c r="C210" s="40" t="s">
        <v>1026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</row>
    <row r="211" spans="1:42" s="1" customFormat="1" ht="14.25" customHeight="1">
      <c r="A211" s="36">
        <v>33</v>
      </c>
      <c r="B211" s="39" t="s">
        <v>1027</v>
      </c>
      <c r="C211" s="40" t="s">
        <v>1028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</row>
    <row r="212" spans="1:42" s="1" customFormat="1" ht="14.25" customHeight="1">
      <c r="A212" s="36">
        <v>34</v>
      </c>
      <c r="B212" s="39" t="s">
        <v>1029</v>
      </c>
      <c r="C212" s="40" t="s">
        <v>1030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</row>
    <row r="213" spans="1:42" s="1" customFormat="1" ht="14.25" customHeight="1">
      <c r="A213" s="36">
        <v>35</v>
      </c>
      <c r="B213" s="39" t="s">
        <v>1031</v>
      </c>
      <c r="C213" s="40" t="s">
        <v>1032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</row>
    <row r="214" spans="1:42" s="1" customFormat="1" ht="14.25" customHeight="1">
      <c r="A214" s="36">
        <v>36</v>
      </c>
      <c r="B214" s="39"/>
      <c r="C214" s="40" t="s">
        <v>1033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</row>
    <row r="215" spans="1:42" s="1" customFormat="1" ht="14.25" customHeight="1">
      <c r="A215" s="36">
        <v>37</v>
      </c>
      <c r="B215" s="39" t="s">
        <v>1034</v>
      </c>
      <c r="C215" s="40" t="s">
        <v>1035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</row>
    <row r="216" spans="1:42" s="1" customFormat="1" ht="14.25" customHeight="1">
      <c r="A216" s="36">
        <v>38</v>
      </c>
      <c r="B216" s="50" t="s">
        <v>1036</v>
      </c>
      <c r="C216" s="40" t="s">
        <v>1037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</row>
    <row r="217" spans="1:42" s="1" customFormat="1" ht="14.25" customHeight="1">
      <c r="A217" s="36">
        <v>39</v>
      </c>
      <c r="B217" s="39" t="s">
        <v>1038</v>
      </c>
      <c r="C217" s="40" t="s">
        <v>1039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</row>
    <row r="218" spans="1:42" s="1" customFormat="1" ht="14.25" customHeight="1">
      <c r="A218" s="36">
        <v>40</v>
      </c>
      <c r="B218" s="39" t="s">
        <v>1040</v>
      </c>
      <c r="C218" s="40" t="s">
        <v>1041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</row>
    <row r="219" spans="1:42" s="1" customFormat="1" ht="14.25" customHeight="1">
      <c r="A219" s="36">
        <v>41</v>
      </c>
      <c r="B219" s="39" t="s">
        <v>1042</v>
      </c>
      <c r="C219" s="40" t="s">
        <v>1043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</row>
    <row r="220" spans="1:42" s="1" customFormat="1" ht="14.25" customHeight="1">
      <c r="A220" s="36">
        <v>42</v>
      </c>
      <c r="B220" s="39" t="s">
        <v>1044</v>
      </c>
      <c r="C220" s="40" t="s">
        <v>1045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</row>
    <row r="221" spans="1:42" s="1" customFormat="1" ht="14.25" customHeight="1">
      <c r="A221" s="36">
        <v>43</v>
      </c>
      <c r="B221" s="39" t="s">
        <v>1046</v>
      </c>
      <c r="C221" s="40" t="s">
        <v>1047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</row>
    <row r="222" spans="1:42" s="1" customFormat="1" ht="14.25" customHeight="1">
      <c r="A222" s="36">
        <v>44</v>
      </c>
      <c r="B222" s="39" t="s">
        <v>1048</v>
      </c>
      <c r="C222" s="40" t="s">
        <v>1049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</row>
    <row r="223" spans="1:42" s="1" customFormat="1" ht="14.25" customHeight="1">
      <c r="A223" s="36">
        <v>45</v>
      </c>
      <c r="B223" s="39" t="s">
        <v>1050</v>
      </c>
      <c r="C223" s="40" t="s">
        <v>1051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</row>
    <row r="224" spans="1:42" s="1" customFormat="1" ht="14.25" customHeight="1">
      <c r="A224" s="36">
        <v>46</v>
      </c>
      <c r="B224" s="39" t="s">
        <v>1052</v>
      </c>
      <c r="C224" s="40" t="s">
        <v>1053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</row>
    <row r="225" spans="1:42" s="1" customFormat="1" ht="14.25" customHeight="1">
      <c r="A225" s="36">
        <v>47</v>
      </c>
      <c r="B225" s="39" t="s">
        <v>1054</v>
      </c>
      <c r="C225" s="40" t="s">
        <v>1055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</row>
    <row r="226" spans="1:42" s="1" customFormat="1" ht="14.25" customHeight="1">
      <c r="A226" s="36">
        <v>48</v>
      </c>
      <c r="B226" s="50" t="s">
        <v>1036</v>
      </c>
      <c r="C226" s="40" t="s">
        <v>1056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</row>
    <row r="227" spans="1:42" s="1" customFormat="1" ht="14.25" customHeight="1">
      <c r="A227" s="36">
        <v>49</v>
      </c>
      <c r="B227" s="39" t="s">
        <v>1057</v>
      </c>
      <c r="C227" s="40" t="s">
        <v>1058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</row>
    <row r="228" spans="1:42" s="1" customFormat="1" ht="14.25" customHeight="1">
      <c r="A228" s="36">
        <v>50</v>
      </c>
      <c r="B228" s="39" t="s">
        <v>1059</v>
      </c>
      <c r="C228" s="40" t="s">
        <v>1060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</row>
    <row r="229" spans="1:42" s="1" customFormat="1" ht="14.25" customHeight="1">
      <c r="A229" s="36">
        <v>51</v>
      </c>
      <c r="B229" s="39" t="s">
        <v>1061</v>
      </c>
      <c r="C229" s="40" t="s">
        <v>1062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</row>
    <row r="230" spans="1:42" s="1" customFormat="1" ht="14.25" customHeight="1">
      <c r="A230" s="36">
        <v>52</v>
      </c>
      <c r="B230" s="39" t="s">
        <v>1063</v>
      </c>
      <c r="C230" s="40" t="s">
        <v>1064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</row>
    <row r="231" spans="1:42" s="1" customFormat="1" ht="14.25" customHeight="1">
      <c r="A231" s="36">
        <v>53</v>
      </c>
      <c r="B231" s="39" t="s">
        <v>1065</v>
      </c>
      <c r="C231" s="40" t="s">
        <v>1066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</row>
    <row r="232" spans="1:42" s="1" customFormat="1" ht="14.25" customHeight="1">
      <c r="A232" s="36">
        <v>54</v>
      </c>
      <c r="B232" s="50" t="s">
        <v>1036</v>
      </c>
      <c r="C232" s="40" t="s">
        <v>1067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</row>
    <row r="233" spans="1:42" s="1" customFormat="1" ht="14.25" customHeight="1">
      <c r="A233" s="36">
        <v>55</v>
      </c>
      <c r="B233" s="39" t="s">
        <v>1068</v>
      </c>
      <c r="C233" s="40" t="s">
        <v>1069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</row>
    <row r="234" spans="1:42" s="1" customFormat="1" ht="14.25" customHeight="1">
      <c r="A234" s="36">
        <v>56</v>
      </c>
      <c r="B234" s="39" t="s">
        <v>1070</v>
      </c>
      <c r="C234" s="40" t="s">
        <v>1071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</row>
    <row r="235" spans="1:42" s="1" customFormat="1" ht="14.25" customHeight="1">
      <c r="A235" s="36">
        <v>57</v>
      </c>
      <c r="B235" s="39" t="s">
        <v>1072</v>
      </c>
      <c r="C235" s="40" t="s">
        <v>1073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</row>
    <row r="236" spans="1:42" s="1" customFormat="1" ht="14.25" customHeight="1">
      <c r="A236" s="36">
        <v>58</v>
      </c>
      <c r="B236" s="39" t="s">
        <v>1074</v>
      </c>
      <c r="C236" s="40" t="s">
        <v>525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</row>
    <row r="237" spans="1:42" s="1" customFormat="1" ht="14.25" customHeight="1">
      <c r="A237" s="36">
        <v>59</v>
      </c>
      <c r="B237" s="39" t="s">
        <v>1075</v>
      </c>
      <c r="C237" s="40" t="s">
        <v>1076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</row>
    <row r="238" spans="1:42" s="1" customFormat="1" ht="14.25" customHeight="1">
      <c r="A238" s="36">
        <v>60</v>
      </c>
      <c r="B238" s="39" t="s">
        <v>1077</v>
      </c>
      <c r="C238" s="40" t="s">
        <v>1078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</row>
    <row r="239" spans="1:42" s="1" customFormat="1" ht="14.25" customHeight="1">
      <c r="A239" s="36">
        <v>61</v>
      </c>
      <c r="B239" s="39" t="s">
        <v>1079</v>
      </c>
      <c r="C239" s="40" t="s">
        <v>1080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</row>
    <row r="240" spans="1:42" s="1" customFormat="1" ht="14.25" customHeight="1">
      <c r="A240" s="36">
        <v>62</v>
      </c>
      <c r="B240" s="51"/>
      <c r="C240" s="40" t="s">
        <v>1081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</row>
    <row r="241" spans="1:42" s="1" customFormat="1" ht="14.25" customHeight="1">
      <c r="A241" s="36">
        <v>63</v>
      </c>
      <c r="B241" s="29" t="s">
        <v>1082</v>
      </c>
      <c r="C241" s="40" t="s">
        <v>1083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</row>
    <row r="242" spans="1:42" s="1" customFormat="1" ht="14.25" customHeight="1">
      <c r="A242" s="36">
        <v>64</v>
      </c>
      <c r="B242" s="51" t="s">
        <v>1084</v>
      </c>
      <c r="C242" s="40" t="s">
        <v>1085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</row>
    <row r="243" spans="1:42" s="1" customFormat="1" ht="14.25" customHeight="1">
      <c r="A243" s="36">
        <v>65</v>
      </c>
      <c r="B243" s="29" t="s">
        <v>1086</v>
      </c>
      <c r="C243" s="40" t="s">
        <v>1087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</row>
    <row r="244" spans="1:42" s="1" customFormat="1" ht="14.25" customHeight="1">
      <c r="A244" s="36">
        <v>66</v>
      </c>
      <c r="B244" s="51" t="s">
        <v>1088</v>
      </c>
      <c r="C244" s="40" t="s">
        <v>1089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</row>
    <row r="245" spans="1:42" s="1" customFormat="1" ht="14.25" customHeight="1">
      <c r="A245" s="36">
        <v>67</v>
      </c>
      <c r="B245" s="51" t="s">
        <v>1090</v>
      </c>
      <c r="C245" s="40" t="s">
        <v>1091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</row>
    <row r="246" spans="1:42" s="1" customFormat="1" ht="14.25" customHeight="1">
      <c r="A246" s="36">
        <v>68</v>
      </c>
      <c r="B246" s="51"/>
      <c r="C246" s="40" t="s">
        <v>1092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</row>
    <row r="247" spans="1:42" s="1" customFormat="1" ht="14.25" customHeight="1">
      <c r="A247" s="36">
        <v>69</v>
      </c>
      <c r="B247" s="51" t="s">
        <v>1093</v>
      </c>
      <c r="C247" s="40" t="s">
        <v>364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</row>
    <row r="248" spans="1:42" s="1" customFormat="1" ht="14.25" customHeight="1">
      <c r="A248" s="36">
        <v>70</v>
      </c>
      <c r="B248" s="51" t="s">
        <v>1094</v>
      </c>
      <c r="C248" s="40" t="s">
        <v>1095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</row>
    <row r="249" spans="1:42" s="1" customFormat="1" ht="14.25" customHeight="1">
      <c r="A249" s="36">
        <v>71</v>
      </c>
      <c r="B249" s="51" t="s">
        <v>1096</v>
      </c>
      <c r="C249" s="40" t="s">
        <v>1097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</row>
    <row r="250" spans="1:42" s="1" customFormat="1" ht="14.25" customHeight="1">
      <c r="A250" s="36">
        <v>72</v>
      </c>
      <c r="B250" s="51" t="s">
        <v>1098</v>
      </c>
      <c r="C250" s="40" t="s">
        <v>1099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</row>
    <row r="251" spans="1:42" s="1" customFormat="1" ht="14.25" customHeight="1">
      <c r="A251" s="36">
        <v>73</v>
      </c>
      <c r="B251" s="51" t="s">
        <v>1100</v>
      </c>
      <c r="C251" s="40" t="s">
        <v>1101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</row>
    <row r="252" spans="1:42" s="1" customFormat="1" ht="14.25" customHeight="1">
      <c r="A252" s="36">
        <v>74</v>
      </c>
      <c r="B252" s="51" t="s">
        <v>1102</v>
      </c>
      <c r="C252" s="40" t="s">
        <v>1103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</row>
    <row r="253" spans="1:42" s="1" customFormat="1" ht="14.25" customHeight="1">
      <c r="A253" s="36">
        <v>75</v>
      </c>
      <c r="B253" s="51" t="s">
        <v>1104</v>
      </c>
      <c r="C253" s="40" t="s">
        <v>1105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</row>
    <row r="254" spans="1:42" s="1" customFormat="1" ht="14.25" customHeight="1">
      <c r="A254" s="36">
        <v>76</v>
      </c>
      <c r="B254" s="51" t="s">
        <v>1106</v>
      </c>
      <c r="C254" s="40" t="s">
        <v>1107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</row>
    <row r="255" spans="1:42" s="1" customFormat="1" ht="14.25" customHeight="1">
      <c r="A255" s="36">
        <v>77</v>
      </c>
      <c r="B255" s="51" t="s">
        <v>1108</v>
      </c>
      <c r="C255" s="40" t="s">
        <v>477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</row>
    <row r="256" spans="1:42" s="1" customFormat="1" ht="14.25" customHeight="1">
      <c r="A256" s="36">
        <v>78</v>
      </c>
      <c r="B256" s="51" t="s">
        <v>1109</v>
      </c>
      <c r="C256" s="40" t="s">
        <v>478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</row>
    <row r="257" spans="1:42" s="1" customFormat="1" ht="14.25" customHeight="1">
      <c r="A257" s="36">
        <v>79</v>
      </c>
      <c r="B257" s="51" t="s">
        <v>1110</v>
      </c>
      <c r="C257" s="40" t="s">
        <v>1111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</row>
    <row r="258" spans="1:42" s="1" customFormat="1" ht="14.25" customHeight="1">
      <c r="A258" s="36">
        <v>80</v>
      </c>
      <c r="B258" s="51" t="s">
        <v>1112</v>
      </c>
      <c r="C258" s="40" t="s">
        <v>1113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</row>
    <row r="259" spans="1:42" s="1" customFormat="1" ht="14.25" customHeight="1">
      <c r="A259" s="36">
        <v>81</v>
      </c>
      <c r="B259" s="51" t="s">
        <v>1114</v>
      </c>
      <c r="C259" s="40" t="s">
        <v>482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</row>
    <row r="260" spans="1:42" s="1" customFormat="1" ht="14.25" customHeight="1">
      <c r="A260" s="36">
        <v>82</v>
      </c>
      <c r="B260" s="51" t="s">
        <v>1115</v>
      </c>
      <c r="C260" s="40" t="s">
        <v>483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</row>
    <row r="261" spans="1:42" s="1" customFormat="1" ht="14.25" customHeight="1">
      <c r="A261" s="36">
        <v>83</v>
      </c>
      <c r="B261" s="51" t="s">
        <v>1116</v>
      </c>
      <c r="C261" s="40" t="s">
        <v>484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</row>
    <row r="262" spans="1:42" s="1" customFormat="1" ht="14.25" customHeight="1">
      <c r="A262" s="36">
        <v>84</v>
      </c>
      <c r="B262" s="51" t="s">
        <v>1117</v>
      </c>
      <c r="C262" s="40" t="s">
        <v>485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</row>
    <row r="263" spans="1:42" s="1" customFormat="1" ht="14.25" customHeight="1">
      <c r="A263" s="36">
        <v>85</v>
      </c>
      <c r="B263" s="51" t="s">
        <v>1118</v>
      </c>
      <c r="C263" s="40" t="s">
        <v>486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</row>
    <row r="264" spans="1:42" s="1" customFormat="1" ht="14.25" customHeight="1">
      <c r="A264" s="36">
        <v>86</v>
      </c>
      <c r="B264" s="51" t="s">
        <v>1119</v>
      </c>
      <c r="C264" s="40" t="s">
        <v>1120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</row>
    <row r="265" spans="1:42" s="1" customFormat="1" ht="14.25" customHeight="1">
      <c r="A265" s="36">
        <v>87</v>
      </c>
      <c r="B265" s="51" t="s">
        <v>1121</v>
      </c>
      <c r="C265" s="40" t="s">
        <v>488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</row>
    <row r="266" spans="1:42" s="1" customFormat="1" ht="14.25" customHeight="1">
      <c r="A266" s="36">
        <v>88</v>
      </c>
      <c r="B266" s="51" t="s">
        <v>1122</v>
      </c>
      <c r="C266" s="40" t="s">
        <v>489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</row>
    <row r="267" spans="1:42" s="1" customFormat="1" ht="14.25" customHeight="1">
      <c r="A267" s="36">
        <v>89</v>
      </c>
      <c r="B267" s="51" t="s">
        <v>1123</v>
      </c>
      <c r="C267" s="40" t="s">
        <v>493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</row>
    <row r="268" spans="1:42" s="1" customFormat="1" ht="14.25" customHeight="1">
      <c r="A268" s="36">
        <v>90</v>
      </c>
      <c r="B268" s="51" t="s">
        <v>1124</v>
      </c>
      <c r="C268" s="40" t="s">
        <v>1125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</row>
    <row r="269" spans="1:42" s="1" customFormat="1" ht="14.25" customHeight="1">
      <c r="A269" s="36">
        <v>91</v>
      </c>
      <c r="B269" s="51" t="s">
        <v>1126</v>
      </c>
      <c r="C269" s="40" t="s">
        <v>189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</row>
    <row r="270" spans="1:42" s="1" customFormat="1" ht="14.25" customHeight="1">
      <c r="A270" s="36">
        <v>92</v>
      </c>
      <c r="B270" s="51" t="s">
        <v>1127</v>
      </c>
      <c r="C270" s="40" t="s">
        <v>499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</row>
    <row r="271" spans="1:42" s="1" customFormat="1" ht="14.25" customHeight="1">
      <c r="A271" s="36">
        <v>93</v>
      </c>
      <c r="B271" s="51"/>
      <c r="C271" s="40" t="s">
        <v>1128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</row>
    <row r="272" spans="1:42" s="1" customFormat="1" ht="14.25" customHeight="1">
      <c r="A272" s="36">
        <v>94</v>
      </c>
      <c r="B272" s="51" t="s">
        <v>1129</v>
      </c>
      <c r="C272" s="40" t="s">
        <v>1130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</row>
    <row r="273" spans="1:44" s="1" customFormat="1" ht="14.25" customHeight="1">
      <c r="A273" s="36">
        <v>95</v>
      </c>
      <c r="B273" s="51" t="s">
        <v>1131</v>
      </c>
      <c r="C273" s="40" t="s">
        <v>1132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</row>
    <row r="274" spans="1:44" s="1" customFormat="1" ht="14.25" customHeight="1">
      <c r="A274" s="36">
        <v>96</v>
      </c>
      <c r="B274" s="51" t="s">
        <v>1133</v>
      </c>
      <c r="C274" s="40" t="s">
        <v>1134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</row>
    <row r="275" spans="1:44" s="1" customFormat="1" ht="14.25" customHeight="1">
      <c r="A275" s="36">
        <v>97</v>
      </c>
      <c r="B275" s="51"/>
      <c r="C275" s="40" t="s">
        <v>1135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</row>
    <row r="276" spans="1:44" s="1" customFormat="1" ht="14.25" customHeight="1">
      <c r="A276" s="36">
        <v>98</v>
      </c>
      <c r="B276" s="51" t="s">
        <v>1136</v>
      </c>
      <c r="C276" s="40" t="s">
        <v>1137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</row>
    <row r="277" spans="1:44" s="1" customFormat="1" ht="14.25" customHeight="1">
      <c r="A277" s="36">
        <v>99</v>
      </c>
      <c r="B277" s="51" t="s">
        <v>1138</v>
      </c>
      <c r="C277" s="40" t="s">
        <v>1139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</row>
    <row r="278" spans="1:44" s="1" customFormat="1" ht="14.25" customHeight="1">
      <c r="A278" s="36">
        <v>100</v>
      </c>
      <c r="B278" s="51" t="s">
        <v>1140</v>
      </c>
      <c r="C278" s="40" t="s">
        <v>1141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</row>
    <row r="279" spans="1:44" s="1" customFormat="1" ht="14.25" customHeight="1">
      <c r="A279" s="36">
        <v>101</v>
      </c>
      <c r="B279" s="51" t="s">
        <v>1142</v>
      </c>
      <c r="C279" s="40" t="s">
        <v>1143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</row>
    <row r="280" spans="1:44" s="1" customFormat="1" ht="14.25" customHeight="1">
      <c r="A280" s="36">
        <v>102</v>
      </c>
      <c r="B280" s="40" t="s">
        <v>1144</v>
      </c>
      <c r="C280" s="40" t="s">
        <v>1145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</row>
    <row r="281" spans="1:44" s="1" customFormat="1" ht="14.25" customHeight="1">
      <c r="A281" s="36">
        <v>103</v>
      </c>
      <c r="B281" s="40" t="s">
        <v>1146</v>
      </c>
      <c r="C281" s="40" t="s">
        <v>1147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</row>
    <row r="282" spans="1:44" s="1" customFormat="1" ht="14.25" customHeight="1">
      <c r="A282" s="36">
        <v>104</v>
      </c>
      <c r="B282" s="40" t="s">
        <v>1148</v>
      </c>
      <c r="C282" s="40" t="s">
        <v>479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</row>
    <row r="283" spans="1:44" s="1" customFormat="1" ht="14.25" customHeight="1">
      <c r="A283" s="36"/>
      <c r="B283" s="40"/>
      <c r="C283" s="4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</row>
    <row r="284" spans="1:44" s="1" customFormat="1" ht="14.25" customHeight="1">
      <c r="A284" s="36"/>
      <c r="B284" s="40"/>
      <c r="C284" s="4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</row>
    <row r="285" spans="1:44" s="1" customFormat="1" ht="14.25" customHeight="1">
      <c r="A285" s="36"/>
      <c r="B285" s="40"/>
      <c r="C285" s="4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</row>
    <row r="286" spans="1:44" s="1" customFormat="1" ht="14.25" customHeight="1">
      <c r="A286" s="36"/>
      <c r="B286" s="40"/>
      <c r="C286" s="4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</row>
    <row r="287" spans="1:44" ht="14.25" customHeight="1">
      <c r="A287" s="36"/>
      <c r="B287" s="39"/>
      <c r="C287" s="40"/>
      <c r="D287" s="1"/>
      <c r="E287" s="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</row>
    <row r="288" spans="1:44" s="1" customFormat="1" ht="17.25" customHeight="1">
      <c r="A288" s="10" t="s">
        <v>1149</v>
      </c>
      <c r="B288" s="11"/>
      <c r="C288" s="11"/>
      <c r="D288" s="11"/>
      <c r="E288" s="11"/>
      <c r="F288" s="1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spans="1:44" ht="14.25" customHeight="1">
      <c r="A289" s="36" t="s">
        <v>734</v>
      </c>
      <c r="B289" s="36"/>
      <c r="C289" s="36" t="s">
        <v>303</v>
      </c>
      <c r="D289" s="37"/>
      <c r="E289" s="37"/>
      <c r="F289" s="38"/>
      <c r="G289" s="38" t="str">
        <f t="shared" ref="G289:K289" si="5">G5</f>
        <v>1Q16</v>
      </c>
      <c r="H289" s="38" t="str">
        <f t="shared" si="5"/>
        <v>1H16</v>
      </c>
      <c r="I289" s="38" t="str">
        <f t="shared" si="5"/>
        <v>3Q16</v>
      </c>
      <c r="J289" s="38">
        <f t="shared" si="5"/>
        <v>2016</v>
      </c>
      <c r="K289" s="38" t="str">
        <f t="shared" si="5"/>
        <v>1Q17</v>
      </c>
      <c r="L289" s="38" t="str">
        <f t="shared" ref="L289:AP289" si="6">L5</f>
        <v>1H17</v>
      </c>
      <c r="M289" s="38" t="str">
        <f t="shared" si="6"/>
        <v>3Q17</v>
      </c>
      <c r="N289" s="38">
        <f t="shared" si="6"/>
        <v>2017</v>
      </c>
      <c r="O289" s="38" t="str">
        <f t="shared" si="6"/>
        <v>1Q18</v>
      </c>
      <c r="P289" s="38" t="str">
        <f t="shared" si="6"/>
        <v>1H18</v>
      </c>
      <c r="Q289" s="38" t="str">
        <f t="shared" si="6"/>
        <v>3Q18</v>
      </c>
      <c r="R289" s="38">
        <f t="shared" si="6"/>
        <v>2018</v>
      </c>
      <c r="S289" s="38" t="str">
        <f t="shared" si="6"/>
        <v>1Q19</v>
      </c>
      <c r="T289" s="38" t="str">
        <f t="shared" si="6"/>
        <v>1H19</v>
      </c>
      <c r="U289" s="38" t="str">
        <f t="shared" si="6"/>
        <v>3Q19</v>
      </c>
      <c r="V289" s="38">
        <f t="shared" si="6"/>
        <v>2019</v>
      </c>
      <c r="W289" s="38" t="str">
        <f t="shared" si="6"/>
        <v>1Q20</v>
      </c>
      <c r="X289" s="38" t="str">
        <f t="shared" si="6"/>
        <v>1H20</v>
      </c>
      <c r="Y289" s="38" t="str">
        <f t="shared" si="6"/>
        <v>3Q20</v>
      </c>
      <c r="Z289" s="38">
        <f t="shared" si="6"/>
        <v>2020</v>
      </c>
      <c r="AA289" s="38" t="str">
        <f t="shared" si="6"/>
        <v>1Q21</v>
      </c>
      <c r="AB289" s="38" t="str">
        <f t="shared" si="6"/>
        <v>1H21</v>
      </c>
      <c r="AC289" s="38" t="str">
        <f t="shared" si="6"/>
        <v>3Q21</v>
      </c>
      <c r="AD289" s="38">
        <f t="shared" si="6"/>
        <v>2021</v>
      </c>
      <c r="AE289" s="38" t="str">
        <f t="shared" si="6"/>
        <v>1Q22</v>
      </c>
      <c r="AF289" s="38" t="str">
        <f t="shared" si="6"/>
        <v>1H22</v>
      </c>
      <c r="AG289" s="38" t="str">
        <f t="shared" si="6"/>
        <v>3Q22</v>
      </c>
      <c r="AH289" s="38">
        <f t="shared" si="6"/>
        <v>2022</v>
      </c>
      <c r="AI289" s="38" t="str">
        <f t="shared" si="6"/>
        <v>1Q23</v>
      </c>
      <c r="AJ289" s="38" t="str">
        <f t="shared" si="6"/>
        <v>1H23</v>
      </c>
      <c r="AK289" s="38" t="str">
        <f t="shared" si="6"/>
        <v>3Q23</v>
      </c>
      <c r="AL289" s="38">
        <f t="shared" si="6"/>
        <v>2023</v>
      </c>
      <c r="AM289" s="38" t="str">
        <f t="shared" si="6"/>
        <v>1Q24</v>
      </c>
      <c r="AN289" s="38" t="str">
        <f t="shared" si="6"/>
        <v>1H24</v>
      </c>
      <c r="AO289" s="38" t="str">
        <f t="shared" si="6"/>
        <v>3Q24</v>
      </c>
      <c r="AP289" s="38">
        <f t="shared" si="6"/>
        <v>2024</v>
      </c>
      <c r="AQ289" s="38" t="s">
        <v>1150</v>
      </c>
      <c r="AR289" s="38" t="s">
        <v>1151</v>
      </c>
    </row>
    <row r="290" spans="1:44" ht="14.25" customHeight="1">
      <c r="A290" s="36">
        <v>1</v>
      </c>
      <c r="B290" s="51" t="s">
        <v>1152</v>
      </c>
      <c r="C290" s="40" t="s">
        <v>1153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</row>
    <row r="291" spans="1:44" ht="14.25" customHeight="1">
      <c r="A291" s="36">
        <v>2</v>
      </c>
      <c r="B291" s="29" t="s">
        <v>1154</v>
      </c>
      <c r="C291" s="29" t="s">
        <v>1155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</row>
    <row r="292" spans="1:44" ht="14.25" customHeight="1">
      <c r="A292" s="36">
        <v>3</v>
      </c>
      <c r="B292" s="29" t="s">
        <v>1156</v>
      </c>
      <c r="C292" s="29" t="s">
        <v>1157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</row>
    <row r="293" spans="1:44" ht="14.25" customHeight="1">
      <c r="A293" s="36">
        <v>4</v>
      </c>
      <c r="B293" s="29" t="s">
        <v>1158</v>
      </c>
      <c r="C293" s="29" t="s">
        <v>1159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</row>
    <row r="294" spans="1:44" ht="14.25" customHeight="1">
      <c r="A294" s="36">
        <v>5</v>
      </c>
      <c r="B294" s="29" t="s">
        <v>1160</v>
      </c>
      <c r="C294" s="29" t="s">
        <v>1161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</row>
    <row r="295" spans="1:44" ht="14.25" customHeight="1">
      <c r="A295" s="36">
        <v>6</v>
      </c>
      <c r="B295" s="29" t="s">
        <v>1162</v>
      </c>
      <c r="C295" s="29" t="s">
        <v>1163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</row>
    <row r="296" spans="1:44" ht="14.25" customHeight="1">
      <c r="A296" s="36">
        <v>7</v>
      </c>
      <c r="B296" s="29" t="s">
        <v>1164</v>
      </c>
      <c r="C296" s="29" t="s">
        <v>1165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</row>
    <row r="297" spans="1:44" ht="14.25" customHeight="1">
      <c r="A297" s="36">
        <v>8</v>
      </c>
      <c r="B297" s="29" t="s">
        <v>1166</v>
      </c>
      <c r="C297" s="29" t="s">
        <v>1167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</row>
    <row r="298" spans="1:44" ht="14.25" customHeight="1">
      <c r="A298" s="36">
        <v>9</v>
      </c>
      <c r="B298" s="29" t="s">
        <v>1168</v>
      </c>
      <c r="C298" s="29" t="s">
        <v>1169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</row>
    <row r="299" spans="1:44" ht="14.25" customHeight="1">
      <c r="A299" s="36">
        <v>10</v>
      </c>
      <c r="B299" s="29" t="s">
        <v>1170</v>
      </c>
      <c r="C299" s="29" t="s">
        <v>1171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</row>
    <row r="300" spans="1:44" ht="14.25" customHeight="1">
      <c r="A300" s="36">
        <v>11</v>
      </c>
      <c r="B300" s="29" t="s">
        <v>1172</v>
      </c>
      <c r="C300" s="29" t="s">
        <v>1173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</row>
    <row r="301" spans="1:44" ht="14.25" customHeight="1">
      <c r="A301" s="36">
        <v>12</v>
      </c>
      <c r="B301" s="29" t="s">
        <v>1174</v>
      </c>
      <c r="C301" s="29" t="s">
        <v>1175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</row>
    <row r="302" spans="1:44" ht="14.25" customHeight="1">
      <c r="A302" s="36">
        <v>13</v>
      </c>
      <c r="B302" s="29" t="s">
        <v>1176</v>
      </c>
      <c r="C302" s="29" t="s">
        <v>1177</v>
      </c>
    </row>
    <row r="303" spans="1:44" ht="14.25" customHeight="1">
      <c r="A303" s="36">
        <v>14</v>
      </c>
      <c r="B303" s="29" t="s">
        <v>1178</v>
      </c>
      <c r="C303" s="29" t="s">
        <v>1179</v>
      </c>
    </row>
    <row r="304" spans="1:44" ht="14.25" customHeight="1">
      <c r="A304" s="36">
        <v>15</v>
      </c>
      <c r="B304" s="29" t="s">
        <v>1180</v>
      </c>
      <c r="C304" s="29" t="s">
        <v>1181</v>
      </c>
    </row>
    <row r="305" spans="1:3" ht="14.25" customHeight="1">
      <c r="A305" s="36">
        <v>16</v>
      </c>
      <c r="B305" s="29" t="s">
        <v>1182</v>
      </c>
      <c r="C305" s="29" t="s">
        <v>1183</v>
      </c>
    </row>
    <row r="306" spans="1:3" ht="14.25" customHeight="1">
      <c r="A306" s="36">
        <v>17</v>
      </c>
      <c r="B306" s="29" t="s">
        <v>1184</v>
      </c>
      <c r="C306" s="29" t="s">
        <v>1185</v>
      </c>
    </row>
    <row r="307" spans="1:3" ht="14.25" customHeight="1">
      <c r="A307" s="36">
        <v>18</v>
      </c>
      <c r="B307" s="29" t="s">
        <v>1186</v>
      </c>
      <c r="C307" s="29" t="s">
        <v>1187</v>
      </c>
    </row>
    <row r="308" spans="1:3" ht="14.25" customHeight="1">
      <c r="A308" s="36">
        <v>19</v>
      </c>
      <c r="B308" s="29" t="s">
        <v>1188</v>
      </c>
      <c r="C308" s="29" t="s">
        <v>1189</v>
      </c>
    </row>
    <row r="309" spans="1:3" ht="14.25" customHeight="1">
      <c r="A309" s="36">
        <v>20</v>
      </c>
      <c r="B309" s="29" t="s">
        <v>1190</v>
      </c>
      <c r="C309" s="29" t="s">
        <v>1191</v>
      </c>
    </row>
    <row r="310" spans="1:3" ht="14.25" customHeight="1">
      <c r="A310" s="36">
        <v>21</v>
      </c>
      <c r="B310" s="29" t="s">
        <v>1192</v>
      </c>
      <c r="C310" s="29" t="s">
        <v>1193</v>
      </c>
    </row>
    <row r="311" spans="1:3" ht="14.25" customHeight="1">
      <c r="A311" s="36">
        <v>22</v>
      </c>
      <c r="B311" s="29" t="s">
        <v>1194</v>
      </c>
      <c r="C311" s="29" t="s">
        <v>1195</v>
      </c>
    </row>
    <row r="312" spans="1:3" ht="14.25" customHeight="1">
      <c r="A312" s="36"/>
    </row>
    <row r="313" spans="1:3" ht="14.25" customHeight="1">
      <c r="A313" s="36"/>
    </row>
    <row r="314" spans="1:3" ht="14.25" customHeight="1">
      <c r="A314" s="36"/>
    </row>
    <row r="315" spans="1:3" ht="14.25" customHeight="1">
      <c r="A315" s="36"/>
    </row>
    <row r="316" spans="1:3" ht="14.25" customHeight="1">
      <c r="A316" s="36"/>
    </row>
    <row r="317" spans="1:3" ht="14.25" customHeight="1">
      <c r="A317" s="36"/>
    </row>
    <row r="318" spans="1:3" ht="14.25" customHeight="1">
      <c r="A318" s="36"/>
    </row>
    <row r="319" spans="1:3" ht="14.25" customHeight="1">
      <c r="A319" s="36"/>
    </row>
    <row r="320" spans="1:3" ht="14.25" customHeight="1">
      <c r="A320" s="36"/>
    </row>
    <row r="323" spans="1:42" s="1" customFormat="1" ht="17.25" customHeight="1">
      <c r="A323" s="10" t="s">
        <v>1196</v>
      </c>
      <c r="B323" s="11"/>
      <c r="C323" s="11"/>
      <c r="D323" s="11"/>
      <c r="E323" s="11"/>
      <c r="F323" s="1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</row>
    <row r="324" spans="1:42" ht="14.25" customHeight="1">
      <c r="A324" s="36" t="s">
        <v>734</v>
      </c>
      <c r="B324" s="36"/>
      <c r="C324" s="36" t="s">
        <v>303</v>
      </c>
      <c r="D324" s="37"/>
      <c r="E324" s="37"/>
      <c r="F324" s="38"/>
      <c r="G324" s="38" t="str">
        <f>G5</f>
        <v>1Q16</v>
      </c>
      <c r="H324" s="38" t="str">
        <f>H5</f>
        <v>1H16</v>
      </c>
      <c r="I324" s="38" t="str">
        <f t="shared" ref="I324:AP324" si="7">I5</f>
        <v>3Q16</v>
      </c>
      <c r="J324" s="38">
        <f t="shared" si="7"/>
        <v>2016</v>
      </c>
      <c r="K324" s="38" t="str">
        <f t="shared" si="7"/>
        <v>1Q17</v>
      </c>
      <c r="L324" s="38" t="str">
        <f t="shared" si="7"/>
        <v>1H17</v>
      </c>
      <c r="M324" s="38" t="str">
        <f t="shared" si="7"/>
        <v>3Q17</v>
      </c>
      <c r="N324" s="38">
        <f t="shared" si="7"/>
        <v>2017</v>
      </c>
      <c r="O324" s="38" t="str">
        <f t="shared" si="7"/>
        <v>1Q18</v>
      </c>
      <c r="P324" s="38" t="str">
        <f t="shared" si="7"/>
        <v>1H18</v>
      </c>
      <c r="Q324" s="38" t="str">
        <f t="shared" si="7"/>
        <v>3Q18</v>
      </c>
      <c r="R324" s="38">
        <f t="shared" si="7"/>
        <v>2018</v>
      </c>
      <c r="S324" s="38" t="str">
        <f t="shared" si="7"/>
        <v>1Q19</v>
      </c>
      <c r="T324" s="38" t="str">
        <f t="shared" si="7"/>
        <v>1H19</v>
      </c>
      <c r="U324" s="38" t="str">
        <f t="shared" si="7"/>
        <v>3Q19</v>
      </c>
      <c r="V324" s="38">
        <f t="shared" si="7"/>
        <v>2019</v>
      </c>
      <c r="W324" s="38" t="str">
        <f t="shared" si="7"/>
        <v>1Q20</v>
      </c>
      <c r="X324" s="38" t="str">
        <f t="shared" si="7"/>
        <v>1H20</v>
      </c>
      <c r="Y324" s="38" t="str">
        <f t="shared" si="7"/>
        <v>3Q20</v>
      </c>
      <c r="Z324" s="38">
        <f t="shared" si="7"/>
        <v>2020</v>
      </c>
      <c r="AA324" s="38" t="str">
        <f t="shared" si="7"/>
        <v>1Q21</v>
      </c>
      <c r="AB324" s="38" t="str">
        <f t="shared" si="7"/>
        <v>1H21</v>
      </c>
      <c r="AC324" s="38" t="str">
        <f t="shared" si="7"/>
        <v>3Q21</v>
      </c>
      <c r="AD324" s="38">
        <f t="shared" si="7"/>
        <v>2021</v>
      </c>
      <c r="AE324" s="38" t="str">
        <f t="shared" si="7"/>
        <v>1Q22</v>
      </c>
      <c r="AF324" s="38" t="str">
        <f t="shared" si="7"/>
        <v>1H22</v>
      </c>
      <c r="AG324" s="38" t="str">
        <f t="shared" si="7"/>
        <v>3Q22</v>
      </c>
      <c r="AH324" s="38">
        <f t="shared" si="7"/>
        <v>2022</v>
      </c>
      <c r="AI324" s="38" t="str">
        <f t="shared" si="7"/>
        <v>1Q23</v>
      </c>
      <c r="AJ324" s="38" t="str">
        <f t="shared" si="7"/>
        <v>1H23</v>
      </c>
      <c r="AK324" s="38" t="str">
        <f t="shared" si="7"/>
        <v>3Q23</v>
      </c>
      <c r="AL324" s="38">
        <f t="shared" si="7"/>
        <v>2023</v>
      </c>
      <c r="AM324" s="38" t="str">
        <f t="shared" si="7"/>
        <v>1Q24</v>
      </c>
      <c r="AN324" s="38" t="str">
        <f t="shared" si="7"/>
        <v>1H24</v>
      </c>
      <c r="AO324" s="38" t="str">
        <f t="shared" si="7"/>
        <v>3Q24</v>
      </c>
      <c r="AP324" s="38">
        <f t="shared" si="7"/>
        <v>2024</v>
      </c>
    </row>
    <row r="325" spans="1:42" ht="14.25" customHeight="1">
      <c r="A325" s="36">
        <v>1</v>
      </c>
      <c r="B325" s="51" t="s">
        <v>1197</v>
      </c>
      <c r="C325" s="40" t="s">
        <v>313</v>
      </c>
    </row>
    <row r="326" spans="1:42" ht="14.25" customHeight="1">
      <c r="A326" s="36">
        <v>2</v>
      </c>
      <c r="B326" s="51" t="s">
        <v>1198</v>
      </c>
      <c r="C326" s="40" t="s">
        <v>390</v>
      </c>
    </row>
    <row r="327" spans="1:42" ht="14.25" customHeight="1">
      <c r="A327" s="36">
        <v>3</v>
      </c>
      <c r="B327" s="51" t="s">
        <v>1199</v>
      </c>
      <c r="C327" s="40" t="s">
        <v>377</v>
      </c>
    </row>
    <row r="328" spans="1:42" ht="14.25" customHeight="1">
      <c r="A328" s="36">
        <v>4</v>
      </c>
      <c r="B328" s="51" t="s">
        <v>1200</v>
      </c>
      <c r="C328" s="40" t="s">
        <v>375</v>
      </c>
    </row>
    <row r="329" spans="1:42" ht="14.25" customHeight="1">
      <c r="A329" s="36">
        <v>5</v>
      </c>
      <c r="B329" s="51" t="s">
        <v>1201</v>
      </c>
      <c r="C329" s="40" t="s">
        <v>549</v>
      </c>
    </row>
    <row r="330" spans="1:42" ht="14.25" customHeight="1">
      <c r="A330" s="36">
        <v>6</v>
      </c>
      <c r="B330" s="51" t="s">
        <v>1202</v>
      </c>
      <c r="C330" s="40" t="s">
        <v>548</v>
      </c>
    </row>
    <row r="331" spans="1:42" ht="14.25" customHeight="1">
      <c r="A331" s="36">
        <v>7</v>
      </c>
      <c r="B331" s="51" t="s">
        <v>1203</v>
      </c>
      <c r="C331" s="40" t="s">
        <v>1204</v>
      </c>
    </row>
    <row r="332" spans="1:42" ht="14.25" customHeight="1">
      <c r="A332" s="36">
        <v>8</v>
      </c>
      <c r="B332" s="51" t="s">
        <v>1205</v>
      </c>
      <c r="C332" s="40" t="s">
        <v>552</v>
      </c>
    </row>
    <row r="333" spans="1:42" ht="14.25" customHeight="1">
      <c r="A333" s="36">
        <v>9</v>
      </c>
      <c r="B333" s="51" t="s">
        <v>1206</v>
      </c>
      <c r="C333" s="40" t="s">
        <v>551</v>
      </c>
    </row>
    <row r="334" spans="1:42" ht="14.25" customHeight="1">
      <c r="A334" s="36">
        <v>10</v>
      </c>
      <c r="B334" s="51" t="s">
        <v>1207</v>
      </c>
      <c r="C334" s="40" t="s">
        <v>1208</v>
      </c>
    </row>
    <row r="335" spans="1:42" ht="14.25" customHeight="1">
      <c r="A335" s="36"/>
      <c r="B335" s="51"/>
      <c r="C335" s="40"/>
    </row>
  </sheetData>
  <phoneticPr fontId="140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P29"/>
  <sheetViews>
    <sheetView workbookViewId="0">
      <pane xSplit="6" topLeftCell="G1" activePane="topRight" state="frozen"/>
      <selection pane="topRight" activeCell="AL2" sqref="AL2"/>
    </sheetView>
  </sheetViews>
  <sheetFormatPr defaultColWidth="9" defaultRowHeight="13.5"/>
  <cols>
    <col min="1" max="1" width="5.875" style="4" customWidth="1"/>
    <col min="2" max="2" width="16.75" style="5" hidden="1" customWidth="1"/>
    <col min="3" max="3" width="9.25" style="5" hidden="1" customWidth="1"/>
    <col min="4" max="4" width="10" style="5" hidden="1" customWidth="1"/>
    <col min="5" max="5" width="12.5" style="5" hidden="1" customWidth="1"/>
    <col min="6" max="6" width="30" style="4" customWidth="1"/>
    <col min="7" max="25" width="15.625" style="6" hidden="1" customWidth="1"/>
    <col min="26" max="26" width="15.625" style="6" customWidth="1"/>
    <col min="27" max="27" width="15.625" style="6" hidden="1" customWidth="1"/>
    <col min="28" max="28" width="15.625" style="6" customWidth="1"/>
    <col min="29" max="29" width="15.625" style="6" hidden="1" customWidth="1"/>
    <col min="30" max="30" width="15.625" style="6" customWidth="1"/>
    <col min="31" max="31" width="15.625" style="6" hidden="1" customWidth="1"/>
    <col min="32" max="32" width="15.625" style="6" customWidth="1"/>
    <col min="33" max="33" width="15.625" style="6" hidden="1" customWidth="1"/>
    <col min="34" max="34" width="15.625" style="6" customWidth="1"/>
    <col min="35" max="35" width="15.625" style="6" hidden="1" customWidth="1"/>
    <col min="36" max="36" width="19.375" style="6" customWidth="1"/>
    <col min="37" max="37" width="19.375" style="6" hidden="1" customWidth="1"/>
    <col min="38" max="38" width="19.375" style="6" customWidth="1"/>
    <col min="39" max="39" width="15.625" style="6" hidden="1" customWidth="1"/>
    <col min="40" max="40" width="15.375" style="6" customWidth="1"/>
    <col min="41" max="41" width="15.375" style="6" hidden="1" customWidth="1"/>
    <col min="42" max="42" width="15.375" style="6" customWidth="1"/>
    <col min="43" max="16384" width="9" style="6"/>
  </cols>
  <sheetData>
    <row r="1" spans="1:42" s="1" customFormat="1" ht="14.25" customHeight="1">
      <c r="A1" s="7"/>
      <c r="B1" s="8"/>
      <c r="C1" s="8"/>
      <c r="D1" s="8"/>
      <c r="E1" s="8"/>
      <c r="F1" s="8"/>
      <c r="G1" s="9"/>
      <c r="H1" s="9"/>
      <c r="I1" s="9"/>
      <c r="J1" s="9"/>
      <c r="K1" s="25"/>
      <c r="L1" s="25"/>
      <c r="M1" s="26"/>
      <c r="N1" s="26"/>
      <c r="O1" s="26"/>
      <c r="P1" s="26"/>
    </row>
    <row r="2" spans="1:42" s="1" customFormat="1" ht="17.25" customHeight="1">
      <c r="A2" s="10" t="s">
        <v>1209</v>
      </c>
      <c r="B2" s="11"/>
      <c r="C2" s="11"/>
      <c r="D2" s="11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42" s="2" customFormat="1">
      <c r="A3" s="13"/>
      <c r="B3" s="13" t="s">
        <v>2</v>
      </c>
      <c r="C3" s="14"/>
      <c r="D3" s="15"/>
      <c r="E3" s="15" t="s">
        <v>2</v>
      </c>
      <c r="F3" s="16"/>
      <c r="G3" s="17"/>
      <c r="H3" s="18"/>
      <c r="I3" s="17"/>
      <c r="J3" s="17"/>
      <c r="K3" s="17"/>
      <c r="L3" s="18"/>
      <c r="M3" s="17"/>
      <c r="N3" s="17"/>
      <c r="O3" s="17"/>
      <c r="P3" s="18"/>
      <c r="Q3" s="17"/>
      <c r="R3" s="17"/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7"/>
      <c r="AN3" s="18"/>
      <c r="AO3" s="18"/>
      <c r="AP3" s="18"/>
    </row>
    <row r="4" spans="1:42" s="3" customFormat="1">
      <c r="A4" s="19"/>
      <c r="B4" s="19"/>
      <c r="C4" s="19"/>
      <c r="D4" s="19"/>
      <c r="E4" s="19"/>
      <c r="F4" s="20"/>
      <c r="G4" s="21" t="s">
        <v>735</v>
      </c>
      <c r="H4" s="21" t="s">
        <v>736</v>
      </c>
      <c r="I4" s="21" t="s">
        <v>737</v>
      </c>
      <c r="J4" s="21">
        <v>2016</v>
      </c>
      <c r="K4" s="21" t="s">
        <v>738</v>
      </c>
      <c r="L4" s="21" t="s">
        <v>739</v>
      </c>
      <c r="M4" s="21" t="s">
        <v>740</v>
      </c>
      <c r="N4" s="21">
        <v>2017</v>
      </c>
      <c r="O4" s="21" t="s">
        <v>741</v>
      </c>
      <c r="P4" s="21" t="s">
        <v>742</v>
      </c>
      <c r="Q4" s="21" t="s">
        <v>743</v>
      </c>
      <c r="R4" s="21">
        <v>2018</v>
      </c>
      <c r="S4" s="21" t="s">
        <v>744</v>
      </c>
      <c r="T4" s="21" t="s">
        <v>745</v>
      </c>
      <c r="U4" s="21" t="s">
        <v>746</v>
      </c>
      <c r="V4" s="21">
        <v>2019</v>
      </c>
      <c r="W4" s="21" t="s">
        <v>747</v>
      </c>
      <c r="X4" s="21" t="s">
        <v>748</v>
      </c>
      <c r="Y4" s="21" t="s">
        <v>749</v>
      </c>
      <c r="Z4" s="21">
        <v>2020</v>
      </c>
      <c r="AA4" s="21" t="s">
        <v>750</v>
      </c>
      <c r="AB4" s="21" t="s">
        <v>751</v>
      </c>
      <c r="AC4" s="21" t="s">
        <v>752</v>
      </c>
      <c r="AD4" s="21">
        <v>2021</v>
      </c>
      <c r="AE4" s="21" t="s">
        <v>753</v>
      </c>
      <c r="AF4" s="21" t="s">
        <v>754</v>
      </c>
      <c r="AG4" s="21" t="s">
        <v>755</v>
      </c>
      <c r="AH4" s="21">
        <v>2022</v>
      </c>
      <c r="AI4" s="21" t="s">
        <v>756</v>
      </c>
      <c r="AJ4" s="21" t="s">
        <v>757</v>
      </c>
      <c r="AK4" s="21" t="s">
        <v>758</v>
      </c>
      <c r="AL4" s="21">
        <v>2023</v>
      </c>
      <c r="AM4" s="21" t="s">
        <v>759</v>
      </c>
      <c r="AN4" s="21" t="s">
        <v>681</v>
      </c>
      <c r="AO4" s="21" t="s">
        <v>760</v>
      </c>
      <c r="AP4" s="21">
        <v>2024</v>
      </c>
    </row>
    <row r="5" spans="1:42">
      <c r="A5" s="5" t="s">
        <v>1210</v>
      </c>
      <c r="B5" s="5" t="s">
        <v>1211</v>
      </c>
      <c r="E5" s="5" t="s">
        <v>1212</v>
      </c>
      <c r="F5" s="5" t="s">
        <v>1213</v>
      </c>
      <c r="G5" s="22"/>
      <c r="H5" s="22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</row>
    <row r="6" spans="1:42">
      <c r="A6" s="5">
        <v>1</v>
      </c>
      <c r="B6" s="4" t="s">
        <v>1214</v>
      </c>
      <c r="C6" s="23"/>
      <c r="E6" s="23" t="s">
        <v>324</v>
      </c>
      <c r="F6" s="23" t="s">
        <v>1215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</row>
    <row r="7" spans="1:42">
      <c r="A7" s="5">
        <v>2</v>
      </c>
      <c r="B7" s="4" t="s">
        <v>1216</v>
      </c>
      <c r="C7" s="23"/>
      <c r="E7" s="23" t="s">
        <v>324</v>
      </c>
      <c r="F7" s="23" t="s">
        <v>1217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</row>
    <row r="8" spans="1:42">
      <c r="A8" s="5">
        <v>3</v>
      </c>
      <c r="B8" s="4" t="s">
        <v>1218</v>
      </c>
      <c r="C8" s="23"/>
      <c r="E8" s="23" t="s">
        <v>324</v>
      </c>
      <c r="F8" s="23" t="s">
        <v>1219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</row>
    <row r="9" spans="1:42">
      <c r="A9" s="5">
        <v>4</v>
      </c>
      <c r="B9" s="4" t="s">
        <v>1220</v>
      </c>
      <c r="C9" s="23"/>
      <c r="E9" s="23" t="s">
        <v>324</v>
      </c>
      <c r="F9" s="23" t="s">
        <v>1221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>
      <c r="A10" s="5">
        <v>5</v>
      </c>
      <c r="B10" s="4" t="s">
        <v>1222</v>
      </c>
      <c r="C10" s="23"/>
      <c r="E10" s="23" t="s">
        <v>400</v>
      </c>
      <c r="F10" s="23" t="s">
        <v>1223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</row>
    <row r="11" spans="1:42">
      <c r="A11" s="5">
        <v>6</v>
      </c>
      <c r="B11" s="4" t="s">
        <v>1224</v>
      </c>
      <c r="C11" s="23"/>
      <c r="E11" s="23" t="s">
        <v>400</v>
      </c>
      <c r="F11" s="23" t="s">
        <v>1225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</row>
    <row r="12" spans="1:42">
      <c r="A12" s="5">
        <v>7</v>
      </c>
      <c r="B12" s="4" t="s">
        <v>1226</v>
      </c>
      <c r="C12" s="23"/>
      <c r="E12" s="23" t="s">
        <v>400</v>
      </c>
      <c r="F12" s="23" t="s">
        <v>1227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>
      <c r="A13" s="5">
        <v>8</v>
      </c>
      <c r="B13" s="4" t="s">
        <v>1228</v>
      </c>
      <c r="C13" s="23"/>
      <c r="E13" s="23" t="s">
        <v>400</v>
      </c>
      <c r="F13" s="23" t="s">
        <v>1229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>
      <c r="A14" s="5">
        <v>9</v>
      </c>
      <c r="B14" s="4" t="s">
        <v>1230</v>
      </c>
      <c r="C14" s="23"/>
      <c r="E14" s="23" t="s">
        <v>326</v>
      </c>
      <c r="F14" s="23" t="s">
        <v>1231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</row>
    <row r="15" spans="1:42">
      <c r="A15" s="5">
        <v>10</v>
      </c>
      <c r="B15" s="4" t="s">
        <v>1232</v>
      </c>
      <c r="C15" s="23"/>
      <c r="E15" s="23" t="s">
        <v>326</v>
      </c>
      <c r="F15" s="23" t="s">
        <v>1233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>
      <c r="A16" s="5">
        <v>11</v>
      </c>
      <c r="B16" s="4" t="s">
        <v>1234</v>
      </c>
      <c r="C16" s="23"/>
      <c r="E16" s="23" t="s">
        <v>326</v>
      </c>
      <c r="F16" s="23" t="s">
        <v>1235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</row>
    <row r="17" spans="1:42">
      <c r="A17" s="5">
        <v>12</v>
      </c>
      <c r="B17" s="4" t="s">
        <v>1236</v>
      </c>
      <c r="C17" s="23"/>
      <c r="E17" s="23" t="s">
        <v>326</v>
      </c>
      <c r="F17" s="23" t="s">
        <v>1237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>
      <c r="A18" s="5">
        <v>13</v>
      </c>
      <c r="B18" s="4" t="s">
        <v>1238</v>
      </c>
      <c r="C18" s="23"/>
      <c r="E18" s="23" t="s">
        <v>403</v>
      </c>
      <c r="F18" s="23" t="s">
        <v>1239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>
      <c r="A19" s="5">
        <v>14</v>
      </c>
      <c r="B19" s="4" t="s">
        <v>1240</v>
      </c>
      <c r="C19" s="23"/>
      <c r="E19" s="23" t="s">
        <v>403</v>
      </c>
      <c r="F19" s="23" t="s">
        <v>1241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</row>
    <row r="20" spans="1:42">
      <c r="A20" s="5">
        <v>15</v>
      </c>
      <c r="B20" s="4" t="s">
        <v>1242</v>
      </c>
      <c r="C20" s="23"/>
      <c r="E20" s="23" t="s">
        <v>403</v>
      </c>
      <c r="F20" s="23" t="s">
        <v>1243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>
      <c r="A21" s="5">
        <v>16</v>
      </c>
      <c r="B21" s="4" t="s">
        <v>1244</v>
      </c>
      <c r="C21" s="23"/>
      <c r="E21" s="23" t="s">
        <v>403</v>
      </c>
      <c r="F21" s="23" t="s">
        <v>1245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</row>
    <row r="22" spans="1:42">
      <c r="A22" s="5">
        <v>17</v>
      </c>
      <c r="B22" s="4" t="s">
        <v>1246</v>
      </c>
      <c r="C22" s="23"/>
      <c r="E22" s="23" t="s">
        <v>401</v>
      </c>
      <c r="F22" s="23" t="s">
        <v>1247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</row>
    <row r="23" spans="1:42">
      <c r="A23" s="5">
        <v>18</v>
      </c>
      <c r="B23" s="4" t="s">
        <v>1248</v>
      </c>
      <c r="C23" s="23"/>
      <c r="E23" s="23" t="s">
        <v>401</v>
      </c>
      <c r="F23" s="23" t="s">
        <v>1249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</row>
    <row r="24" spans="1:42">
      <c r="A24" s="5">
        <v>19</v>
      </c>
      <c r="B24" s="4" t="s">
        <v>1250</v>
      </c>
      <c r="C24" s="23"/>
      <c r="E24" s="23" t="s">
        <v>401</v>
      </c>
      <c r="F24" s="23" t="s">
        <v>1251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</row>
    <row r="25" spans="1:42">
      <c r="A25" s="5">
        <v>20</v>
      </c>
      <c r="B25" s="4" t="s">
        <v>1252</v>
      </c>
      <c r="C25" s="23"/>
      <c r="E25" s="23" t="s">
        <v>401</v>
      </c>
      <c r="F25" s="23" t="s">
        <v>1253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>
      <c r="A26" s="5">
        <v>21</v>
      </c>
      <c r="B26" s="4" t="s">
        <v>1254</v>
      </c>
      <c r="C26" s="23"/>
      <c r="E26" s="23" t="s">
        <v>402</v>
      </c>
      <c r="F26" s="23" t="s">
        <v>1255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</row>
    <row r="27" spans="1:42">
      <c r="A27" s="5">
        <v>22</v>
      </c>
      <c r="B27" s="4" t="s">
        <v>1256</v>
      </c>
      <c r="C27" s="23"/>
      <c r="E27" s="23" t="s">
        <v>402</v>
      </c>
      <c r="F27" s="23" t="s">
        <v>1257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>
      <c r="A28" s="5">
        <v>23</v>
      </c>
      <c r="B28" s="4" t="s">
        <v>1258</v>
      </c>
      <c r="C28" s="23"/>
      <c r="E28" s="23" t="s">
        <v>402</v>
      </c>
      <c r="F28" s="23" t="s">
        <v>1259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</row>
    <row r="29" spans="1:42">
      <c r="A29" s="5">
        <v>24</v>
      </c>
      <c r="B29" s="4" t="s">
        <v>1260</v>
      </c>
      <c r="C29" s="23"/>
      <c r="E29" s="23" t="s">
        <v>402</v>
      </c>
      <c r="F29" s="23" t="s">
        <v>1261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</row>
  </sheetData>
  <phoneticPr fontId="14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3" master="" otherUserPermission="visible"/>
  <rangeList sheetStid="104" master="" otherUserPermission="visible"/>
  <rangeList sheetStid="1" master="" otherUserPermission="visible">
    <arrUserId title="区域1_1_1" rangeCreator="" othersAccessPermission="edit"/>
    <arrUserId title="区域1_1_2" rangeCreator="" othersAccessPermission="edit"/>
  </rangeList>
  <rangeList sheetStid="2" master="" otherUserPermission="visible">
    <arrUserId title="区域66" rangeCreator="" othersAccessPermission="edit"/>
    <arrUserId title="区域60" rangeCreator="" othersAccessPermission="edit"/>
    <arrUserId title="区域59" rangeCreator="" othersAccessPermission="edit"/>
    <arrUserId title="区域37" rangeCreator="" othersAccessPermission="edit"/>
    <arrUserId title="区域35" rangeCreator="" othersAccessPermission="edit"/>
    <arrUserId title="区域34" rangeCreator="" othersAccessPermission="edit"/>
    <arrUserId title="区域33" rangeCreator="" othersAccessPermission="edit"/>
    <arrUserId title="区域32" rangeCreator="" othersAccessPermission="edit"/>
    <arrUserId title="区域29" rangeCreator="" othersAccessPermission="edit"/>
    <arrUserId title="区域21" rangeCreator="" othersAccessPermission="edit"/>
    <arrUserId title="区域20" rangeCreator="" othersAccessPermission="edit"/>
    <arrUserId title="区域15" rangeCreator="" othersAccessPermission="edit"/>
    <arrUserId title="区域14" rangeCreator="" othersAccessPermission="edit"/>
    <arrUserId title="区域13" rangeCreator="" othersAccessPermission="edit"/>
    <arrUserId title="区域12" rangeCreator="" othersAccessPermission="edit"/>
    <arrUserId title="区域11" rangeCreator="" othersAccessPermission="edit"/>
    <arrUserId title="区域10" rangeCreator="" othersAccessPermission="edit"/>
    <arrUserId title="区域9" rangeCreator="" othersAccessPermission="edit"/>
    <arrUserId title="区域8" rangeCreator="" othersAccessPermission="edit"/>
    <arrUserId title="区域7" rangeCreator="" othersAccessPermission="edit"/>
    <arrUserId title="区域1" rangeCreator="" othersAccessPermission="edit"/>
    <arrUserId title="区域2" rangeCreator="" othersAccessPermission="edit"/>
    <arrUserId title="区域3" rangeCreator="" othersAccessPermission="edit"/>
    <arrUserId title="区域4" rangeCreator="" othersAccessPermission="edit"/>
    <arrUserId title="区域5" rangeCreator="" othersAccessPermission="edit"/>
    <arrUserId title="区域1_1" rangeCreator="" othersAccessPermission="edit"/>
    <arrUserId title="区域13_1" rangeCreator="" othersAccessPermission="edit"/>
    <arrUserId title="区域13_3" rangeCreator="" othersAccessPermission="edit"/>
  </rangeList>
  <rangeList sheetStid="92" master="" otherUserPermission="visible">
    <arrUserId title="区域16" rangeCreator="" othersAccessPermission="edit"/>
    <arrUserId title="区域1_1" rangeCreator="" othersAccessPermission="edit"/>
  </rangeList>
  <rangeList sheetStid="7" master="" otherUserPermission="visible"/>
  <rangeList sheetStid="8" master="" otherUserPermission="visible"/>
  <rangeList sheetStid="10" master="" otherUserPermission="visible">
    <arrUserId title="区域5" rangeCreator="" othersAccessPermission="edit"/>
    <arrUserId title="区域3" rangeCreator="" othersAccessPermission="edit"/>
    <arrUserId title="区域1" rangeCreator="" othersAccessPermission="edit"/>
  </rangeList>
  <rangeList sheetStid="11" master="" otherUserPermission="visible"/>
  <rangeList sheetStid="12" master="" otherUserPermission="visible"/>
  <rangeList sheetStid="53" master="" otherUserPermission="visible"/>
  <rangeList sheetStid="107" master="" otherUserPermission="visible"/>
  <rangeList sheetStid="95" master="" otherUserPermission="visible"/>
  <rangeList sheetStid="102" master="" otherUserPermission="visible"/>
  <rangeList sheetStid="101" master="" otherUserPermission="visible"/>
  <rangeList sheetStid="103" master="" otherUserPermission="visible"/>
  <rangeList sheetStid="9" master="" otherUserPermission="visible"/>
  <rangeList sheetStid="5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目录</vt:lpstr>
      <vt:lpstr>公司经营数据</vt:lpstr>
      <vt:lpstr>销售预测</vt:lpstr>
      <vt:lpstr>资产预测</vt:lpstr>
      <vt:lpstr>投资与减值</vt:lpstr>
      <vt:lpstr>主要财务摘要</vt:lpstr>
      <vt:lpstr>报表摘要</vt:lpstr>
      <vt:lpstr>资产负债表</vt:lpstr>
      <vt:lpstr>利润表</vt:lpstr>
      <vt:lpstr>现金流量表</vt:lpstr>
      <vt:lpstr>财务分析</vt:lpstr>
      <vt:lpstr>参数计算</vt:lpstr>
      <vt:lpstr>估值</vt:lpstr>
      <vt:lpstr>同业分析</vt:lpstr>
      <vt:lpstr>盈利敏感性分析</vt:lpstr>
      <vt:lpstr>单季度利润表</vt:lpstr>
      <vt:lpstr>财务基础数据</vt:lpstr>
      <vt:lpstr>财务附注数据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赵亮</dc:creator>
  <cp:lastModifiedBy>Sinitek</cp:lastModifiedBy>
  <cp:revision>1</cp:revision>
  <dcterms:created xsi:type="dcterms:W3CDTF">2007-10-16T09:41:00Z</dcterms:created>
  <dcterms:modified xsi:type="dcterms:W3CDTF">2024-12-09T07:15:08Z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Version">
    <vt:lpwstr>1.1.1.4</vt:lpwstr>
  </property>
  <property fmtid="{D5CDD505-2E9C-101B-9397-08002B2CF9AE}" pid="3" name="ModelType">
    <vt:lpwstr>0</vt:lpwstr>
  </property>
  <property fmtid="{D5CDD505-2E9C-101B-9397-08002B2CF9AE}" pid="4" name="ShowHidden">
    <vt:lpwstr>1</vt:lpwstr>
  </property>
  <property fmtid="{D5CDD505-2E9C-101B-9397-08002B2CF9AE}" pid="5" name="ICV">
    <vt:lpwstr>8924966B19D04A0FA844ACAFFCDA3105_12</vt:lpwstr>
  </property>
  <property fmtid="{D5CDD505-2E9C-101B-9397-08002B2CF9AE}" pid="6" name="KSOProductBuildVer">
    <vt:lpwstr>2052-12.1.0.18912</vt:lpwstr>
  </property>
</Properties>
</file>